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tif" ContentType="image/tif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26.xml" ContentType="application/vnd.ms-excel.controlproperties+xml"/>
  <Override PartName="/xl/ctrlProps/ctrlProp27.xml" ContentType="application/vnd.ms-excel.controlproperties+xml"/>
  <Override PartName="/xl/drawings/drawing5.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41.xml" ContentType="application/vnd.ms-excel.controlproperties+xml"/>
  <Override PartName="/xl/ctrlProps/ctrlProp42.xml" ContentType="application/vnd.ms-excel.controlproperties+xml"/>
  <Override PartName="/xl/drawings/drawing7.xml" ContentType="application/vnd.openxmlformats-officedocument.drawing+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C:\Users\user\Desktop\견적모음\수입리스\202509\"/>
    </mc:Choice>
  </mc:AlternateContent>
  <workbookProtection workbookAlgorithmName="SHA-512" workbookHashValue="P+h9+HSKZkc6ME2uS584kq6a6ZCW1axnr5qNqj7aqldLkDd2hKRtIV+7Klk2qr22+p6bPc7zHkT+XViMVmsFrw==" workbookSaltValue="jcz4W/0oxNAdwZJFHFSzcQ==" workbookSpinCount="100000" lockStructure="1"/>
  <bookViews>
    <workbookView xWindow="0" yWindow="0" windowWidth="28800" windowHeight="11835" tabRatio="903"/>
  </bookViews>
  <sheets>
    <sheet name="25년 9월 운영기준" sheetId="21" r:id="rId1"/>
    <sheet name="전기차보조금액(참고)" sheetId="22" r:id="rId2"/>
    <sheet name="전기자특약필수서류" sheetId="23" r:id="rId3"/>
    <sheet name="운용리스 견적출력" sheetId="1" r:id="rId4"/>
    <sheet name="운용리스 입력" sheetId="2" r:id="rId5"/>
    <sheet name="운용리스 내부" sheetId="16" state="hidden" r:id="rId6"/>
    <sheet name="금융리스 견적출력" sheetId="3" r:id="rId7"/>
    <sheet name="금융리스 입력" sheetId="4" r:id="rId8"/>
    <sheet name="금융리스 내부" sheetId="13" state="hidden" r:id="rId9"/>
    <sheet name="할부 견적출력" sheetId="5" r:id="rId10"/>
    <sheet name="할부 입력" sheetId="14" r:id="rId11"/>
    <sheet name="할부 내부" sheetId="20" state="hidden" r:id="rId12"/>
    <sheet name="브랜드" sheetId="7" state="hidden" r:id="rId13"/>
    <sheet name="차종" sheetId="8" state="hidden" r:id="rId14"/>
    <sheet name="딜러사" sheetId="11" state="hidden" r:id="rId15"/>
    <sheet name="잔가" sheetId="15" state="hidden" r:id="rId16"/>
    <sheet name="취득세" sheetId="9" state="hidden" r:id="rId17"/>
    <sheet name="공채&amp;차세" sheetId="18" state="hidden" r:id="rId18"/>
  </sheets>
  <definedNames>
    <definedName name="Audi">브랜드!$H$2:$H$16</definedName>
    <definedName name="Audi_">딜러사!$E$5:$E$6</definedName>
    <definedName name="AudiA3">차종!$E$7:$E$10</definedName>
    <definedName name="AudiA4">차종!$E$11:$E$17</definedName>
    <definedName name="AudiA5">차종!$E$18:$E$27</definedName>
    <definedName name="AudiA6">차종!$E$28:$E$38</definedName>
    <definedName name="AudiA7">차종!$E$39:$E$44</definedName>
    <definedName name="AudiA8">차종!$E$45:$E$50</definedName>
    <definedName name="Audie_tron">차종!$E$107:$E$118</definedName>
    <definedName name="AudiQ2">차종!$E$51:$E$52</definedName>
    <definedName name="AudiQ3">차종!$E$53:$E$62</definedName>
    <definedName name="AudiQ4">차종!$E$63:$E$70</definedName>
    <definedName name="AudiQ5">차종!$E$71:$E$81</definedName>
    <definedName name="AudiQ6">차종!$E$82:$E$85</definedName>
    <definedName name="AudiQ7">차종!$E$86:$E$92</definedName>
    <definedName name="AudiQ8">차종!$E$93:$E$106</definedName>
    <definedName name="AudiR8">차종!$E$119</definedName>
    <definedName name="Benz">브랜드!$H$21:$H$41</definedName>
    <definedName name="Benz_">딜러사!$E$7:$E$14</definedName>
    <definedName name="BenzA_class">차종!$E$124:$E$130</definedName>
    <definedName name="BenzC_class">차종!$E$131:$E$157</definedName>
    <definedName name="BenzCLA">차종!$E$158:$E$161</definedName>
    <definedName name="BenzCLE">차종!$E$162:$E$167</definedName>
    <definedName name="BenzCLS">차종!$E$168:$E$174</definedName>
    <definedName name="BenzE_class">차종!$E$175:$E$205</definedName>
    <definedName name="BenzEQA">차종!$E$292:$E$294</definedName>
    <definedName name="BenzEQB">차종!$E$295:$E$296</definedName>
    <definedName name="BenzEQC">차종!$E$297:$E$299</definedName>
    <definedName name="BenzEQE">차종!$E$300:$E$305</definedName>
    <definedName name="BenzEQS">차종!$E$306:$E$313</definedName>
    <definedName name="BenzG">차종!$E$263:$E$267</definedName>
    <definedName name="BenzGLA">차종!$E$206:$E$209</definedName>
    <definedName name="BenzGLB">차종!$E$210:$E$213</definedName>
    <definedName name="BenzGLC">차종!$E$214:$E$242</definedName>
    <definedName name="BenzGLE">차종!$E$243:$E$257</definedName>
    <definedName name="BenzGLS">차종!$E$258:$E$262</definedName>
    <definedName name="BenzGT">차종!$E$268:$E$272</definedName>
    <definedName name="BenzS_class">차종!$E$273:$E$291</definedName>
    <definedName name="BenzSL">차종!$E$314:$E$317</definedName>
    <definedName name="BMW">브랜드!$J$2:$J$19</definedName>
    <definedName name="BMW_">딜러사!$E$27</definedName>
    <definedName name="BMW1_series">차종!$E$327:$E$328</definedName>
    <definedName name="BMW2_series">차종!$E$329:$E$336</definedName>
    <definedName name="BMW3_series">차종!$E$337:$E$354</definedName>
    <definedName name="BMW4_series">차종!$E$355:$E$361</definedName>
    <definedName name="BMW5_series">차종!$E$362:$E$379</definedName>
    <definedName name="BMW6_series">차종!$E$380:$E$387</definedName>
    <definedName name="BMW7_series">차종!$E$388:$E$394</definedName>
    <definedName name="BMW8_series">차종!$E$395:$E$399</definedName>
    <definedName name="BMWi">차종!$E$400:$E$425</definedName>
    <definedName name="BMWM">차종!$E$487:$E$532</definedName>
    <definedName name="BMWX1">차종!$E$429:$E$434</definedName>
    <definedName name="BMWX2">차종!$E$435:$E$442</definedName>
    <definedName name="BMWX3">차종!$E$443:$E$456</definedName>
    <definedName name="BMWX4">차종!$E$457:$E$462</definedName>
    <definedName name="BMWX5">차종!$E$463:$E$473</definedName>
    <definedName name="BMWX6">차종!$E$474:$E$477</definedName>
    <definedName name="BMWX7">차종!$E$478:$E$486</definedName>
    <definedName name="BMWZ">차종!$E$426:$E$428</definedName>
    <definedName name="BYD">브랜드!$P$34</definedName>
    <definedName name="BYD_">딜러사!$J$27</definedName>
    <definedName name="BYDBYD">차종!$E$1140:$E$1141</definedName>
    <definedName name="Cadillac">브랜드!$J$22:$J$29</definedName>
    <definedName name="Cadillac_">딜러사!$E$27</definedName>
    <definedName name="CADILLACCT4">차종!$E$542</definedName>
    <definedName name="CADILLACCT5">차종!$E$543:$E$545</definedName>
    <definedName name="CADILLACCT6">차종!$E$546:$E$548</definedName>
    <definedName name="CADILLACESCALADE">차종!$E$555:$E$558</definedName>
    <definedName name="CADILLACLyriq">차종!$E$554</definedName>
    <definedName name="CADILLACXT4">차종!$E$549</definedName>
    <definedName name="CADILLACXT5">차종!$E$550:$E$552</definedName>
    <definedName name="CADILLACXT6">차종!$E$553</definedName>
    <definedName name="Citroen">브랜드!$J$32</definedName>
    <definedName name="Citroen_">딜러사!$E$27</definedName>
    <definedName name="CitroenCitroen">차종!$E$566:$E$573</definedName>
    <definedName name="Ford">브랜드!$L$2:$L$13</definedName>
    <definedName name="Ford_">딜러사!$E$27</definedName>
    <definedName name="FORDAviator">차종!$E$601:$E$604</definedName>
    <definedName name="FORDBronco">차종!$E$588</definedName>
    <definedName name="FORDContinental">차종!$E$595:$E$596</definedName>
    <definedName name="FORDCorsair">차종!$E$589</definedName>
    <definedName name="FORDExpedition">차종!$E$590</definedName>
    <definedName name="FORDExplorer">차종!$E$585:$E$587</definedName>
    <definedName name="FORDMKZ">차종!$E$593:$E$594</definedName>
    <definedName name="FORDMondeo">차종!$E$598</definedName>
    <definedName name="FORDMustang">차종!$E$581:$E$584</definedName>
    <definedName name="FORDNautilus">차종!$E$599:$E$600</definedName>
    <definedName name="FORDNavigator">차종!$E$597</definedName>
    <definedName name="FORDRanger">차종!$E$591:$E$592</definedName>
    <definedName name="Honda">브랜드!$L$16:$L$21</definedName>
    <definedName name="Honda_">딜러사!$E$27</definedName>
    <definedName name="HONDAAccord">차종!$E$611:$E$613</definedName>
    <definedName name="HONDACivic">차종!$E$614</definedName>
    <definedName name="HONDACR_V">차종!$E$615:$E$617</definedName>
    <definedName name="HONDAHR_V">차종!$E$618</definedName>
    <definedName name="HONDAOdyssey">차종!$E$619</definedName>
    <definedName name="HONDAPilot">차종!$E$620:$E$621</definedName>
    <definedName name="Jaguar">브랜드!$L$24:$L$30</definedName>
    <definedName name="Jaguar_">딜러사!$E$19:$E$21</definedName>
    <definedName name="JAGUARE_Pace">차종!$E$626:$E$631</definedName>
    <definedName name="JAGUARF_Pace">차종!$E$632:$E$637</definedName>
    <definedName name="JAGUARF_Type">차종!$E$638:$E$643</definedName>
    <definedName name="JAGUARI_Pace">차종!$E$644:$E$646</definedName>
    <definedName name="JAGUARXE">차종!$E$647:$E$649</definedName>
    <definedName name="JAGUARXF">차종!$E$650:$E$656</definedName>
    <definedName name="JAGUARXJ">차종!$E$657:$E$659</definedName>
    <definedName name="JEEP">브랜드!$L$33:$L$38</definedName>
    <definedName name="Jeep_">딜러사!$E$27</definedName>
    <definedName name="JEEPAvenger">차종!$E$697:$E$698</definedName>
    <definedName name="JEEPCherokee">차종!$E$666:$E$682</definedName>
    <definedName name="JEEPCompass">차종!$E$683:$E$685</definedName>
    <definedName name="JEEPGladiator">차종!$E$696</definedName>
    <definedName name="JEEPRenegade">차종!$E$686:$E$690</definedName>
    <definedName name="JEEPWrangler">차종!$E$691:$E$695</definedName>
    <definedName name="Landrover">브랜드!$N$2:$N$7</definedName>
    <definedName name="Landrover_">딜러사!$E$16:$E$18</definedName>
    <definedName name="LANDROVERDefender">차종!$E$703:$E$712</definedName>
    <definedName name="LANDROVERDiscovery">차종!$E$713:$E$720</definedName>
    <definedName name="LANDROVERRange_Rover">차종!$E$737:$E$756</definedName>
    <definedName name="LANDROVERRange_Rover_Evoque">차종!$E$721:$E$723</definedName>
    <definedName name="LANDROVERRange_Rover_Sport">차종!$E$728:$E$736</definedName>
    <definedName name="LANDROVERRange_Rover_Velar">차종!$E$724:$E$727</definedName>
    <definedName name="Lexus">브랜드!$N$11:$N$23</definedName>
    <definedName name="Lexus_">딜러사!$E$27</definedName>
    <definedName name="LEXUSCT">차종!$E$766:$E$767</definedName>
    <definedName name="LEXUSES">차종!$E$771:$E$775</definedName>
    <definedName name="LEXUSGS">차종!$E$776:$E$777</definedName>
    <definedName name="LEXUSIS">차종!$E$768:$E$770</definedName>
    <definedName name="LEXUSLC">차종!$E$787:$E$789</definedName>
    <definedName name="LEXUSLM">차종!$E$808:$E$809</definedName>
    <definedName name="LEXUSLS">차종!$E$778:$E$783</definedName>
    <definedName name="LEXUSLX">차종!$E$810:$E$811</definedName>
    <definedName name="LEXUSNX">차종!$E$794:$E$800</definedName>
    <definedName name="LEXUSRC">차종!$E$784:$E$786</definedName>
    <definedName name="LEXUSRX">차종!$E$801:$E$805</definedName>
    <definedName name="LEXUSRZ">차종!$E$806:$E$807</definedName>
    <definedName name="LEXUSUX">차종!$E$790:$E$793</definedName>
    <definedName name="Maserati">브랜드!$N$25:$N$31</definedName>
    <definedName name="Maserati_">딜러사!$E$27</definedName>
    <definedName name="MASERATIGhibli">차종!$E$817:$E$833</definedName>
    <definedName name="MASERATIGranTurismo">차종!$E$866:$E$869</definedName>
    <definedName name="MASERATIGrecale">차종!$E$861:$E$865</definedName>
    <definedName name="MASERATILevante">차종!$E$846:$E$860</definedName>
    <definedName name="MASERATIMC20">차종!$E$870</definedName>
    <definedName name="MASERATIQuattroporte">차종!$E$834:$E$845</definedName>
    <definedName name="Mini">브랜드!$N$34:$N$39</definedName>
    <definedName name="Mini_">딜러사!$E$27</definedName>
    <definedName name="MINIAceman">차종!$E$919:$E$922</definedName>
    <definedName name="MINIClubman">차종!$E$875:$E$884</definedName>
    <definedName name="MINIConvertible">차종!$E$911:$E$916</definedName>
    <definedName name="MINICountryman">차종!$E$896:$E$910</definedName>
    <definedName name="MINIElectric">차종!$E$917:$E$918</definedName>
    <definedName name="MINIHatch">차종!$E$885:$E$895</definedName>
    <definedName name="Peugeot">브랜드!$P$2:$P$8</definedName>
    <definedName name="Peugeot_">딜러사!$E$27</definedName>
    <definedName name="PEUGEOT2008">차종!$E$941:$E$944</definedName>
    <definedName name="PEUGEOT208">차종!$E$926:$E$927</definedName>
    <definedName name="PEUGEOT3008">차종!$E$945:$E$950</definedName>
    <definedName name="PEUGEOT308">차종!$E$928:$E$930</definedName>
    <definedName name="PEUGEOT408">차종!$E$931:$E$932</definedName>
    <definedName name="PEUGEOT5008">차종!$E$951:$E$956</definedName>
    <definedName name="PEUGEOT508">차종!$E$933:$E$940</definedName>
    <definedName name="Polestar">브랜드!$R$31:$R$32</definedName>
    <definedName name="Polestar2" localSheetId="2">차종!#REF!</definedName>
    <definedName name="Polestar2" localSheetId="1">차종!#REF!</definedName>
    <definedName name="Polestar2">차종!$E$1143</definedName>
    <definedName name="Polestar4">차종!$E$1144:$E$1145</definedName>
    <definedName name="Porsche">브랜드!$P$11:$P$17</definedName>
    <definedName name="Porsche_">딜러사!$E$22:$E$25</definedName>
    <definedName name="PORSCHE718">차종!$E$961:$E$967</definedName>
    <definedName name="PORSCHE911">차종!$E$968:$E$985</definedName>
    <definedName name="PORSCHECayenne">차종!$E$1010:$E$1026</definedName>
    <definedName name="PORSCHEMacan">차종!$E$1003:$E$1005</definedName>
    <definedName name="PORSCHEMacanEv">차종!$E$1006:$E$1009</definedName>
    <definedName name="PORSCHEPanamera">차종!$E$986:$E$993</definedName>
    <definedName name="PORSCHETaycan">차종!$E$994:$E$1002</definedName>
    <definedName name="_xlnm.Print_Area" localSheetId="6">'금융리스 견적출력'!$A$1:$CG$41</definedName>
    <definedName name="_xlnm.Print_Area" localSheetId="8">'금융리스 내부'!$B$2:$T$24</definedName>
    <definedName name="_xlnm.Print_Area" localSheetId="7">'금융리스 입력'!$B$2:$AB$22</definedName>
    <definedName name="_xlnm.Print_Area" localSheetId="3">'운용리스 견적출력'!$A$1:$CG$45</definedName>
    <definedName name="_xlnm.Print_Area" localSheetId="5">'운용리스 내부'!$A$1:$T$36</definedName>
    <definedName name="_xlnm.Print_Area" localSheetId="4">'운용리스 입력'!$B$2:$AB$27</definedName>
    <definedName name="_xlnm.Print_Area" localSheetId="2">전기자특약필수서류!$A$1:$I$31</definedName>
    <definedName name="_xlnm.Print_Area" localSheetId="9">'할부 견적출력'!$A$1:$CG$43</definedName>
    <definedName name="_xlnm.Print_Area" localSheetId="11">'할부 내부'!$B$2:$T$25</definedName>
    <definedName name="_xlnm.Print_Area" localSheetId="10">'할부 입력'!$B$2:$AB$22</definedName>
    <definedName name="Tesla">브랜드!$P$19:$P$20</definedName>
    <definedName name="Tesla_">딜러사!$E$27</definedName>
    <definedName name="TeslaModel_S">차종!$E$1034:$E$1035</definedName>
    <definedName name="TeslaModel_X">차종!$E$1036:$E$1037</definedName>
    <definedName name="Toyota">브랜드!$P$23:$P$31</definedName>
    <definedName name="Toyota_">딜러사!$E$27</definedName>
    <definedName name="TOYOTA86">차종!$E$1045:$E$1046</definedName>
    <definedName name="TOYOTAAlphard">차종!$E$1067</definedName>
    <definedName name="TOYOTAAvalon">차종!$E$1047</definedName>
    <definedName name="TOYOTACamry">차종!$E$1048:$E$1053</definedName>
    <definedName name="TOYOTACrown">차종!$E$1054:$E$1055</definedName>
    <definedName name="TOYOTAGR">차종!$E$1061</definedName>
    <definedName name="TOYOTAPrius">차종!$E$1056:$E$1060</definedName>
    <definedName name="TOYOTARAV4">차종!$E$1062:$E$1064</definedName>
    <definedName name="TOYOTASienna">차종!$E$1065:$E$1066</definedName>
    <definedName name="Volkswagen">브랜드!$R$2:$R$15</definedName>
    <definedName name="Volkswagen_">딜러사!$E$27</definedName>
    <definedName name="VOLKSWAGENArteon">차종!$E$1073:$E$1076</definedName>
    <definedName name="VOLKSWAGENAtlas">차종!$E$1098</definedName>
    <definedName name="VOLKSWAGENGolf">차종!$E$1093:$E$1095</definedName>
    <definedName name="VOLKSWAGENID.4">차종!$E$1096</definedName>
    <definedName name="VOLKSWAGENID.5">차종!$E$1097</definedName>
    <definedName name="VOLKSWAGENJetta">차종!$E$1071:$E$1072</definedName>
    <definedName name="VOLKSWAGENPassat">차종!$E$1090:$E$1092</definedName>
    <definedName name="VOLKSWAGENT_Roc">차종!$E$1087:$E$1089</definedName>
    <definedName name="VOLKSWAGENTiguan">차종!$E$1077:$E$1081</definedName>
    <definedName name="VOLKSWAGENTouareg">차종!$E$1082:$E$1086</definedName>
    <definedName name="Volvo">브랜드!$R$19:$R$29</definedName>
    <definedName name="Volvo_">딜러사!$E$27</definedName>
    <definedName name="VOLVOC40">차종!$E$1134</definedName>
    <definedName name="VOLVOEX30">차종!$E$1135:$E$1136</definedName>
    <definedName name="VOLVOEX40">차종!$E$1137</definedName>
    <definedName name="VOLVOS60">차종!$E$1100:$E$1102</definedName>
    <definedName name="VOLVOS90">차종!$E$1103:$E$1109</definedName>
    <definedName name="VOLVOV40">차종!$E$1110</definedName>
    <definedName name="VOLVOV60">차종!$E$1111:$E$1113</definedName>
    <definedName name="VOLVOV90">차종!$E$1114:$E$1116</definedName>
    <definedName name="VOLVOXC40">차종!$E$1117:$E$1121</definedName>
    <definedName name="VOLVOXC60">차종!$E$1122:$E$1128</definedName>
    <definedName name="VOLVOXC90">차종!$E$1129:$E$1133</definedName>
    <definedName name="브랜드">브랜드!$B$2:$B$29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22" l="1"/>
  <c r="D108" i="8" l="1"/>
  <c r="D109" i="8"/>
  <c r="D110" i="8"/>
  <c r="B15" i="2" l="1"/>
  <c r="C9" i="15" l="1"/>
  <c r="J11" i="15" s="1"/>
  <c r="F27" i="22"/>
  <c r="J10" i="15" l="1"/>
  <c r="D864" i="8"/>
  <c r="H28" i="16" l="1"/>
  <c r="F9" i="22" l="1"/>
  <c r="F8" i="22"/>
  <c r="F7" i="22"/>
  <c r="F6" i="22"/>
  <c r="F5" i="22"/>
  <c r="F26" i="22"/>
  <c r="F22" i="22"/>
  <c r="F21" i="22"/>
  <c r="F20" i="22"/>
  <c r="F19" i="22"/>
  <c r="F18" i="22"/>
  <c r="F17" i="22"/>
  <c r="F16" i="22"/>
  <c r="D921" i="8" l="1"/>
  <c r="D811" i="8"/>
  <c r="D810" i="8"/>
  <c r="D1137" i="8"/>
  <c r="D1098" i="8" l="1"/>
  <c r="D1097" i="8"/>
  <c r="D1143" i="8" l="1"/>
  <c r="D694" i="8" l="1"/>
  <c r="D693" i="8"/>
  <c r="D692" i="8"/>
  <c r="D735" i="8" l="1"/>
  <c r="D734" i="8"/>
  <c r="D420" i="8" l="1"/>
  <c r="D920" i="8"/>
  <c r="D922" i="8"/>
  <c r="D919" i="8"/>
  <c r="D909" i="8"/>
  <c r="D908" i="8"/>
  <c r="D907" i="8"/>
  <c r="F30" i="22" l="1"/>
  <c r="F13" i="22"/>
  <c r="F14" i="22"/>
  <c r="F15" i="22"/>
  <c r="F23" i="22"/>
  <c r="F24" i="22"/>
  <c r="F25" i="22"/>
  <c r="F28" i="22"/>
  <c r="F29" i="22"/>
  <c r="F31" i="22"/>
  <c r="F33" i="22"/>
  <c r="F34" i="22"/>
  <c r="F11" i="22"/>
  <c r="F12" i="22"/>
  <c r="F10" i="22"/>
  <c r="R17" i="13"/>
  <c r="H17" i="13"/>
  <c r="M17" i="13"/>
  <c r="E2" i="11"/>
  <c r="E3" i="11" s="1"/>
  <c r="D244" i="8" l="1"/>
  <c r="D315" i="8" l="1"/>
  <c r="D998" i="8" l="1"/>
  <c r="R23" i="20" l="1"/>
  <c r="M23" i="20"/>
  <c r="H23" i="20"/>
  <c r="C6" i="15" l="1"/>
  <c r="C3" i="15"/>
  <c r="C4" i="15"/>
  <c r="C8" i="15"/>
  <c r="J12" i="15"/>
  <c r="C14" i="15"/>
  <c r="C23" i="15"/>
  <c r="C32" i="15"/>
  <c r="D7" i="16"/>
  <c r="H10" i="15" l="1"/>
  <c r="I10" i="15" s="1"/>
  <c r="L12" i="15"/>
  <c r="L11" i="15"/>
  <c r="L9" i="15"/>
  <c r="L10" i="15"/>
  <c r="H11" i="15"/>
  <c r="I11" i="15" s="1"/>
  <c r="H21" i="15"/>
  <c r="H30" i="15"/>
  <c r="H19" i="15"/>
  <c r="H28" i="15"/>
  <c r="H18" i="15"/>
  <c r="H12" i="15"/>
  <c r="I12" i="15" s="1"/>
  <c r="K12" i="15" s="1"/>
  <c r="H20" i="15"/>
  <c r="H27" i="15"/>
  <c r="H29" i="15"/>
  <c r="B25" i="16"/>
  <c r="J9" i="15"/>
  <c r="H9" i="15"/>
  <c r="I9" i="15" s="1"/>
  <c r="K10" i="15" l="1"/>
  <c r="K11" i="15"/>
  <c r="K9" i="15"/>
  <c r="R6" i="16" l="1"/>
  <c r="D1145" i="8" l="1"/>
  <c r="D1144" i="8"/>
  <c r="D1142" i="8"/>
  <c r="D1141" i="8"/>
  <c r="D1140" i="8"/>
  <c r="D1136" i="8"/>
  <c r="D1135" i="8"/>
  <c r="D1134" i="8"/>
  <c r="D1133" i="8"/>
  <c r="D1132" i="8"/>
  <c r="D1131" i="8"/>
  <c r="D1130" i="8"/>
  <c r="D1129" i="8"/>
  <c r="D1128" i="8"/>
  <c r="D1127" i="8"/>
  <c r="D1126" i="8"/>
  <c r="D1125" i="8"/>
  <c r="D1124" i="8"/>
  <c r="D1123" i="8"/>
  <c r="D1122" i="8"/>
  <c r="D1121" i="8"/>
  <c r="D1120" i="8"/>
  <c r="D1119" i="8"/>
  <c r="D1118" i="8"/>
  <c r="D1117" i="8"/>
  <c r="D1116" i="8"/>
  <c r="D1115" i="8"/>
  <c r="D1114" i="8"/>
  <c r="D1113" i="8"/>
  <c r="D1112" i="8"/>
  <c r="D1111" i="8"/>
  <c r="D1110" i="8"/>
  <c r="D1109" i="8"/>
  <c r="D1108" i="8"/>
  <c r="D1107" i="8"/>
  <c r="D1106" i="8"/>
  <c r="D1105" i="8"/>
  <c r="D1104" i="8"/>
  <c r="D1103" i="8"/>
  <c r="D1102" i="8"/>
  <c r="D1101" i="8"/>
  <c r="D1100" i="8"/>
  <c r="D1096" i="8"/>
  <c r="D1095" i="8"/>
  <c r="D1094" i="8"/>
  <c r="D1093" i="8"/>
  <c r="D1092" i="8"/>
  <c r="D1091" i="8"/>
  <c r="D1090" i="8"/>
  <c r="D1089" i="8"/>
  <c r="D1088" i="8"/>
  <c r="D1087" i="8"/>
  <c r="D1086" i="8"/>
  <c r="D1085" i="8"/>
  <c r="D1084" i="8"/>
  <c r="D1083" i="8"/>
  <c r="D1082" i="8"/>
  <c r="D1081" i="8"/>
  <c r="D1080" i="8"/>
  <c r="D1079" i="8"/>
  <c r="D1078" i="8"/>
  <c r="D1077" i="8"/>
  <c r="D1076" i="8"/>
  <c r="D1075" i="8"/>
  <c r="D1074" i="8"/>
  <c r="D1073" i="8"/>
  <c r="D1072" i="8"/>
  <c r="D1071" i="8"/>
  <c r="D1067" i="8"/>
  <c r="D1066" i="8"/>
  <c r="D1065" i="8"/>
  <c r="D1064" i="8"/>
  <c r="D1063" i="8"/>
  <c r="D1062" i="8"/>
  <c r="D1061" i="8"/>
  <c r="D1060" i="8"/>
  <c r="D1059" i="8"/>
  <c r="D1058" i="8"/>
  <c r="D1057" i="8"/>
  <c r="D1056" i="8"/>
  <c r="D1055" i="8"/>
  <c r="D1054" i="8"/>
  <c r="D1053" i="8"/>
  <c r="D1052" i="8"/>
  <c r="D1051" i="8"/>
  <c r="D1050" i="8"/>
  <c r="D1049" i="8"/>
  <c r="D1048" i="8"/>
  <c r="D1047" i="8"/>
  <c r="D1046" i="8"/>
  <c r="D1045" i="8"/>
  <c r="D1044" i="8"/>
  <c r="D1040" i="8"/>
  <c r="D1039" i="8"/>
  <c r="D1038" i="8"/>
  <c r="D1037" i="8"/>
  <c r="D1036" i="8"/>
  <c r="D1035" i="8"/>
  <c r="D1034" i="8"/>
  <c r="D1033" i="8"/>
  <c r="D1032" i="8"/>
  <c r="D1031" i="8"/>
  <c r="D1030" i="8"/>
  <c r="D1026" i="8"/>
  <c r="D1025" i="8"/>
  <c r="D1024" i="8"/>
  <c r="D1023" i="8"/>
  <c r="D1022" i="8"/>
  <c r="D1021" i="8"/>
  <c r="D1020" i="8"/>
  <c r="D1019" i="8"/>
  <c r="D1018" i="8"/>
  <c r="D1017" i="8"/>
  <c r="D1016" i="8"/>
  <c r="D1015" i="8"/>
  <c r="D1014" i="8"/>
  <c r="D1013" i="8"/>
  <c r="D1012" i="8"/>
  <c r="D1011" i="8"/>
  <c r="D1010" i="8"/>
  <c r="D1009" i="8"/>
  <c r="D1008" i="8"/>
  <c r="D1007" i="8"/>
  <c r="D1006" i="8"/>
  <c r="D1005" i="8"/>
  <c r="D1004" i="8"/>
  <c r="D1003" i="8"/>
  <c r="D1002" i="8"/>
  <c r="D1001" i="8"/>
  <c r="D1000" i="8"/>
  <c r="D999" i="8"/>
  <c r="D997" i="8"/>
  <c r="D996" i="8"/>
  <c r="D995" i="8"/>
  <c r="D994" i="8"/>
  <c r="D993" i="8"/>
  <c r="D992" i="8"/>
  <c r="D991" i="8"/>
  <c r="D990" i="8"/>
  <c r="D989" i="8"/>
  <c r="D988" i="8"/>
  <c r="D987" i="8"/>
  <c r="D986" i="8"/>
  <c r="D985" i="8"/>
  <c r="D984" i="8"/>
  <c r="D983" i="8"/>
  <c r="D982" i="8"/>
  <c r="D981" i="8"/>
  <c r="D980" i="8"/>
  <c r="D979" i="8"/>
  <c r="D978" i="8"/>
  <c r="D977" i="8"/>
  <c r="D976" i="8"/>
  <c r="D975" i="8"/>
  <c r="D974" i="8"/>
  <c r="D973" i="8"/>
  <c r="D972" i="8"/>
  <c r="D971" i="8"/>
  <c r="D970" i="8"/>
  <c r="D969" i="8"/>
  <c r="D968" i="8"/>
  <c r="D967" i="8"/>
  <c r="D966" i="8"/>
  <c r="D965" i="8"/>
  <c r="D964" i="8"/>
  <c r="D963" i="8"/>
  <c r="D962" i="8"/>
  <c r="D961" i="8"/>
  <c r="D960" i="8"/>
  <c r="D956" i="8"/>
  <c r="D955" i="8"/>
  <c r="D954" i="8"/>
  <c r="D953" i="8"/>
  <c r="D952" i="8"/>
  <c r="D951" i="8"/>
  <c r="D950" i="8"/>
  <c r="D949" i="8"/>
  <c r="D948" i="8"/>
  <c r="D947" i="8"/>
  <c r="D946" i="8"/>
  <c r="D945" i="8"/>
  <c r="D944" i="8"/>
  <c r="D943" i="8"/>
  <c r="D942" i="8"/>
  <c r="D941" i="8"/>
  <c r="D940" i="8"/>
  <c r="D939" i="8"/>
  <c r="D938" i="8"/>
  <c r="D937" i="8"/>
  <c r="D936" i="8"/>
  <c r="D935" i="8"/>
  <c r="D934" i="8"/>
  <c r="D933" i="8"/>
  <c r="D932" i="8"/>
  <c r="D931" i="8"/>
  <c r="D930" i="8"/>
  <c r="D929" i="8"/>
  <c r="D928" i="8"/>
  <c r="D927" i="8"/>
  <c r="D926" i="8"/>
  <c r="D925" i="8"/>
  <c r="D918" i="8"/>
  <c r="D917" i="8"/>
  <c r="D916" i="8"/>
  <c r="D915" i="8"/>
  <c r="D914" i="8"/>
  <c r="D913" i="8"/>
  <c r="D912" i="8"/>
  <c r="D911" i="8"/>
  <c r="D910" i="8"/>
  <c r="D906" i="8"/>
  <c r="D905" i="8"/>
  <c r="D904" i="8"/>
  <c r="D903" i="8"/>
  <c r="D902" i="8"/>
  <c r="D901" i="8"/>
  <c r="D900" i="8"/>
  <c r="D899" i="8"/>
  <c r="D898" i="8"/>
  <c r="D897" i="8"/>
  <c r="D896" i="8"/>
  <c r="D895" i="8"/>
  <c r="D894" i="8"/>
  <c r="D893" i="8"/>
  <c r="D892" i="8"/>
  <c r="D891" i="8"/>
  <c r="D890" i="8"/>
  <c r="D889" i="8"/>
  <c r="D888" i="8"/>
  <c r="D887" i="8"/>
  <c r="D886" i="8"/>
  <c r="D885" i="8"/>
  <c r="D884" i="8"/>
  <c r="D883" i="8"/>
  <c r="D882" i="8"/>
  <c r="D881" i="8"/>
  <c r="D880" i="8"/>
  <c r="D879" i="8"/>
  <c r="D878" i="8"/>
  <c r="D877" i="8"/>
  <c r="D876" i="8"/>
  <c r="D875" i="8"/>
  <c r="D874" i="8"/>
  <c r="D873" i="8"/>
  <c r="D872" i="8"/>
  <c r="D871" i="8"/>
  <c r="D870" i="8"/>
  <c r="D869" i="8"/>
  <c r="D868" i="8"/>
  <c r="D867" i="8"/>
  <c r="D866" i="8"/>
  <c r="D865" i="8"/>
  <c r="D863" i="8"/>
  <c r="D862" i="8"/>
  <c r="D861" i="8"/>
  <c r="D860" i="8"/>
  <c r="D859" i="8"/>
  <c r="D858" i="8"/>
  <c r="D857" i="8"/>
  <c r="D856" i="8"/>
  <c r="D855" i="8"/>
  <c r="D854" i="8"/>
  <c r="D853" i="8"/>
  <c r="D852" i="8"/>
  <c r="D851" i="8"/>
  <c r="D850" i="8"/>
  <c r="D849" i="8"/>
  <c r="D848" i="8"/>
  <c r="D847" i="8"/>
  <c r="D846" i="8"/>
  <c r="D845" i="8"/>
  <c r="D844" i="8"/>
  <c r="D843" i="8"/>
  <c r="D842" i="8"/>
  <c r="D841" i="8"/>
  <c r="D840" i="8"/>
  <c r="D839" i="8"/>
  <c r="D838" i="8"/>
  <c r="D837" i="8"/>
  <c r="D836" i="8"/>
  <c r="D835" i="8"/>
  <c r="D834" i="8"/>
  <c r="D833" i="8"/>
  <c r="D832" i="8"/>
  <c r="D831" i="8"/>
  <c r="D830" i="8"/>
  <c r="D829" i="8"/>
  <c r="D828" i="8"/>
  <c r="D827" i="8"/>
  <c r="D826" i="8"/>
  <c r="D825" i="8"/>
  <c r="D824" i="8"/>
  <c r="D823" i="8"/>
  <c r="D822" i="8"/>
  <c r="D821" i="8"/>
  <c r="D820" i="8"/>
  <c r="D819" i="8"/>
  <c r="D818" i="8"/>
  <c r="D817" i="8"/>
  <c r="D816" i="8"/>
  <c r="D809" i="8"/>
  <c r="D808" i="8"/>
  <c r="D807" i="8"/>
  <c r="D806" i="8"/>
  <c r="D805" i="8"/>
  <c r="D804" i="8"/>
  <c r="D803" i="8"/>
  <c r="D802" i="8"/>
  <c r="D801" i="8"/>
  <c r="D800" i="8"/>
  <c r="D799" i="8"/>
  <c r="D798" i="8"/>
  <c r="D797" i="8"/>
  <c r="D796" i="8"/>
  <c r="D795" i="8"/>
  <c r="D794" i="8"/>
  <c r="D793" i="8"/>
  <c r="D792" i="8"/>
  <c r="D791" i="8"/>
  <c r="D790" i="8"/>
  <c r="D789" i="8"/>
  <c r="D788" i="8"/>
  <c r="D787" i="8"/>
  <c r="D786" i="8"/>
  <c r="D785" i="8"/>
  <c r="D784" i="8"/>
  <c r="D783" i="8"/>
  <c r="D782" i="8"/>
  <c r="D781" i="8"/>
  <c r="D780" i="8"/>
  <c r="D779" i="8"/>
  <c r="D778" i="8"/>
  <c r="D777" i="8"/>
  <c r="D776" i="8"/>
  <c r="D775" i="8"/>
  <c r="D774" i="8"/>
  <c r="D773" i="8"/>
  <c r="D772" i="8"/>
  <c r="D771" i="8"/>
  <c r="D770" i="8"/>
  <c r="D769" i="8"/>
  <c r="D768" i="8"/>
  <c r="D767" i="8"/>
  <c r="D766" i="8"/>
  <c r="D765" i="8"/>
  <c r="D756" i="8"/>
  <c r="D755" i="8"/>
  <c r="D754" i="8"/>
  <c r="D753" i="8"/>
  <c r="D752" i="8"/>
  <c r="D751" i="8"/>
  <c r="D750" i="8"/>
  <c r="D749" i="8"/>
  <c r="D748" i="8"/>
  <c r="D747" i="8"/>
  <c r="D746" i="8"/>
  <c r="D745" i="8"/>
  <c r="D744" i="8"/>
  <c r="D743" i="8"/>
  <c r="D742" i="8"/>
  <c r="D741" i="8"/>
  <c r="D740" i="8"/>
  <c r="D739" i="8"/>
  <c r="D738" i="8"/>
  <c r="D737" i="8"/>
  <c r="D736" i="8"/>
  <c r="D733" i="8"/>
  <c r="D732" i="8"/>
  <c r="D731" i="8"/>
  <c r="D730" i="8"/>
  <c r="D729" i="8"/>
  <c r="D728" i="8"/>
  <c r="D727" i="8"/>
  <c r="D726" i="8"/>
  <c r="D725" i="8"/>
  <c r="D724" i="8"/>
  <c r="D723" i="8"/>
  <c r="D722" i="8"/>
  <c r="D721" i="8"/>
  <c r="D720" i="8"/>
  <c r="D719" i="8"/>
  <c r="D718" i="8"/>
  <c r="D717" i="8"/>
  <c r="D716" i="8"/>
  <c r="D715" i="8"/>
  <c r="D714" i="8"/>
  <c r="D713" i="8"/>
  <c r="D712" i="8"/>
  <c r="D711" i="8"/>
  <c r="D710" i="8"/>
  <c r="D709" i="8"/>
  <c r="D708" i="8"/>
  <c r="D707" i="8"/>
  <c r="D706" i="8"/>
  <c r="D705" i="8"/>
  <c r="D704" i="8"/>
  <c r="D703" i="8"/>
  <c r="D702" i="8"/>
  <c r="D701" i="8"/>
  <c r="D700" i="8"/>
  <c r="D699" i="8"/>
  <c r="D698" i="8"/>
  <c r="D697" i="8"/>
  <c r="D696" i="8"/>
  <c r="D695" i="8"/>
  <c r="D691" i="8"/>
  <c r="D690" i="8"/>
  <c r="D689" i="8"/>
  <c r="D688" i="8"/>
  <c r="D687" i="8"/>
  <c r="D686" i="8"/>
  <c r="D685" i="8"/>
  <c r="D684" i="8"/>
  <c r="D683" i="8"/>
  <c r="D682" i="8"/>
  <c r="D681" i="8"/>
  <c r="D680" i="8"/>
  <c r="D679" i="8"/>
  <c r="D678" i="8"/>
  <c r="D677" i="8"/>
  <c r="D676" i="8"/>
  <c r="D675" i="8"/>
  <c r="D674" i="8"/>
  <c r="D673" i="8"/>
  <c r="D672" i="8"/>
  <c r="D671" i="8"/>
  <c r="D670" i="8"/>
  <c r="D669" i="8"/>
  <c r="D668" i="8"/>
  <c r="D667" i="8"/>
  <c r="D666" i="8"/>
  <c r="D665" i="8"/>
  <c r="D659" i="8"/>
  <c r="D658" i="8"/>
  <c r="D657" i="8"/>
  <c r="D656" i="8"/>
  <c r="D655" i="8"/>
  <c r="D654" i="8"/>
  <c r="D653" i="8"/>
  <c r="D652" i="8"/>
  <c r="D651" i="8"/>
  <c r="D650" i="8"/>
  <c r="D649" i="8"/>
  <c r="D648" i="8"/>
  <c r="D647" i="8"/>
  <c r="D646" i="8"/>
  <c r="D645" i="8"/>
  <c r="D644" i="8"/>
  <c r="D643" i="8"/>
  <c r="D642" i="8"/>
  <c r="D641" i="8"/>
  <c r="D640" i="8"/>
  <c r="D639" i="8"/>
  <c r="D638" i="8"/>
  <c r="D637" i="8"/>
  <c r="D636" i="8"/>
  <c r="D635" i="8"/>
  <c r="D634" i="8"/>
  <c r="D633" i="8"/>
  <c r="D632" i="8"/>
  <c r="D631" i="8"/>
  <c r="D630" i="8"/>
  <c r="D629" i="8"/>
  <c r="D628" i="8"/>
  <c r="D627" i="8"/>
  <c r="D626" i="8"/>
  <c r="D625" i="8"/>
  <c r="D621" i="8"/>
  <c r="D620" i="8"/>
  <c r="D619" i="8"/>
  <c r="D618" i="8"/>
  <c r="D617" i="8"/>
  <c r="D616" i="8"/>
  <c r="D615" i="8"/>
  <c r="D614" i="8"/>
  <c r="D613" i="8"/>
  <c r="D612" i="8"/>
  <c r="D611" i="8"/>
  <c r="D610" i="8"/>
  <c r="D604" i="8"/>
  <c r="D603" i="8"/>
  <c r="D602" i="8"/>
  <c r="D601" i="8"/>
  <c r="D600" i="8"/>
  <c r="D599" i="8"/>
  <c r="D598" i="8"/>
  <c r="D597" i="8"/>
  <c r="D596" i="8"/>
  <c r="D595" i="8"/>
  <c r="D594" i="8"/>
  <c r="D593" i="8"/>
  <c r="D592" i="8"/>
  <c r="D591" i="8"/>
  <c r="D590" i="8"/>
  <c r="D589" i="8"/>
  <c r="D588" i="8"/>
  <c r="D587" i="8"/>
  <c r="D586" i="8"/>
  <c r="D585" i="8"/>
  <c r="D584" i="8"/>
  <c r="D583" i="8"/>
  <c r="D582" i="8"/>
  <c r="D581" i="8"/>
  <c r="D580" i="8"/>
  <c r="D579" i="8"/>
  <c r="D578" i="8"/>
  <c r="D577" i="8"/>
  <c r="D576" i="8"/>
  <c r="D575" i="8"/>
  <c r="D574" i="8"/>
  <c r="D573" i="8"/>
  <c r="D572" i="8"/>
  <c r="D571" i="8"/>
  <c r="D570" i="8"/>
  <c r="D569" i="8"/>
  <c r="D568" i="8"/>
  <c r="D567" i="8"/>
  <c r="D566" i="8"/>
  <c r="D558" i="8"/>
  <c r="D557" i="8"/>
  <c r="D556" i="8"/>
  <c r="D555" i="8"/>
  <c r="D554" i="8"/>
  <c r="D553" i="8"/>
  <c r="D552" i="8"/>
  <c r="D551" i="8"/>
  <c r="D550" i="8"/>
  <c r="D549" i="8"/>
  <c r="D548" i="8"/>
  <c r="D547" i="8"/>
  <c r="D546" i="8"/>
  <c r="D545" i="8"/>
  <c r="D544" i="8"/>
  <c r="D543" i="8"/>
  <c r="D542" i="8"/>
  <c r="D541" i="8"/>
  <c r="D532" i="8"/>
  <c r="D531" i="8"/>
  <c r="D530" i="8"/>
  <c r="D529" i="8"/>
  <c r="D528" i="8"/>
  <c r="D527" i="8"/>
  <c r="D526" i="8"/>
  <c r="D525" i="8"/>
  <c r="D524" i="8"/>
  <c r="D523" i="8"/>
  <c r="D522" i="8"/>
  <c r="D521" i="8"/>
  <c r="D520" i="8"/>
  <c r="D519" i="8"/>
  <c r="D518" i="8"/>
  <c r="D517" i="8"/>
  <c r="D516" i="8"/>
  <c r="D515" i="8"/>
  <c r="D514" i="8"/>
  <c r="D513" i="8"/>
  <c r="D512" i="8"/>
  <c r="D511" i="8"/>
  <c r="D510" i="8"/>
  <c r="D509" i="8"/>
  <c r="D508" i="8"/>
  <c r="D507" i="8"/>
  <c r="D506" i="8"/>
  <c r="D505" i="8"/>
  <c r="D504" i="8"/>
  <c r="D503" i="8"/>
  <c r="D502" i="8"/>
  <c r="D501" i="8"/>
  <c r="D500" i="8"/>
  <c r="D499" i="8"/>
  <c r="D498" i="8"/>
  <c r="D497" i="8"/>
  <c r="D496" i="8"/>
  <c r="D495" i="8"/>
  <c r="D494" i="8"/>
  <c r="D493" i="8"/>
  <c r="D492" i="8"/>
  <c r="D491" i="8"/>
  <c r="D490" i="8"/>
  <c r="D489" i="8"/>
  <c r="D488" i="8"/>
  <c r="D487" i="8"/>
  <c r="D486" i="8"/>
  <c r="D485" i="8"/>
  <c r="D484" i="8"/>
  <c r="D483" i="8"/>
  <c r="D482" i="8"/>
  <c r="D481" i="8"/>
  <c r="D480" i="8"/>
  <c r="D479" i="8"/>
  <c r="D478" i="8"/>
  <c r="D477" i="8"/>
  <c r="D476" i="8"/>
  <c r="D475" i="8"/>
  <c r="D474" i="8"/>
  <c r="D473" i="8"/>
  <c r="D472" i="8"/>
  <c r="D471" i="8"/>
  <c r="D470" i="8"/>
  <c r="D469" i="8"/>
  <c r="D468" i="8"/>
  <c r="D467" i="8"/>
  <c r="D466" i="8"/>
  <c r="D465" i="8"/>
  <c r="D464" i="8"/>
  <c r="D463" i="8"/>
  <c r="D462" i="8"/>
  <c r="D461" i="8"/>
  <c r="D460" i="8"/>
  <c r="D459" i="8"/>
  <c r="D458" i="8"/>
  <c r="D457" i="8"/>
  <c r="D456" i="8"/>
  <c r="D455" i="8"/>
  <c r="D454" i="8"/>
  <c r="D453" i="8"/>
  <c r="D452" i="8"/>
  <c r="D451" i="8"/>
  <c r="D450" i="8"/>
  <c r="D449" i="8"/>
  <c r="D448" i="8"/>
  <c r="D447" i="8"/>
  <c r="D446" i="8"/>
  <c r="D445" i="8"/>
  <c r="D444" i="8"/>
  <c r="D443" i="8"/>
  <c r="D442" i="8"/>
  <c r="D441" i="8"/>
  <c r="D440" i="8"/>
  <c r="D439" i="8"/>
  <c r="D438" i="8"/>
  <c r="D437" i="8"/>
  <c r="D436" i="8"/>
  <c r="D435" i="8"/>
  <c r="D434" i="8"/>
  <c r="D433" i="8"/>
  <c r="D432" i="8"/>
  <c r="D431" i="8"/>
  <c r="D430" i="8"/>
  <c r="D429" i="8"/>
  <c r="D428" i="8"/>
  <c r="D427" i="8"/>
  <c r="D426" i="8"/>
  <c r="D425" i="8"/>
  <c r="D424" i="8"/>
  <c r="D423" i="8"/>
  <c r="D422" i="8"/>
  <c r="D421" i="8"/>
  <c r="D419" i="8"/>
  <c r="D418" i="8"/>
  <c r="D417" i="8"/>
  <c r="D416" i="8"/>
  <c r="D415" i="8"/>
  <c r="D414" i="8"/>
  <c r="D413" i="8"/>
  <c r="D412" i="8"/>
  <c r="D411" i="8"/>
  <c r="D410" i="8"/>
  <c r="D409" i="8"/>
  <c r="D408" i="8"/>
  <c r="D407" i="8"/>
  <c r="D406" i="8"/>
  <c r="D405" i="8"/>
  <c r="D404" i="8"/>
  <c r="D403" i="8"/>
  <c r="D402" i="8"/>
  <c r="D401" i="8"/>
  <c r="D400" i="8"/>
  <c r="D399" i="8"/>
  <c r="D398" i="8"/>
  <c r="D397" i="8"/>
  <c r="D396" i="8"/>
  <c r="D395" i="8"/>
  <c r="D394" i="8"/>
  <c r="D393" i="8"/>
  <c r="D392" i="8"/>
  <c r="D391" i="8"/>
  <c r="D390" i="8"/>
  <c r="D389" i="8"/>
  <c r="D388" i="8"/>
  <c r="D387" i="8"/>
  <c r="D386" i="8"/>
  <c r="D385" i="8"/>
  <c r="D384" i="8"/>
  <c r="D383" i="8"/>
  <c r="D382" i="8"/>
  <c r="D381" i="8"/>
  <c r="D380" i="8"/>
  <c r="D379" i="8"/>
  <c r="D378" i="8"/>
  <c r="D377" i="8"/>
  <c r="D376" i="8"/>
  <c r="D375" i="8"/>
  <c r="D374" i="8"/>
  <c r="D373" i="8"/>
  <c r="D372" i="8"/>
  <c r="D371" i="8"/>
  <c r="D370" i="8"/>
  <c r="D369" i="8"/>
  <c r="D368" i="8"/>
  <c r="D367" i="8"/>
  <c r="D366" i="8"/>
  <c r="D365" i="8"/>
  <c r="D364" i="8"/>
  <c r="D363" i="8"/>
  <c r="D362" i="8"/>
  <c r="D361" i="8"/>
  <c r="D360" i="8"/>
  <c r="D359" i="8"/>
  <c r="D358" i="8"/>
  <c r="D357" i="8"/>
  <c r="D356" i="8"/>
  <c r="D355" i="8"/>
  <c r="D354" i="8"/>
  <c r="D353" i="8"/>
  <c r="D352" i="8"/>
  <c r="D351" i="8"/>
  <c r="D350" i="8"/>
  <c r="D349" i="8"/>
  <c r="D348" i="8"/>
  <c r="D347" i="8"/>
  <c r="D346" i="8"/>
  <c r="D345" i="8"/>
  <c r="D344" i="8"/>
  <c r="D343" i="8"/>
  <c r="D342" i="8"/>
  <c r="D341" i="8"/>
  <c r="D340" i="8"/>
  <c r="D339" i="8"/>
  <c r="D338" i="8"/>
  <c r="D337" i="8"/>
  <c r="D336" i="8"/>
  <c r="D335" i="8"/>
  <c r="D334" i="8"/>
  <c r="D333" i="8"/>
  <c r="D332" i="8"/>
  <c r="D331" i="8"/>
  <c r="D330" i="8"/>
  <c r="D329" i="8"/>
  <c r="D328" i="8"/>
  <c r="D327" i="8"/>
  <c r="D326" i="8"/>
  <c r="D317" i="8"/>
  <c r="D316" i="8"/>
  <c r="D314" i="8"/>
  <c r="D313" i="8"/>
  <c r="D312" i="8"/>
  <c r="D311" i="8"/>
  <c r="D310" i="8"/>
  <c r="D309" i="8"/>
  <c r="D308" i="8"/>
  <c r="D307" i="8"/>
  <c r="D306" i="8"/>
  <c r="D305" i="8"/>
  <c r="D304" i="8"/>
  <c r="D303" i="8"/>
  <c r="D302" i="8"/>
  <c r="D301" i="8"/>
  <c r="D300" i="8"/>
  <c r="D299" i="8"/>
  <c r="D298" i="8"/>
  <c r="D297" i="8"/>
  <c r="D296" i="8"/>
  <c r="D295" i="8"/>
  <c r="D294" i="8"/>
  <c r="D293" i="8"/>
  <c r="D292" i="8"/>
  <c r="D291" i="8"/>
  <c r="D290" i="8"/>
  <c r="D289" i="8"/>
  <c r="D288" i="8"/>
  <c r="D287" i="8"/>
  <c r="D286" i="8"/>
  <c r="D285" i="8"/>
  <c r="D284" i="8"/>
  <c r="D283" i="8"/>
  <c r="D282" i="8"/>
  <c r="D281" i="8"/>
  <c r="D280" i="8"/>
  <c r="D279" i="8"/>
  <c r="D278" i="8"/>
  <c r="D277" i="8"/>
  <c r="D276" i="8"/>
  <c r="D275" i="8"/>
  <c r="D274" i="8"/>
  <c r="D273" i="8"/>
  <c r="D272" i="8"/>
  <c r="D271" i="8"/>
  <c r="D270" i="8"/>
  <c r="D269" i="8"/>
  <c r="D268" i="8"/>
  <c r="D267" i="8"/>
  <c r="D266" i="8"/>
  <c r="D265" i="8"/>
  <c r="D264" i="8"/>
  <c r="D263" i="8"/>
  <c r="D262" i="8"/>
  <c r="D261" i="8"/>
  <c r="D260" i="8"/>
  <c r="D259" i="8"/>
  <c r="D258" i="8"/>
  <c r="D257" i="8"/>
  <c r="D256" i="8"/>
  <c r="D255" i="8"/>
  <c r="D254" i="8"/>
  <c r="D253" i="8"/>
  <c r="D252" i="8"/>
  <c r="D251" i="8"/>
  <c r="D250" i="8"/>
  <c r="D249" i="8"/>
  <c r="D248" i="8"/>
  <c r="D247" i="8"/>
  <c r="D246" i="8"/>
  <c r="D245" i="8"/>
  <c r="D243" i="8"/>
  <c r="D242" i="8"/>
  <c r="D241" i="8"/>
  <c r="D240" i="8"/>
  <c r="D239" i="8"/>
  <c r="D238" i="8"/>
  <c r="D237" i="8"/>
  <c r="D236" i="8"/>
  <c r="D235" i="8"/>
  <c r="D234" i="8"/>
  <c r="D233" i="8"/>
  <c r="D232" i="8"/>
  <c r="D231" i="8"/>
  <c r="D230" i="8"/>
  <c r="D229" i="8"/>
  <c r="D228" i="8"/>
  <c r="D227" i="8"/>
  <c r="D226" i="8"/>
  <c r="D225" i="8"/>
  <c r="D224" i="8"/>
  <c r="D223" i="8"/>
  <c r="D222" i="8"/>
  <c r="D221" i="8"/>
  <c r="D220" i="8"/>
  <c r="D219" i="8"/>
  <c r="D218" i="8"/>
  <c r="D217" i="8"/>
  <c r="D216" i="8"/>
  <c r="D215" i="8"/>
  <c r="D214" i="8"/>
  <c r="D213" i="8"/>
  <c r="D212" i="8"/>
  <c r="D211" i="8"/>
  <c r="D210" i="8"/>
  <c r="D209" i="8"/>
  <c r="D208" i="8"/>
  <c r="D207" i="8"/>
  <c r="D206" i="8"/>
  <c r="D205" i="8"/>
  <c r="D204" i="8"/>
  <c r="D203" i="8"/>
  <c r="D202" i="8"/>
  <c r="D201" i="8"/>
  <c r="D200" i="8"/>
  <c r="D199" i="8"/>
  <c r="D198" i="8"/>
  <c r="D197" i="8"/>
  <c r="D196" i="8"/>
  <c r="D195" i="8"/>
  <c r="D194" i="8"/>
  <c r="D193" i="8"/>
  <c r="D192" i="8"/>
  <c r="D191" i="8"/>
  <c r="D190" i="8"/>
  <c r="D189" i="8"/>
  <c r="D188" i="8"/>
  <c r="D187" i="8"/>
  <c r="D186" i="8"/>
  <c r="D185" i="8"/>
  <c r="D184" i="8"/>
  <c r="D183" i="8"/>
  <c r="D182" i="8"/>
  <c r="D181" i="8"/>
  <c r="D180" i="8"/>
  <c r="D179" i="8"/>
  <c r="D178" i="8"/>
  <c r="D177" i="8"/>
  <c r="D176" i="8"/>
  <c r="D175" i="8"/>
  <c r="D174" i="8"/>
  <c r="D173" i="8"/>
  <c r="D172" i="8"/>
  <c r="D171" i="8"/>
  <c r="D170" i="8"/>
  <c r="D169" i="8"/>
  <c r="D168" i="8"/>
  <c r="D167" i="8"/>
  <c r="D166" i="8"/>
  <c r="D165" i="8"/>
  <c r="D164" i="8"/>
  <c r="D163" i="8"/>
  <c r="D162" i="8"/>
  <c r="D161" i="8"/>
  <c r="D160" i="8"/>
  <c r="D159" i="8"/>
  <c r="D158" i="8"/>
  <c r="D157" i="8"/>
  <c r="D156" i="8"/>
  <c r="D155" i="8"/>
  <c r="D154" i="8"/>
  <c r="D153" i="8"/>
  <c r="D152" i="8"/>
  <c r="D151" i="8"/>
  <c r="D150" i="8"/>
  <c r="D149" i="8"/>
  <c r="D148" i="8"/>
  <c r="D147" i="8"/>
  <c r="D146" i="8"/>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E3" i="8" s="1"/>
  <c r="S10" i="15" l="1"/>
  <c r="Q9" i="15"/>
  <c r="M9" i="15" s="1"/>
  <c r="Q10" i="15"/>
  <c r="R10" i="15"/>
  <c r="Q21" i="15"/>
  <c r="T30" i="15"/>
  <c r="Q30" i="15"/>
  <c r="T21" i="15"/>
  <c r="Q28" i="15"/>
  <c r="Q20" i="15"/>
  <c r="Q19" i="15"/>
  <c r="Q29" i="15"/>
  <c r="T12" i="15"/>
  <c r="Q11" i="15"/>
  <c r="M11" i="15" s="1"/>
  <c r="Q27" i="15"/>
  <c r="Q18" i="15"/>
  <c r="Q12" i="15"/>
  <c r="M10" i="15" l="1"/>
  <c r="M12" i="15"/>
  <c r="R12" i="16"/>
  <c r="M12" i="16"/>
  <c r="H12" i="16"/>
  <c r="U11" i="15" l="1"/>
  <c r="U12" i="15"/>
  <c r="U10" i="15"/>
  <c r="U9" i="15"/>
  <c r="AZ11" i="5"/>
  <c r="BW6" i="5"/>
  <c r="AP20" i="5"/>
  <c r="P20" i="5"/>
  <c r="C15" i="1" l="1"/>
  <c r="R25" i="16" l="1"/>
  <c r="C33" i="5" l="1"/>
  <c r="C31" i="3"/>
  <c r="R26" i="5"/>
  <c r="AN26" i="5"/>
  <c r="BJ26" i="5"/>
  <c r="P15" i="5"/>
  <c r="BD14" i="5"/>
  <c r="P14" i="5"/>
  <c r="AC13" i="5"/>
  <c r="P13" i="5"/>
  <c r="BQ5" i="5"/>
  <c r="BJ24" i="3" l="1"/>
  <c r="AN24" i="3"/>
  <c r="R24" i="3"/>
  <c r="C19" i="3"/>
  <c r="BD18" i="3"/>
  <c r="P18" i="3"/>
  <c r="P14" i="3"/>
  <c r="BD13" i="3"/>
  <c r="P13" i="3"/>
  <c r="AC12" i="3"/>
  <c r="P12" i="3"/>
  <c r="AZ10" i="3"/>
  <c r="BW5" i="3"/>
  <c r="P10" i="1" l="1"/>
  <c r="BD9" i="1"/>
  <c r="BQ4" i="3"/>
  <c r="X2" i="2" l="1"/>
  <c r="Q2" i="2"/>
  <c r="J2" i="2"/>
  <c r="AX6" i="1"/>
  <c r="BW4" i="1"/>
  <c r="AW2" i="1"/>
  <c r="BJ30" i="1" l="1"/>
  <c r="AN30" i="1"/>
  <c r="R30" i="1"/>
  <c r="C31" i="1" s="1"/>
  <c r="P9" i="1" l="1"/>
  <c r="BJ29" i="1"/>
  <c r="AN29" i="1"/>
  <c r="R29" i="1"/>
  <c r="BJ20" i="1"/>
  <c r="AN20" i="1"/>
  <c r="R20" i="1"/>
  <c r="BD14" i="1" l="1"/>
  <c r="P14" i="1"/>
  <c r="BJ31" i="5" l="1"/>
  <c r="AN31" i="5"/>
  <c r="R31" i="5"/>
  <c r="O2" i="11"/>
  <c r="O3" i="11" s="1"/>
  <c r="B3" i="20"/>
  <c r="R14" i="20"/>
  <c r="R13" i="20"/>
  <c r="R6" i="20"/>
  <c r="R3" i="20"/>
  <c r="R8" i="20" s="1"/>
  <c r="M14" i="20"/>
  <c r="M13" i="20"/>
  <c r="M7" i="20"/>
  <c r="AN33" i="5" s="1"/>
  <c r="M3" i="20"/>
  <c r="M8" i="20" s="1"/>
  <c r="Q11" i="14" s="1"/>
  <c r="H14" i="20"/>
  <c r="H13" i="20"/>
  <c r="H7" i="20"/>
  <c r="R33" i="5" s="1"/>
  <c r="H6" i="20"/>
  <c r="H3" i="20"/>
  <c r="H8" i="20" s="1"/>
  <c r="J11" i="14" s="1"/>
  <c r="D19" i="20"/>
  <c r="D18" i="20"/>
  <c r="D17" i="20"/>
  <c r="U5" i="18" s="1"/>
  <c r="D16" i="20"/>
  <c r="AA13" i="18" s="1"/>
  <c r="D12" i="20"/>
  <c r="D11" i="20"/>
  <c r="D10" i="20"/>
  <c r="D7" i="20"/>
  <c r="D6" i="20"/>
  <c r="D5" i="20"/>
  <c r="R22" i="20" s="1"/>
  <c r="D4" i="20"/>
  <c r="S11" i="20"/>
  <c r="N11" i="20"/>
  <c r="I11" i="20"/>
  <c r="E3" i="20"/>
  <c r="B41" i="7"/>
  <c r="D11" i="14"/>
  <c r="M9" i="20" s="1"/>
  <c r="W10" i="14"/>
  <c r="P10" i="14"/>
  <c r="I10" i="14"/>
  <c r="W7" i="14"/>
  <c r="P7" i="14"/>
  <c r="I7" i="14"/>
  <c r="G2" i="14"/>
  <c r="D2" i="14"/>
  <c r="R3" i="13"/>
  <c r="M3" i="13"/>
  <c r="H3" i="13"/>
  <c r="H8" i="13" s="1"/>
  <c r="J11" i="4" s="1"/>
  <c r="E3" i="13"/>
  <c r="G2" i="4"/>
  <c r="D2" i="4"/>
  <c r="G2" i="2"/>
  <c r="H25" i="16"/>
  <c r="H18" i="20" l="1"/>
  <c r="R18" i="20"/>
  <c r="M18" i="20"/>
  <c r="M6" i="20"/>
  <c r="BJ27" i="5"/>
  <c r="R27" i="5"/>
  <c r="I6" i="20"/>
  <c r="AN27" i="5"/>
  <c r="N6" i="20"/>
  <c r="D8" i="20"/>
  <c r="D7" i="14" s="1"/>
  <c r="BW13" i="5" s="1"/>
  <c r="S18" i="20"/>
  <c r="N18" i="20"/>
  <c r="I18" i="20"/>
  <c r="R9" i="20"/>
  <c r="R7" i="20" s="1"/>
  <c r="BJ33" i="5" s="1"/>
  <c r="H9" i="20"/>
  <c r="R17" i="20"/>
  <c r="G29" i="11"/>
  <c r="G28" i="11"/>
  <c r="B3" i="13"/>
  <c r="AW4" i="5"/>
  <c r="AW3" i="3"/>
  <c r="X10" i="14"/>
  <c r="BD15" i="5"/>
  <c r="S9" i="14"/>
  <c r="S6" i="14"/>
  <c r="Q7" i="14"/>
  <c r="L6" i="14"/>
  <c r="D13" i="20"/>
  <c r="S6" i="20" s="1"/>
  <c r="L9" i="14"/>
  <c r="Z9" i="14"/>
  <c r="X7" i="14"/>
  <c r="M22" i="20"/>
  <c r="W4" i="18"/>
  <c r="I5" i="9"/>
  <c r="H6" i="9" s="1"/>
  <c r="X5" i="18"/>
  <c r="X11" i="14"/>
  <c r="H22" i="20"/>
  <c r="H17" i="20"/>
  <c r="M17" i="20"/>
  <c r="N8" i="20"/>
  <c r="S11" i="14" s="1"/>
  <c r="J10" i="14"/>
  <c r="Q10" i="14"/>
  <c r="J7" i="14"/>
  <c r="Z6" i="14"/>
  <c r="B2" i="16"/>
  <c r="E2" i="16"/>
  <c r="M4" i="20" l="1"/>
  <c r="O18" i="20" s="1"/>
  <c r="S17" i="20"/>
  <c r="N17" i="20"/>
  <c r="O17" i="20" s="1"/>
  <c r="I17" i="20"/>
  <c r="N9" i="20"/>
  <c r="N7" i="20" s="1"/>
  <c r="AW33" i="5" s="1"/>
  <c r="AA27" i="5"/>
  <c r="I8" i="20"/>
  <c r="L11" i="14" s="1"/>
  <c r="AW27" i="5"/>
  <c r="H4" i="20"/>
  <c r="J18" i="20" s="1"/>
  <c r="R4" i="20"/>
  <c r="T18" i="20" s="1"/>
  <c r="I3" i="9"/>
  <c r="I4" i="9" s="1"/>
  <c r="D38" i="9" s="1"/>
  <c r="F38" i="9" s="1"/>
  <c r="S8" i="20"/>
  <c r="Z11" i="14" s="1"/>
  <c r="U3" i="18"/>
  <c r="U4" i="18" s="1"/>
  <c r="X42" i="18" s="1"/>
  <c r="S9" i="20"/>
  <c r="S7" i="20" s="1"/>
  <c r="BS33" i="5" s="1"/>
  <c r="I9" i="20"/>
  <c r="I7" i="20" s="1"/>
  <c r="AA33" i="5" s="1"/>
  <c r="W41" i="18"/>
  <c r="T17" i="20" l="1"/>
  <c r="J17" i="20"/>
  <c r="I13" i="20"/>
  <c r="L16" i="14" s="1"/>
  <c r="I23" i="20"/>
  <c r="X40" i="18"/>
  <c r="W44" i="18"/>
  <c r="Y41" i="18"/>
  <c r="X44" i="18"/>
  <c r="X41" i="18"/>
  <c r="Y44" i="18"/>
  <c r="Y39" i="18"/>
  <c r="T47" i="18" s="1"/>
  <c r="X4" i="18" s="1"/>
  <c r="F15" i="14" s="1"/>
  <c r="AP19" i="5" s="1"/>
  <c r="W39" i="18"/>
  <c r="W43" i="18"/>
  <c r="W40" i="18"/>
  <c r="Y40" i="18"/>
  <c r="X43" i="18"/>
  <c r="X39" i="18"/>
  <c r="Y43" i="18"/>
  <c r="J4" i="14"/>
  <c r="I14" i="20"/>
  <c r="L17" i="14" s="1"/>
  <c r="I16" i="20"/>
  <c r="J22" i="14" s="1"/>
  <c r="R32" i="5" s="1"/>
  <c r="Y42" i="18"/>
  <c r="W47" i="18" s="1"/>
  <c r="D37" i="9"/>
  <c r="F37" i="9" s="1"/>
  <c r="W42" i="18"/>
  <c r="D46" i="9"/>
  <c r="F46" i="9" s="1"/>
  <c r="D45" i="9"/>
  <c r="F45" i="9" s="1"/>
  <c r="D44" i="9"/>
  <c r="F44" i="9" s="1"/>
  <c r="N23" i="20"/>
  <c r="N16" i="20"/>
  <c r="Q22" i="14" s="1"/>
  <c r="AN32" i="5" s="1"/>
  <c r="N13" i="20"/>
  <c r="S16" i="14" s="1"/>
  <c r="Q4" i="14"/>
  <c r="AN25" i="5" s="1"/>
  <c r="N14" i="20"/>
  <c r="S17" i="14" s="1"/>
  <c r="D42" i="9"/>
  <c r="F42" i="9" s="1"/>
  <c r="D41" i="9"/>
  <c r="F41" i="9" s="1"/>
  <c r="BS27" i="5"/>
  <c r="D40" i="9"/>
  <c r="F40" i="9" s="1"/>
  <c r="D43" i="9"/>
  <c r="F43" i="9" s="1"/>
  <c r="D39" i="9"/>
  <c r="F39" i="9" s="1"/>
  <c r="I6" i="9" s="1"/>
  <c r="D13" i="14" s="1"/>
  <c r="S20" i="13"/>
  <c r="N20" i="13"/>
  <c r="I20" i="13"/>
  <c r="B40" i="7"/>
  <c r="Y47" i="18" l="1"/>
  <c r="X47" i="18"/>
  <c r="U47" i="18"/>
  <c r="V47" i="18"/>
  <c r="R25" i="5"/>
  <c r="AA31" i="5"/>
  <c r="E17" i="20"/>
  <c r="M25" i="20"/>
  <c r="AW31" i="5"/>
  <c r="N19" i="20"/>
  <c r="D15" i="20"/>
  <c r="P19" i="5"/>
  <c r="H25" i="20"/>
  <c r="J19" i="14" s="1"/>
  <c r="I12" i="20"/>
  <c r="J15" i="14" s="1"/>
  <c r="I19" i="20"/>
  <c r="N12" i="20"/>
  <c r="Q15" i="14" s="1"/>
  <c r="D18" i="14"/>
  <c r="S13" i="20"/>
  <c r="S14" i="20"/>
  <c r="Z17" i="14" s="1"/>
  <c r="S23" i="20"/>
  <c r="X4" i="14"/>
  <c r="S16" i="20"/>
  <c r="X22" i="14" s="1"/>
  <c r="BJ32" i="5" s="1"/>
  <c r="X20" i="4"/>
  <c r="BJ28" i="3" s="1"/>
  <c r="J20" i="4"/>
  <c r="R28" i="3" s="1"/>
  <c r="Q20" i="4"/>
  <c r="AN28" i="3" s="1"/>
  <c r="S11" i="13"/>
  <c r="N11" i="13"/>
  <c r="I11" i="13"/>
  <c r="H13" i="13"/>
  <c r="J2" i="11"/>
  <c r="J3" i="11" s="1"/>
  <c r="R14" i="13"/>
  <c r="R13" i="13"/>
  <c r="M14" i="13"/>
  <c r="M13" i="13"/>
  <c r="H14" i="13"/>
  <c r="R25" i="20" l="1"/>
  <c r="X19" i="14" s="1"/>
  <c r="M21" i="20"/>
  <c r="Q20" i="14" s="1"/>
  <c r="AN29" i="5" s="1"/>
  <c r="Q19" i="14"/>
  <c r="AN28" i="5" s="1"/>
  <c r="H21" i="20"/>
  <c r="J20" i="14" s="1"/>
  <c r="R29" i="5" s="1"/>
  <c r="S19" i="20"/>
  <c r="N20" i="20"/>
  <c r="D20" i="20"/>
  <c r="BR19" i="5"/>
  <c r="AN30" i="5" s="1"/>
  <c r="I20" i="20"/>
  <c r="R28" i="5"/>
  <c r="BJ25" i="5"/>
  <c r="BS31" i="5"/>
  <c r="S12" i="20"/>
  <c r="X15" i="14" s="1"/>
  <c r="Z16" i="14"/>
  <c r="R7" i="13"/>
  <c r="BJ31" i="3" s="1"/>
  <c r="M7" i="13"/>
  <c r="AN31" i="3" s="1"/>
  <c r="D16" i="13"/>
  <c r="R13" i="18" s="1"/>
  <c r="D19" i="13"/>
  <c r="D18" i="13"/>
  <c r="D17" i="13"/>
  <c r="L5" i="18" s="1"/>
  <c r="R6" i="13"/>
  <c r="M6" i="13"/>
  <c r="H6" i="13"/>
  <c r="W10" i="4"/>
  <c r="I10" i="4"/>
  <c r="P10" i="4"/>
  <c r="D11" i="13"/>
  <c r="D12" i="13"/>
  <c r="D10" i="13"/>
  <c r="D7" i="13"/>
  <c r="D6" i="13"/>
  <c r="D5" i="13"/>
  <c r="D4" i="13"/>
  <c r="F5" i="9" l="1"/>
  <c r="D8" i="13"/>
  <c r="S17" i="13"/>
  <c r="N17" i="13"/>
  <c r="I17" i="13"/>
  <c r="F29" i="11"/>
  <c r="R25" i="3"/>
  <c r="BJ25" i="3"/>
  <c r="AN25" i="3"/>
  <c r="F28" i="11"/>
  <c r="S16" i="13" s="1"/>
  <c r="M16" i="13"/>
  <c r="R21" i="20"/>
  <c r="X20" i="14" s="1"/>
  <c r="BJ29" i="5" s="1"/>
  <c r="S20" i="20"/>
  <c r="BJ28" i="5"/>
  <c r="R24" i="13"/>
  <c r="M24" i="13"/>
  <c r="H24" i="13"/>
  <c r="H16" i="13"/>
  <c r="O5" i="18"/>
  <c r="E6" i="9"/>
  <c r="N4" i="18"/>
  <c r="L50" i="18" l="1"/>
  <c r="M50" i="18" s="1"/>
  <c r="I16" i="13"/>
  <c r="N16" i="13"/>
  <c r="D7" i="4"/>
  <c r="BW12" i="3" s="1"/>
  <c r="R8" i="13"/>
  <c r="X11" i="4" s="1"/>
  <c r="M8" i="13"/>
  <c r="Q11" i="4" s="1"/>
  <c r="R16" i="13"/>
  <c r="D11" i="4"/>
  <c r="W7" i="4"/>
  <c r="P7" i="4"/>
  <c r="I7" i="4"/>
  <c r="R28" i="16"/>
  <c r="M28" i="16"/>
  <c r="Q7" i="4" l="1"/>
  <c r="L6" i="4"/>
  <c r="BD14" i="3"/>
  <c r="R9" i="13"/>
  <c r="H9" i="13"/>
  <c r="H7" i="13" s="1"/>
  <c r="R31" i="3" s="1"/>
  <c r="M9" i="13"/>
  <c r="J10" i="4"/>
  <c r="L9" i="4"/>
  <c r="Z6" i="4"/>
  <c r="Z9" i="4"/>
  <c r="J7" i="4"/>
  <c r="D13" i="13"/>
  <c r="Q10" i="4"/>
  <c r="X10" i="4"/>
  <c r="S6" i="4"/>
  <c r="X7" i="4"/>
  <c r="S9" i="4"/>
  <c r="C20" i="2"/>
  <c r="AP14" i="1" s="1"/>
  <c r="C19" i="2"/>
  <c r="C14" i="1" s="1"/>
  <c r="C17" i="2"/>
  <c r="AP13" i="1" s="1"/>
  <c r="C16" i="2"/>
  <c r="C13" i="1" s="1"/>
  <c r="D16" i="16"/>
  <c r="I13" i="18" s="1"/>
  <c r="D17" i="16"/>
  <c r="C5" i="18" s="1"/>
  <c r="H4" i="16"/>
  <c r="H3" i="16"/>
  <c r="I8" i="13" l="1"/>
  <c r="N8" i="13"/>
  <c r="S11" i="4" s="1"/>
  <c r="L3" i="18"/>
  <c r="L4" i="18" s="1"/>
  <c r="F3" i="9"/>
  <c r="F4" i="9" s="1"/>
  <c r="S9" i="13"/>
  <c r="S7" i="13" s="1"/>
  <c r="BS31" i="3" s="1"/>
  <c r="N9" i="13"/>
  <c r="N7" i="13" s="1"/>
  <c r="AW31" i="3" s="1"/>
  <c r="I9" i="13"/>
  <c r="I7" i="13" s="1"/>
  <c r="AA31" i="3" s="1"/>
  <c r="I6" i="13"/>
  <c r="H4" i="13" s="1"/>
  <c r="J4" i="4" s="1"/>
  <c r="N6" i="13"/>
  <c r="M4" i="13" s="1"/>
  <c r="S6" i="13"/>
  <c r="R4" i="13" s="1"/>
  <c r="S8" i="13"/>
  <c r="Z11" i="4" s="1"/>
  <c r="L11" i="4"/>
  <c r="T16" i="13" l="1"/>
  <c r="T17" i="13"/>
  <c r="AW25" i="3"/>
  <c r="X4" i="4"/>
  <c r="BJ23" i="3" s="1"/>
  <c r="BS25" i="3"/>
  <c r="AA25" i="3"/>
  <c r="D31" i="9"/>
  <c r="F31" i="9" s="1"/>
  <c r="D32" i="9"/>
  <c r="F32" i="9" s="1"/>
  <c r="D33" i="9"/>
  <c r="F33" i="9" s="1"/>
  <c r="D24" i="9"/>
  <c r="F24" i="9" s="1"/>
  <c r="F6" i="9" s="1"/>
  <c r="D29" i="9"/>
  <c r="F29" i="9" s="1"/>
  <c r="D30" i="9"/>
  <c r="F30" i="9" s="1"/>
  <c r="D25" i="9"/>
  <c r="F25" i="9" s="1"/>
  <c r="D26" i="9"/>
  <c r="F26" i="9" s="1"/>
  <c r="D27" i="9"/>
  <c r="F27" i="9" s="1"/>
  <c r="D28" i="9"/>
  <c r="F28" i="9" s="1"/>
  <c r="P43" i="18"/>
  <c r="O47" i="18" s="1"/>
  <c r="O4" i="18" s="1"/>
  <c r="O41" i="18"/>
  <c r="O40" i="18"/>
  <c r="N44" i="18"/>
  <c r="N39" i="18"/>
  <c r="P39" i="18"/>
  <c r="K47" i="18" s="1"/>
  <c r="P40" i="18"/>
  <c r="L47" i="18" s="1"/>
  <c r="O39" i="18"/>
  <c r="P42" i="18"/>
  <c r="N47" i="18" s="1"/>
  <c r="O44" i="18"/>
  <c r="N43" i="18"/>
  <c r="O43" i="18"/>
  <c r="P41" i="18"/>
  <c r="M47" i="18" s="1"/>
  <c r="O42" i="18"/>
  <c r="N40" i="18"/>
  <c r="N41" i="18"/>
  <c r="N42" i="18"/>
  <c r="P44" i="18"/>
  <c r="P47" i="18" s="1"/>
  <c r="I14" i="13" l="1"/>
  <c r="L17" i="4" s="1"/>
  <c r="N14" i="13"/>
  <c r="S17" i="4" s="1"/>
  <c r="O16" i="13"/>
  <c r="O17" i="13"/>
  <c r="J17" i="13"/>
  <c r="J16" i="13"/>
  <c r="R23" i="3"/>
  <c r="I13" i="13"/>
  <c r="S13" i="13"/>
  <c r="S14" i="13"/>
  <c r="Z17" i="4" s="1"/>
  <c r="Q4" i="4"/>
  <c r="AN23" i="3" s="1"/>
  <c r="N13" i="13"/>
  <c r="M39" i="13" s="1"/>
  <c r="F15" i="4"/>
  <c r="BQ3" i="1"/>
  <c r="P8" i="1"/>
  <c r="AC8" i="1"/>
  <c r="H39" i="13" l="1"/>
  <c r="I19" i="13" s="1"/>
  <c r="I21" i="13" s="1"/>
  <c r="J21" i="4" s="1"/>
  <c r="R39" i="13"/>
  <c r="S19" i="13" s="1"/>
  <c r="S21" i="13" s="1"/>
  <c r="X21" i="4" s="1"/>
  <c r="I12" i="13"/>
  <c r="J15" i="4" s="1"/>
  <c r="I18" i="13"/>
  <c r="L16" i="4"/>
  <c r="S18" i="13"/>
  <c r="S12" i="13"/>
  <c r="X15" i="4" s="1"/>
  <c r="S16" i="4"/>
  <c r="N19" i="13"/>
  <c r="N21" i="13" s="1"/>
  <c r="Q21" i="4" s="1"/>
  <c r="N18" i="13"/>
  <c r="N12" i="13"/>
  <c r="Q15" i="4" s="1"/>
  <c r="Z16" i="4"/>
  <c r="E17" i="13"/>
  <c r="BD17" i="3"/>
  <c r="P8" i="2"/>
  <c r="P10" i="2"/>
  <c r="P12" i="2"/>
  <c r="W12" i="2"/>
  <c r="W10" i="2"/>
  <c r="W8" i="2"/>
  <c r="J19" i="4" l="1"/>
  <c r="R27" i="3" s="1"/>
  <c r="H23" i="13"/>
  <c r="J22" i="4" s="1"/>
  <c r="R30" i="3" s="1"/>
  <c r="R23" i="13"/>
  <c r="X22" i="4" s="1"/>
  <c r="BJ30" i="3" s="1"/>
  <c r="M23" i="13"/>
  <c r="Q22" i="4" s="1"/>
  <c r="AN30" i="3" s="1"/>
  <c r="X19" i="4"/>
  <c r="BJ27" i="3" s="1"/>
  <c r="Q19" i="4"/>
  <c r="AN27" i="3" s="1"/>
  <c r="AN26" i="3"/>
  <c r="BJ26" i="3"/>
  <c r="R26" i="3"/>
  <c r="I12" i="2"/>
  <c r="I10" i="2"/>
  <c r="I8" i="2"/>
  <c r="M25" i="16" l="1"/>
  <c r="D3" i="16" l="1"/>
  <c r="X25" i="2"/>
  <c r="BJ26" i="1" s="1"/>
  <c r="Q25" i="2"/>
  <c r="AN26" i="1" s="1"/>
  <c r="J25" i="2"/>
  <c r="R26" i="1" s="1"/>
  <c r="S13" i="16"/>
  <c r="N13" i="16"/>
  <c r="I13" i="16"/>
  <c r="I23" i="16" l="1"/>
  <c r="H23" i="16"/>
  <c r="M23" i="16"/>
  <c r="R23" i="16"/>
  <c r="S23" i="16"/>
  <c r="N23" i="16"/>
  <c r="O22" i="16"/>
  <c r="T22" i="16"/>
  <c r="R22" i="16"/>
  <c r="M22" i="16"/>
  <c r="H22" i="16"/>
  <c r="J22" i="16"/>
  <c r="H21" i="16"/>
  <c r="M21" i="16"/>
  <c r="R21" i="16"/>
  <c r="R16" i="16" l="1"/>
  <c r="R15" i="16"/>
  <c r="M16" i="16"/>
  <c r="M15" i="16"/>
  <c r="H16" i="16"/>
  <c r="H15" i="16"/>
  <c r="R4" i="16" l="1"/>
  <c r="C27" i="15" s="1"/>
  <c r="R3" i="16"/>
  <c r="M4" i="16"/>
  <c r="C18" i="15" s="1"/>
  <c r="M3" i="16"/>
  <c r="C17" i="15" s="1"/>
  <c r="S28" i="15" l="1"/>
  <c r="R28" i="15"/>
  <c r="S19" i="15"/>
  <c r="R19" i="15"/>
  <c r="L21" i="15"/>
  <c r="L20" i="15"/>
  <c r="L18" i="15"/>
  <c r="L19" i="15"/>
  <c r="C26" i="15"/>
  <c r="L30" i="15" s="1"/>
  <c r="I19" i="15"/>
  <c r="I21" i="15"/>
  <c r="J21" i="15"/>
  <c r="J20" i="15"/>
  <c r="J19" i="15"/>
  <c r="J18" i="15"/>
  <c r="I20" i="15"/>
  <c r="I18" i="15"/>
  <c r="J28" i="15"/>
  <c r="J29" i="15"/>
  <c r="J27" i="15"/>
  <c r="J30" i="15"/>
  <c r="R10" i="16"/>
  <c r="M10" i="16"/>
  <c r="D11" i="16"/>
  <c r="D12" i="16"/>
  <c r="I27" i="15" l="1"/>
  <c r="K27" i="15" s="1"/>
  <c r="M27" i="15" s="1"/>
  <c r="L27" i="15"/>
  <c r="L28" i="15"/>
  <c r="I29" i="15"/>
  <c r="K29" i="15" s="1"/>
  <c r="L29" i="15"/>
  <c r="I28" i="15"/>
  <c r="K28" i="15" s="1"/>
  <c r="M28" i="15" s="1"/>
  <c r="I30" i="15"/>
  <c r="K30" i="15" s="1"/>
  <c r="M30" i="15" s="1"/>
  <c r="K19" i="15"/>
  <c r="M19" i="15" s="1"/>
  <c r="K21" i="15"/>
  <c r="M21" i="15" s="1"/>
  <c r="K18" i="15"/>
  <c r="M18" i="15" s="1"/>
  <c r="K20" i="15"/>
  <c r="M20" i="15" s="1"/>
  <c r="X15" i="2"/>
  <c r="Q15" i="2"/>
  <c r="B39" i="7"/>
  <c r="U21" i="15" l="1"/>
  <c r="U19" i="15"/>
  <c r="U20" i="15"/>
  <c r="U18" i="15"/>
  <c r="M29" i="15"/>
  <c r="U29" i="15" s="1"/>
  <c r="H10" i="16"/>
  <c r="U30" i="15" l="1"/>
  <c r="U28" i="15"/>
  <c r="U27" i="15"/>
  <c r="J15" i="2"/>
  <c r="D18" i="16"/>
  <c r="D19" i="16"/>
  <c r="D5" i="16"/>
  <c r="D6" i="16"/>
  <c r="D10" i="16"/>
  <c r="D4" i="16"/>
  <c r="R33" i="16" l="1"/>
  <c r="H33" i="16"/>
  <c r="M33" i="16"/>
  <c r="F5" i="18"/>
  <c r="C50" i="18" s="1"/>
  <c r="D50" i="18" s="1"/>
  <c r="X1" i="16"/>
  <c r="B10" i="2" s="1"/>
  <c r="D8" i="16"/>
  <c r="D9" i="2" s="1"/>
  <c r="BW8" i="1" s="1"/>
  <c r="E28" i="11"/>
  <c r="E29" i="11"/>
  <c r="E4" i="18"/>
  <c r="C5" i="9"/>
  <c r="B6" i="9" s="1"/>
  <c r="AD17" i="2" s="1"/>
  <c r="N21" i="16" l="1"/>
  <c r="I21" i="16"/>
  <c r="S21" i="16"/>
  <c r="D14" i="2" l="1"/>
  <c r="C5" i="15" s="1"/>
  <c r="G39" i="15" l="1"/>
  <c r="E43" i="15"/>
  <c r="G42" i="15"/>
  <c r="G40" i="15"/>
  <c r="G38" i="15"/>
  <c r="E42" i="15"/>
  <c r="D41" i="15"/>
  <c r="F38" i="15"/>
  <c r="E44" i="15"/>
  <c r="F45" i="15"/>
  <c r="D45" i="15"/>
  <c r="D39" i="15"/>
  <c r="F44" i="15"/>
  <c r="D44" i="15"/>
  <c r="F39" i="15"/>
  <c r="F43" i="15"/>
  <c r="D43" i="15"/>
  <c r="G43" i="15"/>
  <c r="D38" i="15"/>
  <c r="F42" i="15"/>
  <c r="D42" i="15"/>
  <c r="D40" i="15"/>
  <c r="E45" i="15"/>
  <c r="F41" i="15"/>
  <c r="F40" i="15"/>
  <c r="G41" i="15"/>
  <c r="Z11" i="2"/>
  <c r="Z9" i="2"/>
  <c r="S11" i="2"/>
  <c r="L11" i="2"/>
  <c r="L7" i="2"/>
  <c r="Z7" i="2"/>
  <c r="L9" i="2"/>
  <c r="S7" i="2"/>
  <c r="S9" i="2"/>
  <c r="J12" i="2"/>
  <c r="J8" i="2"/>
  <c r="J10" i="2"/>
  <c r="BJ31" i="1"/>
  <c r="AN31" i="1"/>
  <c r="R31" i="1"/>
  <c r="BD10" i="1"/>
  <c r="L13" i="2"/>
  <c r="S13" i="2"/>
  <c r="Z13" i="2"/>
  <c r="X8" i="2"/>
  <c r="X12" i="2"/>
  <c r="X10" i="2"/>
  <c r="Q12" i="2"/>
  <c r="Q8" i="2"/>
  <c r="Q10" i="2"/>
  <c r="D13" i="16"/>
  <c r="N10" i="16" l="1"/>
  <c r="S15" i="2" s="1"/>
  <c r="S10" i="16"/>
  <c r="I10" i="16"/>
  <c r="L15" i="2" s="1"/>
  <c r="C3" i="18"/>
  <c r="C3" i="9"/>
  <c r="C4" i="9" s="1"/>
  <c r="D11" i="9" s="1"/>
  <c r="F11" i="9" s="1"/>
  <c r="Z15" i="2" l="1"/>
  <c r="C4" i="18"/>
  <c r="F43" i="18"/>
  <c r="G43" i="18"/>
  <c r="D14" i="9"/>
  <c r="F14" i="9" s="1"/>
  <c r="D15" i="9"/>
  <c r="F15" i="9" s="1"/>
  <c r="D16" i="9"/>
  <c r="F16" i="9" s="1"/>
  <c r="D17" i="9"/>
  <c r="F17" i="9" s="1"/>
  <c r="D19" i="9"/>
  <c r="F19" i="9" s="1"/>
  <c r="D13" i="9"/>
  <c r="F13" i="9" s="1"/>
  <c r="D18" i="9"/>
  <c r="F18" i="9" s="1"/>
  <c r="D20" i="9"/>
  <c r="F20" i="9" s="1"/>
  <c r="C6" i="9" s="1"/>
  <c r="D12" i="9"/>
  <c r="F12" i="9" s="1"/>
  <c r="D16" i="2" l="1"/>
  <c r="P13" i="1" s="1"/>
  <c r="F44" i="18"/>
  <c r="E40" i="18"/>
  <c r="E43" i="18"/>
  <c r="F47" i="18" s="1"/>
  <c r="E42" i="18"/>
  <c r="E41" i="18"/>
  <c r="G39" i="18"/>
  <c r="G42" i="18"/>
  <c r="F41" i="18"/>
  <c r="F42" i="18"/>
  <c r="G40" i="18"/>
  <c r="E39" i="18"/>
  <c r="E44" i="18"/>
  <c r="G44" i="18"/>
  <c r="F40" i="18"/>
  <c r="G41" i="18"/>
  <c r="F39" i="18"/>
  <c r="C47" i="18" l="1"/>
  <c r="F4" i="18" s="1"/>
  <c r="F18" i="2" s="1"/>
  <c r="BD13" i="1" s="1"/>
  <c r="B47" i="18"/>
  <c r="G47" i="18"/>
  <c r="E47" i="18"/>
  <c r="D47" i="18"/>
  <c r="D13" i="4"/>
  <c r="D15" i="16"/>
  <c r="D21" i="2" l="1"/>
  <c r="BD15" i="1" s="1"/>
  <c r="D18" i="4"/>
  <c r="P17" i="3"/>
  <c r="D15" i="13"/>
  <c r="BJ30" i="5" l="1"/>
  <c r="R30" i="5"/>
  <c r="D20" i="13"/>
  <c r="BD19" i="3"/>
  <c r="BJ29" i="3" l="1"/>
  <c r="R29" i="3"/>
  <c r="AN29" i="3"/>
  <c r="R8" i="16" l="1"/>
  <c r="E28" i="15" s="1"/>
  <c r="N28" i="15" l="1"/>
  <c r="O28" i="15" s="1"/>
  <c r="P28" i="15" s="1"/>
  <c r="N27" i="15"/>
  <c r="O27" i="15" s="1"/>
  <c r="P27" i="15" s="1"/>
  <c r="N30" i="15"/>
  <c r="O30" i="15" s="1"/>
  <c r="P30" i="15" s="1"/>
  <c r="N29" i="15"/>
  <c r="O29" i="15" s="1"/>
  <c r="P29" i="15" s="1"/>
  <c r="S8" i="16"/>
  <c r="C28" i="15" s="1"/>
  <c r="BJ23" i="1"/>
  <c r="V30" i="15" l="1"/>
  <c r="W30" i="15" s="1"/>
  <c r="V28" i="15"/>
  <c r="W28" i="15" s="1"/>
  <c r="V29" i="15"/>
  <c r="W29" i="15" s="1"/>
  <c r="V27" i="15"/>
  <c r="W27" i="15" s="1"/>
  <c r="BS23" i="1"/>
  <c r="F29" i="15" l="1"/>
  <c r="F28" i="15"/>
  <c r="F30" i="15"/>
  <c r="F27" i="15"/>
  <c r="E17" i="16"/>
  <c r="D20" i="16"/>
  <c r="C29" i="15" l="1"/>
  <c r="D23" i="2"/>
  <c r="E29" i="15" l="1"/>
  <c r="S19" i="16"/>
  <c r="S18" i="16"/>
  <c r="R18" i="16"/>
  <c r="R17" i="16" s="1"/>
  <c r="C31" i="15"/>
  <c r="D31" i="15"/>
  <c r="E30" i="15"/>
  <c r="R9" i="16" s="1"/>
  <c r="BJ19" i="1"/>
  <c r="AN19" i="1"/>
  <c r="R19" i="1"/>
  <c r="D22" i="16"/>
  <c r="T20" i="16" l="1"/>
  <c r="T19" i="16"/>
  <c r="T18" i="16"/>
  <c r="J21" i="16"/>
  <c r="X14" i="2"/>
  <c r="S9" i="16"/>
  <c r="O21" i="16"/>
  <c r="J23" i="16"/>
  <c r="T23" i="16"/>
  <c r="O23" i="16"/>
  <c r="T24" i="16"/>
  <c r="O24" i="16"/>
  <c r="J24" i="16"/>
  <c r="T21" i="16"/>
  <c r="N16" i="16"/>
  <c r="S22" i="2" s="1"/>
  <c r="N15" i="16"/>
  <c r="S16" i="16"/>
  <c r="Z22" i="2" s="1"/>
  <c r="S15" i="16"/>
  <c r="I15" i="16"/>
  <c r="I16" i="16"/>
  <c r="L22" i="2" s="1"/>
  <c r="S26" i="16" l="1"/>
  <c r="S14" i="16"/>
  <c r="X20" i="2" s="1"/>
  <c r="I14" i="16"/>
  <c r="N14" i="16"/>
  <c r="Z14" i="2"/>
  <c r="L21" i="2"/>
  <c r="S21" i="2"/>
  <c r="Z21" i="2"/>
  <c r="H7" i="16" l="1"/>
  <c r="S6" i="16"/>
  <c r="BJ21" i="1"/>
  <c r="R22" i="1" l="1"/>
  <c r="I7" i="16"/>
  <c r="BS21" i="1"/>
  <c r="R7" i="16"/>
  <c r="S35" i="16" l="1"/>
  <c r="H29" i="16"/>
  <c r="J26" i="2" s="1"/>
  <c r="R27" i="1" s="1"/>
  <c r="AA22" i="1"/>
  <c r="S7" i="16"/>
  <c r="BS22" i="1" s="1"/>
  <c r="BJ28" i="1" s="1"/>
  <c r="BJ22" i="1"/>
  <c r="S37" i="16" l="1"/>
  <c r="R37" i="16" s="1"/>
  <c r="S36" i="16"/>
  <c r="R36" i="16" s="1"/>
  <c r="R43" i="16"/>
  <c r="R42" i="16" s="1"/>
  <c r="R29" i="16"/>
  <c r="X26" i="2" s="1"/>
  <c r="BJ27" i="1" s="1"/>
  <c r="R27" i="16" l="1"/>
  <c r="BS33" i="1" s="1"/>
  <c r="R32" i="16"/>
  <c r="BJ35" i="1" l="1"/>
  <c r="BJ34" i="1"/>
  <c r="BS35" i="1"/>
  <c r="BS34" i="1"/>
  <c r="X28" i="2"/>
  <c r="R30" i="16"/>
  <c r="X24" i="2"/>
  <c r="BJ25" i="1" s="1"/>
  <c r="T30" i="16"/>
  <c r="X27" i="2" l="1"/>
  <c r="BJ24" i="1" s="1"/>
  <c r="M7" i="16" l="1"/>
  <c r="AN22" i="1" l="1"/>
  <c r="N7" i="16"/>
  <c r="M29" i="16" l="1"/>
  <c r="Q26" i="2" s="1"/>
  <c r="AN27" i="1" s="1"/>
  <c r="AW22" i="1"/>
  <c r="Q20" i="2" l="1"/>
  <c r="H8" i="16" l="1"/>
  <c r="I8" i="16" l="1"/>
  <c r="C10" i="15" s="1"/>
  <c r="E10" i="15"/>
  <c r="R23" i="1"/>
  <c r="AA23" i="1" l="1"/>
  <c r="N10" i="15"/>
  <c r="O10" i="15" s="1"/>
  <c r="P10" i="15" s="1"/>
  <c r="N11" i="15"/>
  <c r="O11" i="15" s="1"/>
  <c r="P11" i="15" s="1"/>
  <c r="N12" i="15"/>
  <c r="O12" i="15" s="1"/>
  <c r="P12" i="15" s="1"/>
  <c r="N9" i="15"/>
  <c r="O9" i="15" s="1"/>
  <c r="P9" i="15" s="1"/>
  <c r="J20" i="2"/>
  <c r="V12" i="15" l="1"/>
  <c r="W12" i="15" s="1"/>
  <c r="V10" i="15"/>
  <c r="W10" i="15" s="1"/>
  <c r="V9" i="15"/>
  <c r="W9" i="15" s="1"/>
  <c r="V11" i="15"/>
  <c r="W11" i="15" s="1"/>
  <c r="F11" i="15" l="1"/>
  <c r="H6" i="16"/>
  <c r="F12" i="15"/>
  <c r="F10" i="15"/>
  <c r="F9" i="15"/>
  <c r="I6" i="16" l="1"/>
  <c r="AA21" i="1" s="1"/>
  <c r="R28" i="1" s="1"/>
  <c r="R21" i="1"/>
  <c r="C11" i="15"/>
  <c r="D13" i="15" s="1"/>
  <c r="M8" i="16"/>
  <c r="I19" i="16" l="1"/>
  <c r="I18" i="16"/>
  <c r="H18" i="16"/>
  <c r="H17" i="16" s="1"/>
  <c r="E12" i="15"/>
  <c r="H9" i="16" s="1"/>
  <c r="J14" i="2" s="1"/>
  <c r="E11" i="15"/>
  <c r="C13" i="15"/>
  <c r="AN23" i="1"/>
  <c r="E19" i="15"/>
  <c r="N8" i="16"/>
  <c r="C19" i="15" s="1"/>
  <c r="J19" i="16" l="1"/>
  <c r="J18" i="16"/>
  <c r="J20" i="16"/>
  <c r="I35" i="16" s="1"/>
  <c r="I9" i="16"/>
  <c r="L14" i="2" s="1"/>
  <c r="N20" i="15"/>
  <c r="O20" i="15" s="1"/>
  <c r="P20" i="15" s="1"/>
  <c r="N18" i="15"/>
  <c r="O18" i="15" s="1"/>
  <c r="P18" i="15" s="1"/>
  <c r="N19" i="15"/>
  <c r="O19" i="15" s="1"/>
  <c r="P19" i="15" s="1"/>
  <c r="N21" i="15"/>
  <c r="O21" i="15" s="1"/>
  <c r="P21" i="15" s="1"/>
  <c r="AW23" i="1"/>
  <c r="I36" i="16" l="1"/>
  <c r="H36" i="16" s="1"/>
  <c r="I37" i="16"/>
  <c r="H37" i="16" s="1"/>
  <c r="V21" i="15"/>
  <c r="W21" i="15" s="1"/>
  <c r="I26" i="16"/>
  <c r="H43" i="16"/>
  <c r="H42" i="16" s="1"/>
  <c r="H27" i="16" s="1"/>
  <c r="AA33" i="1" s="1"/>
  <c r="V19" i="15"/>
  <c r="W19" i="15" s="1"/>
  <c r="V18" i="15"/>
  <c r="W18" i="15" s="1"/>
  <c r="V20" i="15"/>
  <c r="W20" i="15" s="1"/>
  <c r="M6" i="16"/>
  <c r="R35" i="1" l="1"/>
  <c r="R34" i="1"/>
  <c r="AA34" i="1"/>
  <c r="AA35" i="1"/>
  <c r="H32" i="16"/>
  <c r="J28" i="2" s="1"/>
  <c r="F20" i="15"/>
  <c r="AN21" i="1"/>
  <c r="N6" i="16"/>
  <c r="AW21" i="1" s="1"/>
  <c r="AN28" i="1" s="1"/>
  <c r="F19" i="15"/>
  <c r="F21" i="15"/>
  <c r="J24" i="2"/>
  <c r="R25" i="1" s="1"/>
  <c r="J30" i="16"/>
  <c r="F18" i="15"/>
  <c r="C20" i="15" l="1"/>
  <c r="H30" i="16"/>
  <c r="J27" i="2" s="1"/>
  <c r="R24" i="1" s="1"/>
  <c r="C22" i="15" l="1"/>
  <c r="N18" i="16"/>
  <c r="N19" i="16"/>
  <c r="M18" i="16"/>
  <c r="M17" i="16" s="1"/>
  <c r="E21" i="15"/>
  <c r="M9" i="16" s="1"/>
  <c r="Q14" i="2" s="1"/>
  <c r="E20" i="15"/>
  <c r="D22" i="15"/>
  <c r="O20" i="16" s="1"/>
  <c r="N35" i="16" s="1"/>
  <c r="N36" i="16" l="1"/>
  <c r="M36" i="16" s="1"/>
  <c r="N37" i="16"/>
  <c r="M37" i="16" s="1"/>
  <c r="O19" i="16"/>
  <c r="O18" i="16"/>
  <c r="N26" i="16"/>
  <c r="M43" i="16"/>
  <c r="M42" i="16" s="1"/>
  <c r="N9" i="16"/>
  <c r="S14" i="2" s="1"/>
  <c r="M27" i="16" l="1"/>
  <c r="AW33" i="1" s="1"/>
  <c r="M32" i="16"/>
  <c r="AN34" i="1" l="1"/>
  <c r="AN35" i="1"/>
  <c r="AW35" i="1"/>
  <c r="AW34" i="1"/>
  <c r="Q24" i="2"/>
  <c r="AN25" i="1" s="1"/>
  <c r="O30" i="16"/>
  <c r="Q28" i="2"/>
  <c r="M30" i="16"/>
  <c r="Q27" i="2" s="1"/>
  <c r="AN24" i="1" s="1"/>
</calcChain>
</file>

<file path=xl/comments1.xml><?xml version="1.0" encoding="utf-8"?>
<comments xmlns="http://schemas.openxmlformats.org/spreadsheetml/2006/main">
  <authors>
    <author>user</author>
  </authors>
  <commentList>
    <comment ref="D4" authorId="0" shapeId="0">
      <text>
        <r>
          <rPr>
            <b/>
            <sz val="12"/>
            <color indexed="81"/>
            <rFont val="돋움"/>
            <family val="3"/>
            <charset val="129"/>
          </rPr>
          <t>브랜드</t>
        </r>
        <r>
          <rPr>
            <b/>
            <sz val="12"/>
            <color indexed="81"/>
            <rFont val="Tahoma"/>
            <family val="2"/>
          </rPr>
          <t xml:space="preserve"> </t>
        </r>
        <r>
          <rPr>
            <b/>
            <sz val="12"/>
            <color indexed="81"/>
            <rFont val="돋움"/>
            <family val="3"/>
            <charset val="129"/>
          </rPr>
          <t>선택</t>
        </r>
        <r>
          <rPr>
            <b/>
            <sz val="12"/>
            <color indexed="81"/>
            <rFont val="Tahoma"/>
            <family val="2"/>
          </rPr>
          <t xml:space="preserve"> </t>
        </r>
        <r>
          <rPr>
            <b/>
            <sz val="12"/>
            <color indexed="81"/>
            <rFont val="돋움"/>
            <family val="3"/>
            <charset val="129"/>
          </rPr>
          <t>후</t>
        </r>
        <r>
          <rPr>
            <b/>
            <sz val="12"/>
            <color indexed="81"/>
            <rFont val="Tahoma"/>
            <family val="2"/>
          </rPr>
          <t xml:space="preserve"> </t>
        </r>
        <r>
          <rPr>
            <b/>
            <sz val="12"/>
            <color indexed="81"/>
            <rFont val="돋움"/>
            <family val="3"/>
            <charset val="129"/>
          </rPr>
          <t>제휴사</t>
        </r>
        <r>
          <rPr>
            <b/>
            <sz val="12"/>
            <color indexed="81"/>
            <rFont val="Tahoma"/>
            <family val="2"/>
          </rPr>
          <t xml:space="preserve"> </t>
        </r>
        <r>
          <rPr>
            <b/>
            <sz val="12"/>
            <color indexed="81"/>
            <rFont val="돋움"/>
            <family val="3"/>
            <charset val="129"/>
          </rPr>
          <t>선택</t>
        </r>
      </text>
    </comment>
  </commentList>
</comments>
</file>

<file path=xl/comments2.xml><?xml version="1.0" encoding="utf-8"?>
<comments xmlns="http://schemas.openxmlformats.org/spreadsheetml/2006/main">
  <authors>
    <author>user</author>
  </authors>
  <commentList>
    <comment ref="I9" authorId="0" shapeId="0">
      <text>
        <r>
          <rPr>
            <b/>
            <sz val="12"/>
            <color indexed="81"/>
            <rFont val="돋움"/>
            <family val="3"/>
            <charset val="129"/>
          </rPr>
          <t>추후</t>
        </r>
        <r>
          <rPr>
            <b/>
            <sz val="12"/>
            <color indexed="81"/>
            <rFont val="Tahoma"/>
            <family val="2"/>
          </rPr>
          <t xml:space="preserve"> </t>
        </r>
        <r>
          <rPr>
            <b/>
            <sz val="12"/>
            <color indexed="81"/>
            <rFont val="돋움"/>
            <family val="3"/>
            <charset val="129"/>
          </rPr>
          <t>오픈</t>
        </r>
        <r>
          <rPr>
            <b/>
            <sz val="12"/>
            <color indexed="81"/>
            <rFont val="Tahoma"/>
            <family val="2"/>
          </rPr>
          <t xml:space="preserve"> </t>
        </r>
        <r>
          <rPr>
            <b/>
            <sz val="12"/>
            <color indexed="81"/>
            <rFont val="돋움"/>
            <family val="3"/>
            <charset val="129"/>
          </rPr>
          <t>예정</t>
        </r>
      </text>
    </comment>
  </commentList>
</comments>
</file>

<file path=xl/comments3.xml><?xml version="1.0" encoding="utf-8"?>
<comments xmlns="http://schemas.openxmlformats.org/spreadsheetml/2006/main">
  <authors>
    <author>user</author>
  </authors>
  <commentList>
    <comment ref="I9" authorId="0" shapeId="0">
      <text>
        <r>
          <rPr>
            <b/>
            <sz val="12"/>
            <color indexed="81"/>
            <rFont val="돋움"/>
            <family val="3"/>
            <charset val="129"/>
          </rPr>
          <t>추후</t>
        </r>
        <r>
          <rPr>
            <b/>
            <sz val="12"/>
            <color indexed="81"/>
            <rFont val="Tahoma"/>
            <family val="2"/>
          </rPr>
          <t xml:space="preserve"> </t>
        </r>
        <r>
          <rPr>
            <b/>
            <sz val="12"/>
            <color indexed="81"/>
            <rFont val="돋움"/>
            <family val="3"/>
            <charset val="129"/>
          </rPr>
          <t>오픈</t>
        </r>
        <r>
          <rPr>
            <b/>
            <sz val="12"/>
            <color indexed="81"/>
            <rFont val="Tahoma"/>
            <family val="2"/>
          </rPr>
          <t xml:space="preserve"> </t>
        </r>
        <r>
          <rPr>
            <b/>
            <sz val="12"/>
            <color indexed="81"/>
            <rFont val="돋움"/>
            <family val="3"/>
            <charset val="129"/>
          </rPr>
          <t>예정</t>
        </r>
      </text>
    </comment>
  </commentList>
</comments>
</file>

<file path=xl/sharedStrings.xml><?xml version="1.0" encoding="utf-8"?>
<sst xmlns="http://schemas.openxmlformats.org/spreadsheetml/2006/main" count="10356" uniqueCount="1817">
  <si>
    <t>브랜드</t>
    <phoneticPr fontId="1" type="noConversion"/>
  </si>
  <si>
    <t>제휴사</t>
    <phoneticPr fontId="1" type="noConversion"/>
  </si>
  <si>
    <t>공채</t>
    <phoneticPr fontId="1" type="noConversion"/>
  </si>
  <si>
    <t>부대비</t>
    <phoneticPr fontId="1" type="noConversion"/>
  </si>
  <si>
    <t>탁송료</t>
    <phoneticPr fontId="1" type="noConversion"/>
  </si>
  <si>
    <t>기간</t>
    <phoneticPr fontId="1" type="noConversion"/>
  </si>
  <si>
    <t>주행거리</t>
    <phoneticPr fontId="1" type="noConversion"/>
  </si>
  <si>
    <t>보증금</t>
    <phoneticPr fontId="1" type="noConversion"/>
  </si>
  <si>
    <t>잔가</t>
    <phoneticPr fontId="1" type="noConversion"/>
  </si>
  <si>
    <t>수수료</t>
    <phoneticPr fontId="1" type="noConversion"/>
  </si>
  <si>
    <t>차세</t>
    <phoneticPr fontId="1" type="noConversion"/>
  </si>
  <si>
    <t>배기량</t>
    <phoneticPr fontId="1" type="noConversion"/>
  </si>
  <si>
    <t>Benz</t>
  </si>
  <si>
    <t>BMW</t>
  </si>
  <si>
    <t>Audi</t>
  </si>
  <si>
    <t>Cadillac</t>
  </si>
  <si>
    <t>Citroen</t>
  </si>
  <si>
    <t>Ford</t>
  </si>
  <si>
    <t>Honda</t>
  </si>
  <si>
    <t>Jaguar</t>
  </si>
  <si>
    <t>Jeep</t>
  </si>
  <si>
    <t>Landrover</t>
  </si>
  <si>
    <t>Lexus</t>
  </si>
  <si>
    <t>Maserati</t>
  </si>
  <si>
    <t>Mini</t>
  </si>
  <si>
    <t>Peugeot</t>
  </si>
  <si>
    <t>Porsche</t>
  </si>
  <si>
    <t>Tesla</t>
  </si>
  <si>
    <t>Toyota</t>
  </si>
  <si>
    <t>Volkswagen</t>
  </si>
  <si>
    <t>Volvo</t>
  </si>
  <si>
    <t>Astonmartine</t>
  </si>
  <si>
    <t>Bentley</t>
  </si>
  <si>
    <t>Ferrari</t>
  </si>
  <si>
    <t>Lamborghini</t>
  </si>
  <si>
    <t>Mclaren</t>
  </si>
  <si>
    <t>Rollsroyce</t>
  </si>
  <si>
    <t>A3</t>
  </si>
  <si>
    <t>A4</t>
  </si>
  <si>
    <t>A5</t>
  </si>
  <si>
    <t>A6</t>
  </si>
  <si>
    <t>A7</t>
  </si>
  <si>
    <t>A8</t>
  </si>
  <si>
    <t>Q2</t>
  </si>
  <si>
    <t>Q3</t>
  </si>
  <si>
    <t>Q4</t>
  </si>
  <si>
    <t>Q5</t>
  </si>
  <si>
    <t>Q7</t>
  </si>
  <si>
    <t>Q8</t>
  </si>
  <si>
    <t>R8</t>
  </si>
  <si>
    <t>A_class</t>
  </si>
  <si>
    <t>C_class</t>
  </si>
  <si>
    <t>E_class</t>
  </si>
  <si>
    <t>S_class</t>
  </si>
  <si>
    <t>CLA</t>
  </si>
  <si>
    <t>CLE</t>
  </si>
  <si>
    <t>CLS</t>
  </si>
  <si>
    <t>GLA</t>
  </si>
  <si>
    <t>GLB</t>
  </si>
  <si>
    <t>GLC</t>
  </si>
  <si>
    <t>GLE</t>
  </si>
  <si>
    <t>GLS</t>
  </si>
  <si>
    <t>G</t>
  </si>
  <si>
    <t>GT</t>
  </si>
  <si>
    <t>EQA</t>
  </si>
  <si>
    <t>EQB</t>
  </si>
  <si>
    <t>EQC</t>
  </si>
  <si>
    <t>EQE</t>
  </si>
  <si>
    <t>EQS</t>
  </si>
  <si>
    <t>SL</t>
  </si>
  <si>
    <t>SLC</t>
  </si>
  <si>
    <t>1_series</t>
  </si>
  <si>
    <t>2_series</t>
  </si>
  <si>
    <t>3_series</t>
  </si>
  <si>
    <t>4_series</t>
  </si>
  <si>
    <t>5_series</t>
  </si>
  <si>
    <t>6_series</t>
  </si>
  <si>
    <t>7_series</t>
  </si>
  <si>
    <t>8_series</t>
  </si>
  <si>
    <t>X1</t>
  </si>
  <si>
    <t>X2</t>
  </si>
  <si>
    <t>X3</t>
  </si>
  <si>
    <t>X4</t>
  </si>
  <si>
    <t>X5</t>
  </si>
  <si>
    <t>X6</t>
  </si>
  <si>
    <t>X7</t>
  </si>
  <si>
    <t>M</t>
  </si>
  <si>
    <t>i</t>
  </si>
  <si>
    <t>Z</t>
  </si>
  <si>
    <t>CT4</t>
  </si>
  <si>
    <t>CT5</t>
  </si>
  <si>
    <t>CT6</t>
  </si>
  <si>
    <t>XT4</t>
  </si>
  <si>
    <t>XT5</t>
  </si>
  <si>
    <t>XT6</t>
  </si>
  <si>
    <t>Lyriq</t>
  </si>
  <si>
    <t>Escalade</t>
  </si>
  <si>
    <t>Mustang</t>
  </si>
  <si>
    <t>Explorer</t>
  </si>
  <si>
    <t>Expedition</t>
  </si>
  <si>
    <t>Bronco</t>
  </si>
  <si>
    <t>Corsair</t>
  </si>
  <si>
    <t>MKZ</t>
  </si>
  <si>
    <t>Continental</t>
  </si>
  <si>
    <t>Navigator</t>
  </si>
  <si>
    <t>Mondeo</t>
  </si>
  <si>
    <t>Nautilus</t>
  </si>
  <si>
    <t>Aviator</t>
  </si>
  <si>
    <t>Ranger</t>
  </si>
  <si>
    <t>Accord</t>
  </si>
  <si>
    <t xml:space="preserve">Civic </t>
  </si>
  <si>
    <t>CR_V</t>
  </si>
  <si>
    <t>HR_V</t>
  </si>
  <si>
    <t>Odyssey</t>
  </si>
  <si>
    <t>Pilot</t>
  </si>
  <si>
    <t xml:space="preserve">E_Pace </t>
  </si>
  <si>
    <t xml:space="preserve">F_Pace </t>
  </si>
  <si>
    <t xml:space="preserve">F_Type </t>
  </si>
  <si>
    <t xml:space="preserve">I_Pace </t>
  </si>
  <si>
    <t>XE</t>
  </si>
  <si>
    <t>XF</t>
  </si>
  <si>
    <t>XJ</t>
  </si>
  <si>
    <t>Defender</t>
  </si>
  <si>
    <t>Discovery</t>
  </si>
  <si>
    <t>CT</t>
  </si>
  <si>
    <t>IS</t>
  </si>
  <si>
    <t>ES</t>
  </si>
  <si>
    <t>GS</t>
  </si>
  <si>
    <t>LS</t>
  </si>
  <si>
    <t>RC</t>
  </si>
  <si>
    <t>LC</t>
  </si>
  <si>
    <t>UX</t>
  </si>
  <si>
    <t>NX</t>
  </si>
  <si>
    <t>RX</t>
  </si>
  <si>
    <t>RZ</t>
  </si>
  <si>
    <t>LM</t>
  </si>
  <si>
    <t>Ghibli</t>
  </si>
  <si>
    <t>Quattroporte</t>
  </si>
  <si>
    <t>Levante</t>
  </si>
  <si>
    <t>Grecale</t>
  </si>
  <si>
    <t>GranTurismo</t>
  </si>
  <si>
    <t>GranCabrio</t>
  </si>
  <si>
    <t>MC20</t>
  </si>
  <si>
    <t>Clubman</t>
  </si>
  <si>
    <t>Hatch</t>
  </si>
  <si>
    <t>Countryman</t>
  </si>
  <si>
    <t>Convertible</t>
  </si>
  <si>
    <t>Electric</t>
  </si>
  <si>
    <t>718</t>
  </si>
  <si>
    <t>911</t>
  </si>
  <si>
    <t>Panamera</t>
  </si>
  <si>
    <t>Taycan</t>
  </si>
  <si>
    <t>Macan</t>
  </si>
  <si>
    <t>Cayenne</t>
  </si>
  <si>
    <t>Model_S</t>
  </si>
  <si>
    <t>Model_X</t>
  </si>
  <si>
    <t>Avalon</t>
  </si>
  <si>
    <t>Camry</t>
  </si>
  <si>
    <t>Crown</t>
  </si>
  <si>
    <t>Prius</t>
  </si>
  <si>
    <t>GR</t>
  </si>
  <si>
    <t>RAV4</t>
  </si>
  <si>
    <t>Sienna</t>
  </si>
  <si>
    <t>Alphard</t>
  </si>
  <si>
    <t>Jetta</t>
  </si>
  <si>
    <t>Arteon</t>
  </si>
  <si>
    <t>Tiguan</t>
  </si>
  <si>
    <t>Touareg</t>
  </si>
  <si>
    <t>T_Roc</t>
  </si>
  <si>
    <t>Passat</t>
  </si>
  <si>
    <t>ID.3</t>
  </si>
  <si>
    <t>Golf</t>
  </si>
  <si>
    <t>T_Cross</t>
  </si>
  <si>
    <t>ID.4</t>
  </si>
  <si>
    <t>Teramont</t>
  </si>
  <si>
    <t>ID.ROOMZZ</t>
  </si>
  <si>
    <t>S60</t>
  </si>
  <si>
    <t>S90</t>
  </si>
  <si>
    <t>V40</t>
  </si>
  <si>
    <t>V60</t>
  </si>
  <si>
    <t>V90</t>
  </si>
  <si>
    <t>XC40</t>
  </si>
  <si>
    <t>XC60</t>
  </si>
  <si>
    <t>XC90</t>
  </si>
  <si>
    <t>C40</t>
  </si>
  <si>
    <t>EX30</t>
  </si>
  <si>
    <t>Vantage</t>
  </si>
  <si>
    <t>DB11</t>
  </si>
  <si>
    <t xml:space="preserve">DBS_Superleggera </t>
  </si>
  <si>
    <t>Rapide_S</t>
  </si>
  <si>
    <t>DBX</t>
  </si>
  <si>
    <t>Bentayga</t>
  </si>
  <si>
    <t>FlyingSpur</t>
  </si>
  <si>
    <t>Mulsanne</t>
  </si>
  <si>
    <t>F8</t>
  </si>
  <si>
    <t>GTC4</t>
  </si>
  <si>
    <t>Portofino</t>
  </si>
  <si>
    <t>Roma</t>
  </si>
  <si>
    <t>SF90</t>
  </si>
  <si>
    <t xml:space="preserve">Aventador </t>
  </si>
  <si>
    <t xml:space="preserve">HuracanEVO </t>
  </si>
  <si>
    <t xml:space="preserve">Urus </t>
  </si>
  <si>
    <t>570S</t>
  </si>
  <si>
    <t>570GT</t>
  </si>
  <si>
    <t>600LT</t>
  </si>
  <si>
    <t>720S</t>
  </si>
  <si>
    <t>765LT</t>
  </si>
  <si>
    <t>Artura</t>
  </si>
  <si>
    <t>Cullinan</t>
  </si>
  <si>
    <t xml:space="preserve">Dawn </t>
  </si>
  <si>
    <t>Ghost_Series</t>
  </si>
  <si>
    <t>Phantom</t>
  </si>
  <si>
    <t>Spectre</t>
  </si>
  <si>
    <t>Wraith</t>
  </si>
  <si>
    <t>차량가</t>
    <phoneticPr fontId="1" type="noConversion"/>
  </si>
  <si>
    <t>등록비합산</t>
    <phoneticPr fontId="1" type="noConversion"/>
  </si>
  <si>
    <t>취득원가</t>
    <phoneticPr fontId="1" type="noConversion"/>
  </si>
  <si>
    <t>옵션</t>
    <phoneticPr fontId="1" type="noConversion"/>
  </si>
  <si>
    <t>할인가</t>
    <phoneticPr fontId="1" type="noConversion"/>
  </si>
  <si>
    <t>차량가최종</t>
    <phoneticPr fontId="1" type="noConversion"/>
  </si>
  <si>
    <t>최대잔가</t>
    <phoneticPr fontId="1" type="noConversion"/>
  </si>
  <si>
    <t>최소잔가</t>
    <phoneticPr fontId="1" type="noConversion"/>
  </si>
  <si>
    <t>리스료</t>
    <phoneticPr fontId="1" type="noConversion"/>
  </si>
  <si>
    <t>최종리스료</t>
    <phoneticPr fontId="1" type="noConversion"/>
  </si>
  <si>
    <t>Maker</t>
  </si>
  <si>
    <t>Model1</t>
  </si>
  <si>
    <t>Moder2</t>
  </si>
  <si>
    <t>Model3</t>
  </si>
  <si>
    <t>차량가격(원)</t>
  </si>
  <si>
    <t>배기량(cc)</t>
  </si>
  <si>
    <t>유종</t>
  </si>
  <si>
    <t>취득세</t>
  </si>
  <si>
    <t>웨스트</t>
  </si>
  <si>
    <t>오토준</t>
  </si>
  <si>
    <t>APS</t>
  </si>
  <si>
    <t>VGS</t>
  </si>
  <si>
    <t>공채</t>
  </si>
  <si>
    <t>고잔가 여부</t>
  </si>
  <si>
    <t>만든이 박성훈 1989.02.28</t>
  </si>
  <si>
    <t xml:space="preserve">  </t>
  </si>
  <si>
    <t>A3 40 TFSI</t>
  </si>
  <si>
    <t>가솔린</t>
  </si>
  <si>
    <t>승용</t>
  </si>
  <si>
    <t>K</t>
  </si>
  <si>
    <t>A3 40 TFSI Premium</t>
  </si>
  <si>
    <t>S3 TFSI</t>
  </si>
  <si>
    <t>L</t>
  </si>
  <si>
    <t>RS3 Quattro</t>
  </si>
  <si>
    <t>T</t>
  </si>
  <si>
    <t>A4 35 TDI</t>
  </si>
  <si>
    <t>디젤</t>
  </si>
  <si>
    <t>A4 35 TDI Premium</t>
  </si>
  <si>
    <t>A4 40 TDI Qu. Premium</t>
  </si>
  <si>
    <t>A4 40 TFSI</t>
  </si>
  <si>
    <t>A4 40 TFSI Premium</t>
  </si>
  <si>
    <t>A4 45 TFSI Qu. Premium</t>
  </si>
  <si>
    <t>S4 TFSI</t>
  </si>
  <si>
    <t>A5 35 TDI Premium Sportback</t>
  </si>
  <si>
    <t>A5 40 TDI Qu. Premium Sportback</t>
  </si>
  <si>
    <t>A5 40 TFSI Qu. Sportback</t>
  </si>
  <si>
    <t>A5 40 TFSI Qu. Premium Sportback</t>
  </si>
  <si>
    <t>A5 45 TFSI Qu. Premium Sportback</t>
  </si>
  <si>
    <t>A5 45 TFSI Qu. Premium Coupe</t>
  </si>
  <si>
    <t xml:space="preserve">A5 45 TFSI Qu. Premium Cabriolet </t>
  </si>
  <si>
    <t>S5 Sportback TFSI</t>
  </si>
  <si>
    <t>S5 Coupe TFSI</t>
  </si>
  <si>
    <t>RS5 Sportback</t>
  </si>
  <si>
    <t>A6 40 TDI</t>
  </si>
  <si>
    <t>A6 40 TDI Premium</t>
  </si>
  <si>
    <t>A6 40 TDI Qu. Premium</t>
  </si>
  <si>
    <t>A6 45 TDI Qu. Premium</t>
  </si>
  <si>
    <t>A6 50 TDI Qu. Premium</t>
  </si>
  <si>
    <t>A6 45 TFSI</t>
  </si>
  <si>
    <t>A6 45 TFSI Premium</t>
  </si>
  <si>
    <t>A6 45 TFSI Qu.</t>
  </si>
  <si>
    <t>A6 45 TFSI Qu. Premium</t>
  </si>
  <si>
    <t>S6 TDI</t>
  </si>
  <si>
    <t>RS6 TFSI</t>
  </si>
  <si>
    <t>A7 45 TDI Qu. Premium</t>
  </si>
  <si>
    <t>H</t>
  </si>
  <si>
    <t>A7 50 TDI Qu. Premium</t>
  </si>
  <si>
    <t>A7 55 TFSI Qu. Premium</t>
  </si>
  <si>
    <t>A7 55 TFSI e Qu. Premium</t>
  </si>
  <si>
    <t>플러그인HEV B</t>
  </si>
  <si>
    <t>I</t>
  </si>
  <si>
    <t>S7 TDI</t>
  </si>
  <si>
    <t>X</t>
  </si>
  <si>
    <t>RS7 TFSI</t>
  </si>
  <si>
    <t>A8 50 TDI Qu. Premium</t>
  </si>
  <si>
    <t>A8 L 50 TDI Qu. Premium</t>
  </si>
  <si>
    <t>A8 L 55 TFSI Qu. Premium</t>
  </si>
  <si>
    <t>A8 L 60 TFSI Qu. Premium (5-seater)</t>
  </si>
  <si>
    <t>A8 L 60 TFSI Qu. Premium (4-seater)</t>
  </si>
  <si>
    <t xml:space="preserve">S8 TFSI </t>
  </si>
  <si>
    <t>Q2 35 TDI</t>
  </si>
  <si>
    <t>RV(5인이하)</t>
  </si>
  <si>
    <t>Q2 35 TDI Premium</t>
  </si>
  <si>
    <t>Q3 35 TDI</t>
  </si>
  <si>
    <t>Q3 35 TDI Premium</t>
  </si>
  <si>
    <t>Q3 35 TDI Qu. Premium</t>
  </si>
  <si>
    <t>Q3 35 TDI Sportback</t>
  </si>
  <si>
    <t>Q3 35 TDI Premium Sportback</t>
  </si>
  <si>
    <t>Q3 35 TDI Qu. Premium Sportback</t>
  </si>
  <si>
    <t>Q3 40 TFSI Quattro</t>
  </si>
  <si>
    <t>Q3 40 TFSI Quattro Premium</t>
  </si>
  <si>
    <t>Q3 40 TFSI Quattro Sportback</t>
  </si>
  <si>
    <t>Q3 40 TFSI Quattro Premium Sportback</t>
  </si>
  <si>
    <t>Q4 e-tron 40</t>
  </si>
  <si>
    <t>전기</t>
  </si>
  <si>
    <t>Q4 e-tron 40 Premium</t>
  </si>
  <si>
    <t>Q4 e-tron 40 Sportback</t>
  </si>
  <si>
    <t>Q4 e-tron 40 Premium Sportback</t>
  </si>
  <si>
    <t>Q5 50 TDI Qu. Premium</t>
  </si>
  <si>
    <t>Q5 40 TDI Qu. Sportback</t>
  </si>
  <si>
    <t>Q5 40 TDI Qu. Premium Sportback</t>
  </si>
  <si>
    <t>Q5 45 TFSI Qu.</t>
  </si>
  <si>
    <t>Q5 45 TFSI Qu. Premium</t>
  </si>
  <si>
    <t>Q5 45 TFSI Qu. Sportback</t>
  </si>
  <si>
    <t>Q5 45 TFSI Qu. Premium Sportback</t>
  </si>
  <si>
    <t>SQ5 TFSI</t>
  </si>
  <si>
    <t>SQ5 TFSI Sportback</t>
  </si>
  <si>
    <t>Q7 45 TDI Qu.</t>
  </si>
  <si>
    <t>RV(7-10인)</t>
  </si>
  <si>
    <t>Q7 55 TFSI Qu. Premium</t>
  </si>
  <si>
    <t>Q8 45 TDI Qu.</t>
  </si>
  <si>
    <t>Q8 45 TDI Qu. Premium</t>
  </si>
  <si>
    <t>Q8 50 TDI Qu. Premium</t>
  </si>
  <si>
    <t>Q8 55 TFSI Qu. Premium</t>
  </si>
  <si>
    <t>SQ8 TDI</t>
  </si>
  <si>
    <t xml:space="preserve"> 디젤</t>
  </si>
  <si>
    <t>RS Q8</t>
  </si>
  <si>
    <t>S</t>
  </si>
  <si>
    <t>e-tron 50 Qu.</t>
  </si>
  <si>
    <t>e-tron 55 Qu.</t>
  </si>
  <si>
    <t>e-tron 50 Qu. Sportback</t>
  </si>
  <si>
    <t>e-tron 55 Qu. Sportback</t>
  </si>
  <si>
    <t>e-tron S</t>
  </si>
  <si>
    <t>e-tron S Sportback</t>
  </si>
  <si>
    <t>e-tron GT Qu.</t>
  </si>
  <si>
    <t>e-tron GT Qu. Premium</t>
  </si>
  <si>
    <t>e-tron GT RS</t>
  </si>
  <si>
    <t>R8 5.2 V10</t>
  </si>
  <si>
    <t xml:space="preserve">A 220 Hatchback </t>
  </si>
  <si>
    <t>C</t>
  </si>
  <si>
    <t>A 220 Sedan</t>
  </si>
  <si>
    <t>A 200d</t>
  </si>
  <si>
    <t>A 250 4MATIC</t>
  </si>
  <si>
    <t>A 200 AMG Line</t>
  </si>
  <si>
    <t>AMG A 35 4MATIC</t>
  </si>
  <si>
    <t xml:space="preserve">AMG A 45 4MATIC+ Hatchback </t>
  </si>
  <si>
    <t>C 200</t>
  </si>
  <si>
    <t xml:space="preserve">C 200 Avantgarde </t>
  </si>
  <si>
    <t>C 200 AMG Line</t>
  </si>
  <si>
    <t xml:space="preserve">C 200 Coupe </t>
  </si>
  <si>
    <t>C 200 Cabriolet</t>
  </si>
  <si>
    <t>E</t>
  </si>
  <si>
    <t xml:space="preserve">C 200 4MATIC Avantgarde </t>
  </si>
  <si>
    <t xml:space="preserve">C 200 4MATIC Exclusive </t>
  </si>
  <si>
    <t xml:space="preserve">C 200 4MATIC AMG Line </t>
  </si>
  <si>
    <t xml:space="preserve">C 300 4MATIC Avantgarde </t>
  </si>
  <si>
    <t>C 300 4MATIC AMG Line</t>
  </si>
  <si>
    <t xml:space="preserve">C 220d </t>
  </si>
  <si>
    <t xml:space="preserve">C 220d Coupe </t>
  </si>
  <si>
    <t xml:space="preserve">C 220d Avantgarde </t>
  </si>
  <si>
    <t>C 220d 4MATIC Avantgarde</t>
  </si>
  <si>
    <t>C 220d 4MATIC AMG Line</t>
  </si>
  <si>
    <t>C 220d 4MATIC Exclusive</t>
  </si>
  <si>
    <t>C 220d 4MATIC Coupe</t>
  </si>
  <si>
    <t>AMG C 43 4MATIC</t>
  </si>
  <si>
    <t>AMG C 43 4MATIC Coupe</t>
  </si>
  <si>
    <t>AMG C 43 4MATIC Cabriolet</t>
  </si>
  <si>
    <t xml:space="preserve">AMG C 63 </t>
  </si>
  <si>
    <t>AMG C 63 S</t>
  </si>
  <si>
    <t xml:space="preserve">AMG C 63 Coupe </t>
  </si>
  <si>
    <t xml:space="preserve">AMG C 63 S Coupe </t>
  </si>
  <si>
    <t xml:space="preserve">AMG C 63 Cabriolet </t>
  </si>
  <si>
    <t>C 300e 4MATIC AMG Line</t>
  </si>
  <si>
    <t>C 350e</t>
  </si>
  <si>
    <t xml:space="preserve">CLA 220 AMG Line </t>
  </si>
  <si>
    <t>D</t>
  </si>
  <si>
    <t xml:space="preserve">CLA 250 4MATIC </t>
  </si>
  <si>
    <t xml:space="preserve">CLA 250 4MATIC AMG Line </t>
  </si>
  <si>
    <t>AMG CLA 45 S 4MATIC+</t>
  </si>
  <si>
    <t>CLE 200 Coupe</t>
  </si>
  <si>
    <t>CLE 450 4MATIC Coupe</t>
  </si>
  <si>
    <t>CLE 200 Cabriolet</t>
  </si>
  <si>
    <t>CLE 450 4MATIC Cabriolet</t>
  </si>
  <si>
    <t>CLS 400d 4MATIC</t>
  </si>
  <si>
    <t xml:space="preserve">CLS 400d 4MATIC AMG Line </t>
  </si>
  <si>
    <t>CLS 300d 4MATIC</t>
  </si>
  <si>
    <t>CLS 450 4MATIC</t>
  </si>
  <si>
    <t>CLS 450 4MATIC designo Exclusive edition</t>
  </si>
  <si>
    <t>AMG CLS 53 4MATIC+</t>
  </si>
  <si>
    <t>AMG CLS 53 4MATIC+ Edition</t>
  </si>
  <si>
    <t>E 200 Avantgarde</t>
  </si>
  <si>
    <t>SA1</t>
  </si>
  <si>
    <t>E 220d Avantgarde</t>
  </si>
  <si>
    <t xml:space="preserve">E 220d Exclusive </t>
  </si>
  <si>
    <t xml:space="preserve">E 220d 4MATIC Exclusive  </t>
  </si>
  <si>
    <t>E 220d 4MATIC AMG Line</t>
  </si>
  <si>
    <t>E 250 Avantgarde</t>
  </si>
  <si>
    <t>E 250 Exclusive</t>
  </si>
  <si>
    <t>E 250 AMG Line</t>
  </si>
  <si>
    <t xml:space="preserve">E 300 Avantgarde  </t>
  </si>
  <si>
    <t xml:space="preserve">E 300 Exclusive </t>
  </si>
  <si>
    <t xml:space="preserve">E 300 AMG Line </t>
  </si>
  <si>
    <t xml:space="preserve">E 300 4MATIC Avantgarde </t>
  </si>
  <si>
    <t xml:space="preserve">E 300 4MATIC Exclusive  </t>
  </si>
  <si>
    <t xml:space="preserve">E 300 4MATIC AMG Line  </t>
  </si>
  <si>
    <t xml:space="preserve">E 300e Exclusive </t>
  </si>
  <si>
    <t xml:space="preserve">E 300e 4MATIC Exclusive  </t>
  </si>
  <si>
    <t>E 300d 4MATIC Coupe</t>
  </si>
  <si>
    <t>E 350 4MATIC Avantgarde</t>
  </si>
  <si>
    <t>E 350 4MATIC AMG Line</t>
  </si>
  <si>
    <t>E 350 4MATIC Exclusive</t>
  </si>
  <si>
    <t>E 400 4MATIC Coupe</t>
  </si>
  <si>
    <t xml:space="preserve">E 400 Cabriolet </t>
  </si>
  <si>
    <t xml:space="preserve">E 450 Cabriolet </t>
  </si>
  <si>
    <t xml:space="preserve">E 450 4MATIC Cabriolet  </t>
  </si>
  <si>
    <t>AMG E 43 4MATIC</t>
  </si>
  <si>
    <t xml:space="preserve">AMG E 53 4MATIC+  </t>
  </si>
  <si>
    <t>AMG E 53 4MATIC+ Coupe</t>
  </si>
  <si>
    <t xml:space="preserve">AMG E 63 4MATIC+  </t>
  </si>
  <si>
    <t xml:space="preserve">GLA 220 </t>
  </si>
  <si>
    <t xml:space="preserve">GLA 220 Premium </t>
  </si>
  <si>
    <t xml:space="preserve">GLA 250 4MATIC </t>
  </si>
  <si>
    <t>AMG GLA 45 4MATIC+</t>
  </si>
  <si>
    <t>GLB 200d</t>
  </si>
  <si>
    <t>GLB 220</t>
  </si>
  <si>
    <t>GLB 250 4MATIC</t>
  </si>
  <si>
    <t>AMG GLB 35 4MATIC</t>
  </si>
  <si>
    <t xml:space="preserve">GLC 300 4MATIC Coupe  </t>
  </si>
  <si>
    <t>B</t>
  </si>
  <si>
    <t xml:space="preserve">GLC 300 4MATIC Coupe Premium  </t>
  </si>
  <si>
    <t>GLC 300 4MATIC Coupe Avantgarde</t>
  </si>
  <si>
    <t>GLC 300 4MATIC Coupe AMG Line</t>
  </si>
  <si>
    <t xml:space="preserve">GLC 300e 4MATIC  </t>
  </si>
  <si>
    <t xml:space="preserve">GLC 300e 4MATIC Coupe  </t>
  </si>
  <si>
    <t xml:space="preserve">GLC 350e 4MATIC </t>
  </si>
  <si>
    <t>GLC 350e 4MATIC Premium</t>
  </si>
  <si>
    <t>GLC 350e 4MATIC AMG Line</t>
  </si>
  <si>
    <t xml:space="preserve">GLC 300 4MATIC  </t>
  </si>
  <si>
    <t>GLC 300 4MATIC AMG Line</t>
  </si>
  <si>
    <t>GLC 300 4MATIC Avantgarde</t>
  </si>
  <si>
    <t xml:space="preserve">GLC 300 4MATIC Premium  </t>
  </si>
  <si>
    <t xml:space="preserve">GLC 220d 4MATIC </t>
  </si>
  <si>
    <t xml:space="preserve">GLC 220d 4MATIC Premium </t>
  </si>
  <si>
    <t xml:space="preserve">GLC 220d 4MATIC Coupe  </t>
  </si>
  <si>
    <t>GLC 220d 4MATIC Premium Coupe</t>
  </si>
  <si>
    <t xml:space="preserve">GLC 250d 4MATIC </t>
  </si>
  <si>
    <t xml:space="preserve">GLC 250d 4MATIC Night Package </t>
  </si>
  <si>
    <t>GLC 250d 4MATIC Coupe</t>
  </si>
  <si>
    <t xml:space="preserve">AMG GLC 43 4MATIC  </t>
  </si>
  <si>
    <t xml:space="preserve">AMG GLC 43 4MATIC Coupe  </t>
  </si>
  <si>
    <t>AMG GLC 63 4MATIC+</t>
  </si>
  <si>
    <t xml:space="preserve">AMG GLC 63 S 4MATIC+ Coupe  </t>
  </si>
  <si>
    <t xml:space="preserve">GLE 350d 4MATIC </t>
  </si>
  <si>
    <t xml:space="preserve">GLE 350d 4MATIC Premium </t>
  </si>
  <si>
    <t>GLE 350d 4MATIC Coupe</t>
  </si>
  <si>
    <t>GLE 350e 4MATIC</t>
  </si>
  <si>
    <t>GLE 350e 4MATIC Coupe</t>
  </si>
  <si>
    <t>GLE 400e 4MATIC Coupe</t>
  </si>
  <si>
    <t>GLE 400d 4MATIC Coupe</t>
  </si>
  <si>
    <t xml:space="preserve">GLE 450 4MATIC </t>
  </si>
  <si>
    <t>GLE 450 4MATIC Coupe</t>
  </si>
  <si>
    <t>GLE 450d 4MATIC Coupe</t>
  </si>
  <si>
    <t>AMG GLE 53 4MATIC+</t>
  </si>
  <si>
    <t>AMG GLE 53 4MATIC+ Coupe</t>
  </si>
  <si>
    <t xml:space="preserve">AMG GLE 63 S 4MATIC+ Coupe  </t>
  </si>
  <si>
    <t xml:space="preserve">GLS 400d 4MATIC </t>
  </si>
  <si>
    <t>F</t>
  </si>
  <si>
    <t>A+</t>
  </si>
  <si>
    <t xml:space="preserve">GLS 450d 4MATIC </t>
  </si>
  <si>
    <t>GLS 450 4MATIC</t>
  </si>
  <si>
    <t xml:space="preserve">GLS 580 4MATIC  </t>
  </si>
  <si>
    <t>Maybach GLS 600 4M</t>
  </si>
  <si>
    <t>AA</t>
  </si>
  <si>
    <t>AMG G 63</t>
  </si>
  <si>
    <t>AMG G 63 MANUFAKTUR</t>
  </si>
  <si>
    <t>G 450d</t>
  </si>
  <si>
    <t>G 400d</t>
  </si>
  <si>
    <t>G580 with EQ Technology Edition ONE</t>
  </si>
  <si>
    <t>AMG GT C Roadster</t>
  </si>
  <si>
    <t>AMG GT R</t>
  </si>
  <si>
    <t xml:space="preserve">AMG GT </t>
  </si>
  <si>
    <t xml:space="preserve">AMG GT 43 4MATIC+  </t>
  </si>
  <si>
    <t xml:space="preserve">AMG GT 63 S 4MATIC+  </t>
  </si>
  <si>
    <t>S 350d 4MATIC</t>
  </si>
  <si>
    <t>S 400d 4MATIC</t>
  </si>
  <si>
    <t>S 450d 4MATIC</t>
  </si>
  <si>
    <t>S 450d 4MATIC AMG Line</t>
  </si>
  <si>
    <t>S 450 4MATIC Long</t>
  </si>
  <si>
    <t>S 500 4MATIC Long</t>
  </si>
  <si>
    <t>S 580 4MATIC Long</t>
  </si>
  <si>
    <t>S 350 Long</t>
  </si>
  <si>
    <t>S 350d 4MATIC AMG Line</t>
  </si>
  <si>
    <t>S 450 4MATIC Coupe</t>
  </si>
  <si>
    <t>S 580e 4MATIC Long</t>
  </si>
  <si>
    <t>S 560 4MATIC Long</t>
  </si>
  <si>
    <t>Maybach S 580 4MATIC</t>
  </si>
  <si>
    <t>Maybach S 650 4MATIC</t>
  </si>
  <si>
    <t>Maybach S 680 4MATIC</t>
  </si>
  <si>
    <t>Maybach S 650 Pullman</t>
  </si>
  <si>
    <t>AMG S 63 4MATIC+ Long</t>
  </si>
  <si>
    <t>N</t>
  </si>
  <si>
    <t>AMG S 63 4MATIC+ Coupe</t>
  </si>
  <si>
    <t>AMG S 63 4MATIC+ Cabriolet</t>
  </si>
  <si>
    <t>EQA 250 Electric Art</t>
  </si>
  <si>
    <t>EQA 250 AMG Line</t>
  </si>
  <si>
    <t>EQA 250 AMG Progressive</t>
  </si>
  <si>
    <t>EQB 300 4MATIC</t>
  </si>
  <si>
    <t>EQB 300 4MATIC AMG Line</t>
  </si>
  <si>
    <t xml:space="preserve">EQC 400 4MATIC  </t>
  </si>
  <si>
    <t>EQC 400 4MATIC Premium</t>
  </si>
  <si>
    <t xml:space="preserve">EQC 400 4MATIC Edition  </t>
  </si>
  <si>
    <t>EQE 300</t>
  </si>
  <si>
    <t>EQE 350+</t>
  </si>
  <si>
    <t>EQE 350 4MATIC</t>
  </si>
  <si>
    <t>EQE SUV 350 4MATIC</t>
  </si>
  <si>
    <t>EQE SUV 500 4MATIC</t>
  </si>
  <si>
    <t>AMG EQE 53 4MATIC+</t>
  </si>
  <si>
    <t>EQS 350</t>
  </si>
  <si>
    <t>EQS 450 4MATIC</t>
  </si>
  <si>
    <t>EQS 450+</t>
  </si>
  <si>
    <t>EQS 450+ AMG Line</t>
  </si>
  <si>
    <t>EQS SUV 450 4MATIC</t>
  </si>
  <si>
    <t>EQS SUV 580 4MATIC</t>
  </si>
  <si>
    <t>AMG EQS 53 4MATIC+</t>
  </si>
  <si>
    <t>O</t>
  </si>
  <si>
    <t>AMG SL 63 4MATIC+</t>
  </si>
  <si>
    <t>AMG SL 63 4MATIC+ Performance</t>
  </si>
  <si>
    <t>120i Sport</t>
  </si>
  <si>
    <t>120i M Sport</t>
  </si>
  <si>
    <t>220i Gran Coupe Sport</t>
  </si>
  <si>
    <t>220i Gran Coupe M Sport</t>
  </si>
  <si>
    <t>220i Active Tourer Advantage</t>
  </si>
  <si>
    <t xml:space="preserve">220i Active Tourer Luxury </t>
  </si>
  <si>
    <t xml:space="preserve">220i Active Tourer M Sport </t>
  </si>
  <si>
    <t>218d Active Tourer Advantage</t>
  </si>
  <si>
    <t xml:space="preserve">218d Active Tourer Luxury </t>
  </si>
  <si>
    <t xml:space="preserve">218d Active Tourer Sport </t>
  </si>
  <si>
    <t>320i</t>
  </si>
  <si>
    <t>320i Luxury</t>
  </si>
  <si>
    <t>320i M Sport</t>
  </si>
  <si>
    <t>320i Touring</t>
  </si>
  <si>
    <t>320i Touring M Sport</t>
  </si>
  <si>
    <t>320d Touring</t>
  </si>
  <si>
    <t>320d Touring M Sport</t>
  </si>
  <si>
    <t>320d</t>
  </si>
  <si>
    <t>320d Luxury</t>
  </si>
  <si>
    <t>320d M Sport</t>
  </si>
  <si>
    <t>320d xDrive</t>
  </si>
  <si>
    <t>320d xDrive Luxury</t>
  </si>
  <si>
    <t>320d xDrive M Sport</t>
  </si>
  <si>
    <t>320e Luxury</t>
  </si>
  <si>
    <t>320e M Sport</t>
  </si>
  <si>
    <t>330e</t>
  </si>
  <si>
    <t>330e Luxury</t>
  </si>
  <si>
    <t>330e M Sport</t>
  </si>
  <si>
    <t>420d Coupe M Sport Package</t>
  </si>
  <si>
    <t>420i Coupe M Sport</t>
  </si>
  <si>
    <t>420i Convertible M Sport</t>
  </si>
  <si>
    <t>420i Gran Coupe M Sport</t>
  </si>
  <si>
    <t>420i Gran Coupe M Sport Performance Package</t>
  </si>
  <si>
    <t>420d Gran Coupe M Sport</t>
  </si>
  <si>
    <t>420d Gran Coupe M Sport Performance Package</t>
  </si>
  <si>
    <t>520i</t>
  </si>
  <si>
    <t>520i M Sport</t>
  </si>
  <si>
    <t>520d</t>
  </si>
  <si>
    <t xml:space="preserve">520d M Sport </t>
  </si>
  <si>
    <t>520d xDrive</t>
  </si>
  <si>
    <t xml:space="preserve">520d xDrive M Sport </t>
  </si>
  <si>
    <t>523d</t>
  </si>
  <si>
    <t>523d M Sport</t>
  </si>
  <si>
    <t>523d xDrive</t>
  </si>
  <si>
    <t>523d xDrive M Sport</t>
  </si>
  <si>
    <t>530i</t>
  </si>
  <si>
    <t>530i M Sport</t>
  </si>
  <si>
    <t>530i xDrive</t>
  </si>
  <si>
    <t>530i xDrive M Sport</t>
  </si>
  <si>
    <t>530e</t>
  </si>
  <si>
    <t>530e M Sport</t>
  </si>
  <si>
    <t>530e M Sport Pro</t>
  </si>
  <si>
    <t>620d GT Luxury</t>
  </si>
  <si>
    <t>620d GT M Sport</t>
  </si>
  <si>
    <t>620d xDrive GT Luxury</t>
  </si>
  <si>
    <t>620d xDrive GT M Sport</t>
  </si>
  <si>
    <t>630i xDrive GT Luxury</t>
  </si>
  <si>
    <t>630i xDrive GT M Sport</t>
  </si>
  <si>
    <t>640i xDrive GT Luxury</t>
  </si>
  <si>
    <t>640i xDrive GT M Sport</t>
  </si>
  <si>
    <t>740d xDrive Classic Silver Edition</t>
  </si>
  <si>
    <t>740d xDrive M Sport</t>
  </si>
  <si>
    <t>740i xDrive DPE Executive</t>
  </si>
  <si>
    <t>740i xDrive Classic Silver Edition</t>
  </si>
  <si>
    <t>740i xDrive M Sport</t>
  </si>
  <si>
    <t>750e xDrive Design Pure Excellence</t>
  </si>
  <si>
    <t>750e xDrive M Sport</t>
  </si>
  <si>
    <t>840i xDrive Coupe M Sport</t>
  </si>
  <si>
    <t>J</t>
  </si>
  <si>
    <t>840i xDrive GC M Sport</t>
  </si>
  <si>
    <t>840d xDrive GC M Sport</t>
  </si>
  <si>
    <t>M850i xDrive Coupe</t>
  </si>
  <si>
    <t>M850i xDrive Gran Coupe</t>
  </si>
  <si>
    <t xml:space="preserve">i3 120Ah LUX </t>
  </si>
  <si>
    <t xml:space="preserve">i3 120Ah SOL+ </t>
  </si>
  <si>
    <t>i4 eDrive40 M Sport</t>
  </si>
  <si>
    <t>i4 eDrive40 Gran Coupe M Sport Pro</t>
  </si>
  <si>
    <t>i4 M50 Gran Coupe</t>
  </si>
  <si>
    <t>i4 M50 Gran Coupe Pro</t>
  </si>
  <si>
    <t>i5 eDrive40</t>
  </si>
  <si>
    <t>i5 eDrive40 M Sport</t>
  </si>
  <si>
    <t>i5 eDrive40 M Sport Pro</t>
  </si>
  <si>
    <t>i5 M60 xDrive</t>
  </si>
  <si>
    <t>i7 eDrive50 M Sport</t>
  </si>
  <si>
    <t>i7 xDrive50 M Sport</t>
  </si>
  <si>
    <t>i7 xDrive60 DPE</t>
  </si>
  <si>
    <t>i7 xDrive60 M Sport</t>
  </si>
  <si>
    <t>i7 M70 xDrive</t>
  </si>
  <si>
    <t>i8 Coupe</t>
  </si>
  <si>
    <t>i8 Roadster</t>
  </si>
  <si>
    <t>i8 Roadster First Edition</t>
  </si>
  <si>
    <t>iX1 xDrive30 xLine</t>
  </si>
  <si>
    <t>iX1 xDrive30 M Sport</t>
  </si>
  <si>
    <t>iX3 M Sport</t>
  </si>
  <si>
    <t>iX xDrive40 First Edition</t>
  </si>
  <si>
    <t>iX xDrive40 Sport Plus</t>
  </si>
  <si>
    <t>iX xDrive50 Sport Plus (취득세 감면)</t>
  </si>
  <si>
    <t>iX M60</t>
  </si>
  <si>
    <t>Z4 sDrive 20i Sport</t>
  </si>
  <si>
    <t>Z4 sDrive 20i M Sport Performance Package</t>
  </si>
  <si>
    <t>X1 sDrive 18d xLine</t>
  </si>
  <si>
    <t>X1 sDrive M Sport</t>
  </si>
  <si>
    <t>X1 xDrive 20i xLine</t>
  </si>
  <si>
    <t>X1 xDrive 20i M Sport</t>
  </si>
  <si>
    <t>X1 sDrive 20i xLine</t>
  </si>
  <si>
    <t>X1 sDrive 20i M Sport</t>
  </si>
  <si>
    <t>X2 xDrive 18d Advantage</t>
  </si>
  <si>
    <t>X2 xDrive 18d M Sport Package</t>
  </si>
  <si>
    <t>X2 xDrive 20d Advantage</t>
  </si>
  <si>
    <t>X2 xDrive 20i Advantage</t>
  </si>
  <si>
    <t>X2 xDrive 20i M Sport</t>
  </si>
  <si>
    <t>X2 xDrive 20i M Mesh</t>
  </si>
  <si>
    <t>X2 xDrive 25i Advantage</t>
  </si>
  <si>
    <t>X2 xDrive 25i M Sport</t>
  </si>
  <si>
    <t>X3 xDrive 20i xLine</t>
  </si>
  <si>
    <t>A</t>
  </si>
  <si>
    <t>A1</t>
  </si>
  <si>
    <t>X3 xDrive 20i M Sport</t>
  </si>
  <si>
    <t>X3 xDrive 20d xLine</t>
  </si>
  <si>
    <t>X3 xDrive 20d M Sport</t>
  </si>
  <si>
    <t>X3 xDrive 30e xLine</t>
  </si>
  <si>
    <t>X3 xDrive 30e M Sport</t>
  </si>
  <si>
    <t>X3 xDrive 30d xLine</t>
  </si>
  <si>
    <t>X3 xDrive 30d M Sport Package</t>
  </si>
  <si>
    <t>X4 xDrive 20i xLine</t>
  </si>
  <si>
    <t>X4 xDrive 20i M Sport</t>
  </si>
  <si>
    <t>X4 xDrive 20d xLine</t>
  </si>
  <si>
    <t>X4 xDrive 20d M Sport</t>
  </si>
  <si>
    <t>X4 xDrive 20d M Sport X</t>
  </si>
  <si>
    <t>X4 xDrive 30d M Sport X</t>
  </si>
  <si>
    <t>X5 xDrive 30d xLine</t>
  </si>
  <si>
    <t>X5 xDrive 30d xLine (7인승)</t>
  </si>
  <si>
    <t>X5 xDrive 30d M Sport</t>
  </si>
  <si>
    <t>X5 xDrive 40d xLine</t>
  </si>
  <si>
    <t>X5 xDrive 40d xLine (7인승)</t>
  </si>
  <si>
    <t>X5 xDrive 40d M Sport</t>
  </si>
  <si>
    <t>X5 xDrive 40i xLine</t>
  </si>
  <si>
    <t>X5 xDrive 40i xLine (7인승)</t>
  </si>
  <si>
    <t>X5 xDrive 40i M Sport</t>
  </si>
  <si>
    <t>X5 xDrive 50e xLine</t>
  </si>
  <si>
    <t>X5 xDrive 50e M Sport</t>
  </si>
  <si>
    <t>X6 xDrive 30d xLine</t>
  </si>
  <si>
    <t>X6 xDrive 30d M Sport</t>
  </si>
  <si>
    <t>X6 xDrive 40i M Sport</t>
  </si>
  <si>
    <t>X6 xDrive 40d M Sport</t>
  </si>
  <si>
    <t>X7 xDrive 30d Design Pure Excellence (7인승)</t>
  </si>
  <si>
    <t>X7 xDrive 30d Design Pure Excellence (6인승)</t>
  </si>
  <si>
    <t>X7 xDrive 30d M Sport (6인승)</t>
  </si>
  <si>
    <t>X7 xDrive 40d Design Pure Excellence (7인승)</t>
  </si>
  <si>
    <t>X7 xDrive 40d Design Pure Excellence (6인승)</t>
  </si>
  <si>
    <t>X7 xDrive 40d M Sport</t>
  </si>
  <si>
    <t>X7 xDrive 40i Design Pure Excellence (7인승)</t>
  </si>
  <si>
    <t>X7 xDrive 40i Design Pure Excellence (6인승)</t>
  </si>
  <si>
    <t>X7 xDrive 40i M Sport</t>
  </si>
  <si>
    <t>M135i xDrive</t>
  </si>
  <si>
    <t xml:space="preserve">M2 Coupe Competition </t>
  </si>
  <si>
    <t>M2 CS</t>
  </si>
  <si>
    <t>M235i xDrive Gran Coupe</t>
  </si>
  <si>
    <t>M235i Gran Coupe M Performance Edition xDrive</t>
  </si>
  <si>
    <t>M240i xDrive Coupe</t>
  </si>
  <si>
    <t xml:space="preserve">M3 Competition </t>
  </si>
  <si>
    <t>M3 Competition M xDrive</t>
  </si>
  <si>
    <t>M3 Competition Touring M xDrive</t>
  </si>
  <si>
    <t>M35i First Edition</t>
  </si>
  <si>
    <t>M340i</t>
  </si>
  <si>
    <t>M340i Touring xDrive</t>
  </si>
  <si>
    <t>M340i Touring xDrive Performance Package</t>
  </si>
  <si>
    <t>M4 Competition M xDrive Coupe</t>
  </si>
  <si>
    <t>M4 Competition M xDrive Convertible</t>
  </si>
  <si>
    <t>M40i</t>
  </si>
  <si>
    <t>M440i xDrive Coupe</t>
  </si>
  <si>
    <t>M440i xDrive Coupe Performance Package</t>
  </si>
  <si>
    <t>M440i xDrive Convertible</t>
  </si>
  <si>
    <t>M550i xDrive</t>
  </si>
  <si>
    <t>M5 Competition</t>
  </si>
  <si>
    <t xml:space="preserve">M760Li xDrive </t>
  </si>
  <si>
    <t>M8 Coupe Competition</t>
  </si>
  <si>
    <t>M8 GC Competition</t>
  </si>
  <si>
    <t>X1 M35i</t>
  </si>
  <si>
    <t>X2 M35i</t>
  </si>
  <si>
    <t>X3 M Competition</t>
  </si>
  <si>
    <t>X3 M40i</t>
  </si>
  <si>
    <t>X4 M Competition</t>
  </si>
  <si>
    <t>X4 M40i</t>
  </si>
  <si>
    <t>X4 M40d</t>
  </si>
  <si>
    <t>X5 M Competition</t>
  </si>
  <si>
    <t>X5 M50i</t>
  </si>
  <si>
    <t>X5 M50d</t>
  </si>
  <si>
    <t>X5 M60i xDrive</t>
  </si>
  <si>
    <t>X6 M Competition</t>
  </si>
  <si>
    <t>X6 M50i</t>
  </si>
  <si>
    <t>X6 M50d</t>
  </si>
  <si>
    <t>X6 M60i xDrive</t>
  </si>
  <si>
    <t>X7 M50i</t>
  </si>
  <si>
    <t>X7 M50d</t>
  </si>
  <si>
    <t>X7 M60i xDrive M Sport Pro</t>
  </si>
  <si>
    <t>XM</t>
  </si>
  <si>
    <t>P</t>
  </si>
  <si>
    <t>Z4 M40i</t>
  </si>
  <si>
    <t>CADILLAC</t>
  </si>
  <si>
    <t>CT4 Sport</t>
  </si>
  <si>
    <t>CT5 Premium Luxury</t>
  </si>
  <si>
    <t>CT5 Sport</t>
  </si>
  <si>
    <t>CT5-V Blackwing</t>
  </si>
  <si>
    <t>CT6 Sport</t>
  </si>
  <si>
    <t>CT6 Platinum</t>
  </si>
  <si>
    <t>CT6 Sport Plus</t>
  </si>
  <si>
    <t>XT4 Sport</t>
  </si>
  <si>
    <t>XT5 Premium Luxury</t>
  </si>
  <si>
    <t>XT5 Platinum</t>
  </si>
  <si>
    <t>XT5 Sport</t>
  </si>
  <si>
    <t>XT6 Sport</t>
  </si>
  <si>
    <t>Lyriq Sport</t>
  </si>
  <si>
    <t>ESCALADE</t>
  </si>
  <si>
    <t>ESCALADE Premium Luxury</t>
  </si>
  <si>
    <t>ESCALADE Premium Sport</t>
  </si>
  <si>
    <t>ESCALADE ESV Premium Luxury</t>
  </si>
  <si>
    <t>ESCALADE ESV Sport</t>
  </si>
  <si>
    <t>C3 Aircross Feel</t>
  </si>
  <si>
    <t>C3 Aircross Shine</t>
  </si>
  <si>
    <t>C4 Cactus Shine</t>
  </si>
  <si>
    <t>Grand C4 Spacetourer 1.5 Shine</t>
  </si>
  <si>
    <t>Grand C4 Spacetourer 1.5 Shine Pack</t>
  </si>
  <si>
    <t>C5 Aircross 1.5 Feel</t>
  </si>
  <si>
    <t>C5 Aircross 1.5 Shine</t>
  </si>
  <si>
    <t>C5 Aircross 2.0 Shine</t>
  </si>
  <si>
    <t>FORD</t>
  </si>
  <si>
    <t>Mustang 2.3 Convertible</t>
  </si>
  <si>
    <t>Mustang 2.3 Coupe</t>
  </si>
  <si>
    <t>Mustang GT 5.0 Convertible</t>
  </si>
  <si>
    <t>Mustang GT 5.0 Coupe</t>
  </si>
  <si>
    <t>Explorer 2.3 Limited</t>
  </si>
  <si>
    <t>Explorer 3.0 Platinum</t>
  </si>
  <si>
    <t>Explorer 3.3 하이브리드</t>
  </si>
  <si>
    <t>Bronco 4 Door OUTER BANK</t>
  </si>
  <si>
    <t>Corsair 2.0 Reserve</t>
  </si>
  <si>
    <t>Expedition 3.5 Platinum</t>
  </si>
  <si>
    <t>Ranger Wildtrak</t>
  </si>
  <si>
    <t>화물</t>
  </si>
  <si>
    <t>Ranger Raptor</t>
  </si>
  <si>
    <t>MKZ 200A</t>
  </si>
  <si>
    <t xml:space="preserve">MKZ 500A Hybrid </t>
  </si>
  <si>
    <t>하이브리드 A</t>
  </si>
  <si>
    <t>Continental 3.0 Reserve AWD</t>
  </si>
  <si>
    <t>Continental 3.0 Black label AWD</t>
  </si>
  <si>
    <t>Navigator 3.5</t>
  </si>
  <si>
    <t>Mondeo 2.0 Trend</t>
  </si>
  <si>
    <t>Nautilus 2.7 200A</t>
  </si>
  <si>
    <t>Nautilus 2.7 202A</t>
  </si>
  <si>
    <t>Aviator 3.0 Gas Reserve</t>
  </si>
  <si>
    <t>Aviator 3.0 Gas Jet Package</t>
  </si>
  <si>
    <t>Aviator 3.0 Gas Black label</t>
  </si>
  <si>
    <t>Aviator 3.0 PHEV Grand touring</t>
  </si>
  <si>
    <t>HONDA</t>
  </si>
  <si>
    <t>Accord 2.0 하이브리드</t>
  </si>
  <si>
    <t>Accord 터보 1.5</t>
  </si>
  <si>
    <t xml:space="preserve">Accord 터보 2.0 Sport </t>
  </si>
  <si>
    <t>Civic 터보 1.5</t>
  </si>
  <si>
    <t xml:space="preserve">CR-V Turbo 1.5 2WD EX-L </t>
  </si>
  <si>
    <t xml:space="preserve">CR-V 2.0 4WD Touring </t>
  </si>
  <si>
    <t xml:space="preserve">CR-V 2.0 4WD EX-L </t>
  </si>
  <si>
    <t xml:space="preserve">HR-V 1.8 2WD </t>
  </si>
  <si>
    <t xml:space="preserve">Odyssey 3.5 Elite </t>
  </si>
  <si>
    <t xml:space="preserve">Pilot 3.5 EX-L </t>
  </si>
  <si>
    <t xml:space="preserve">Pilot 3.5 Elite </t>
  </si>
  <si>
    <t>JAGUAR</t>
  </si>
  <si>
    <t xml:space="preserve">E-Pace D180 S </t>
  </si>
  <si>
    <t xml:space="preserve">E-Pace D180 SE </t>
  </si>
  <si>
    <t>E-Pace D180 Chequered Flag</t>
  </si>
  <si>
    <t xml:space="preserve">E-Pace P250 SE </t>
  </si>
  <si>
    <t>E-Pace P250 Chequered Flag</t>
  </si>
  <si>
    <t xml:space="preserve">E-Pace P250 R-Dynamic SE </t>
  </si>
  <si>
    <t>F-Pace D200 S</t>
  </si>
  <si>
    <t>F-Pace D200 SE</t>
  </si>
  <si>
    <t xml:space="preserve">F-Pace 30d S </t>
  </si>
  <si>
    <t>F-Pace P250 S</t>
  </si>
  <si>
    <t>F-Pace P250 SE</t>
  </si>
  <si>
    <t>F-Pace 5.0 SC SVR</t>
  </si>
  <si>
    <t>F-Type 쿠페 2.0 P300</t>
  </si>
  <si>
    <t xml:space="preserve">F-Type 쿠페 3.0 P380 R-Dynamic </t>
  </si>
  <si>
    <t>F-Type 쿠페 5.0 P575 R</t>
  </si>
  <si>
    <t>F-Type 컨버터블 2.0 P300</t>
  </si>
  <si>
    <t xml:space="preserve">F-Type 컨버터블 3.0 P380 R-Dynamic </t>
  </si>
  <si>
    <t>F-Type 컨버터블 5.0 P575 R</t>
  </si>
  <si>
    <t>I_Pace</t>
  </si>
  <si>
    <t>I_Pace EV400 SE</t>
  </si>
  <si>
    <t>I_Pace EV400 HSE</t>
  </si>
  <si>
    <t>I_Pace EV400 First Edition</t>
  </si>
  <si>
    <t>XE D180 R-Dynamic S</t>
  </si>
  <si>
    <t>XE P250 R-Dynamic S</t>
  </si>
  <si>
    <t>XE P300 R-Dynamic HSE</t>
  </si>
  <si>
    <t>XF 20d Portfolio</t>
  </si>
  <si>
    <t xml:space="preserve">XF 20d Portfolio AWD </t>
  </si>
  <si>
    <t>XF 20d Chequered Flag</t>
  </si>
  <si>
    <t xml:space="preserve">XF 20d Prestige AWD </t>
  </si>
  <si>
    <t>XF P250 SE</t>
  </si>
  <si>
    <t>XF P250 SE AWD</t>
  </si>
  <si>
    <t xml:space="preserve">XF S AWD </t>
  </si>
  <si>
    <t xml:space="preserve">XJ 3.0d Premium Luxury LWB </t>
  </si>
  <si>
    <t xml:space="preserve">XJ 3.0d LWB </t>
  </si>
  <si>
    <t>XJ 3.0 SC AWD portfolio LWB</t>
  </si>
  <si>
    <t>JEEP</t>
  </si>
  <si>
    <t>Cherokee</t>
  </si>
  <si>
    <t>Grand Cherokee 2.0 Limited 4xe</t>
  </si>
  <si>
    <t>Grand Cherokee 2.0 Summit Reserve 4xe</t>
  </si>
  <si>
    <t xml:space="preserve">Grand Cherokee 3.0d Limited </t>
  </si>
  <si>
    <t xml:space="preserve">Grand Cherokee 3.0d Overland </t>
  </si>
  <si>
    <t xml:space="preserve">Grand Cherokee 3.0d Summit </t>
  </si>
  <si>
    <t xml:space="preserve">Grand Cherokee 3.6 Limited </t>
  </si>
  <si>
    <t>Grand Cherokee 3.6 Limited X</t>
  </si>
  <si>
    <t xml:space="preserve">Grand Cherokee 3.6 Overland </t>
  </si>
  <si>
    <t>Grand Cherokee 3.6 Summit</t>
  </si>
  <si>
    <t>All New Grand Cherokee L Overland</t>
  </si>
  <si>
    <t>All New Grand Cherokee L Summit Reserve</t>
  </si>
  <si>
    <t xml:space="preserve">New Cherokee 2.2d Limited </t>
  </si>
  <si>
    <t xml:space="preserve">New Cherokee 2.2d Overland </t>
  </si>
  <si>
    <t>New Cherokee 2.4 Limited FWD</t>
  </si>
  <si>
    <t>New Cherokee 2.4 Limited AWD</t>
  </si>
  <si>
    <t>New Cherokee 3.2 Trailhawk</t>
  </si>
  <si>
    <t xml:space="preserve">New Cherokee 3.2 Overland </t>
  </si>
  <si>
    <t>Compass</t>
  </si>
  <si>
    <t>New Compass 2.4 Limited FWD</t>
  </si>
  <si>
    <t>New Compass 2.4 Limited AWD</t>
  </si>
  <si>
    <t>New Compass 2.4 S AWD</t>
  </si>
  <si>
    <t>Renegade</t>
  </si>
  <si>
    <t>Renegade 1.3 Limited FWD</t>
  </si>
  <si>
    <t>Renegade 1.3 Limited AWD</t>
  </si>
  <si>
    <t xml:space="preserve">Renegade 2.4 Longitude FWD </t>
  </si>
  <si>
    <t xml:space="preserve">Renegade 2.4 Limited FWD </t>
  </si>
  <si>
    <t xml:space="preserve">Renegade 2.4 Limited AWD </t>
  </si>
  <si>
    <t>Wrangler</t>
  </si>
  <si>
    <t>Gladiator 3.6 Rubicon</t>
  </si>
  <si>
    <t>LANDROVER</t>
  </si>
  <si>
    <t>Defender 90 D250 S</t>
  </si>
  <si>
    <t>Defender 90 D250 SE</t>
  </si>
  <si>
    <t>Defender 90 D250 XS Edition</t>
  </si>
  <si>
    <t>Defender 110 D250 S</t>
  </si>
  <si>
    <t>Defender 110 D250 SE</t>
  </si>
  <si>
    <t>Defender 110 D300 HSE</t>
  </si>
  <si>
    <t>Defender 110 P300 X-Dynamic SE</t>
  </si>
  <si>
    <t>Defender 110 P400 X</t>
  </si>
  <si>
    <t>Defender 130 P400 X-Dynamic HSE</t>
  </si>
  <si>
    <t>Defender 130 D300 X-Dynamic HSE</t>
  </si>
  <si>
    <t>Discovery Sport 2.0 D200 S</t>
  </si>
  <si>
    <t>Discovery Sport 2.0 P250 S</t>
  </si>
  <si>
    <t>Discovery Sport 2.0 P250 SE</t>
  </si>
  <si>
    <t>Discovery 3.0 D250 S</t>
  </si>
  <si>
    <t>Discovery 3.0 D250 SE</t>
  </si>
  <si>
    <t>Discovery 3.0 D300 R-Dynamic HSE</t>
  </si>
  <si>
    <t>Discovery 2.0 P300 SE</t>
  </si>
  <si>
    <t>Discovery 3.0 P360 R-Dynamic SE</t>
  </si>
  <si>
    <t>Range Rover Evoque P250 S</t>
  </si>
  <si>
    <t>Range Rover Evoque P250 SE</t>
  </si>
  <si>
    <t>Range Rover Evoque P250 R-Dynamic SE</t>
  </si>
  <si>
    <t>Range Rover Velar 2.0 P250 R-Dynamic SE</t>
  </si>
  <si>
    <t>Range Rover Velar 2.0 P250 Limited Edition</t>
  </si>
  <si>
    <t>Range Rover Velar 3.0 P400 R-Dynamic SE</t>
  </si>
  <si>
    <t>Range Rover Velar 3.0 P400 R-Dynamic HSE</t>
  </si>
  <si>
    <t>Range Rover Sport 3.0 D300 HSE</t>
  </si>
  <si>
    <t>Range Rover Sport 3.0 D300 Dynamic HSE</t>
  </si>
  <si>
    <t>Range Rover Sport 3.0 D300 Dynamic AB</t>
  </si>
  <si>
    <t>Range Rover Sport 3.0 P360 Dynamic SE</t>
  </si>
  <si>
    <t>Range Rover Sport 3.0 P360 Dynamic HSE</t>
  </si>
  <si>
    <t>Range Rover Sport 3.0 P360 AB</t>
  </si>
  <si>
    <t>The new Range Rover 4.4 P530 HSE SWB</t>
  </si>
  <si>
    <t>The new Range Rover 4.4 P530 HSE LWB</t>
  </si>
  <si>
    <t>The new Range Rover 4.4 P530 Autobiography SWB</t>
  </si>
  <si>
    <t>The new Range Rover 4.4 P530 Autobiography LWB</t>
  </si>
  <si>
    <t>The new Range Rover 4.4 P530 Autobiography LWB (7인승)</t>
  </si>
  <si>
    <t>The new Range Rover 3.0 D350 HSE SWB</t>
  </si>
  <si>
    <t>The new Range Rover 3.0 D350 HSE LWB</t>
  </si>
  <si>
    <t>The new Range Rover 3.0 D350 AB SWB</t>
  </si>
  <si>
    <t>The new Range Rover 3.0 D350 AB LWB</t>
  </si>
  <si>
    <t>Range Rover 5.0 SC Vogue SE SWB</t>
  </si>
  <si>
    <t>Range Rover 5.0 SC AB SWB</t>
  </si>
  <si>
    <t xml:space="preserve">Range Rover 5.0 SC AB LWB </t>
  </si>
  <si>
    <t xml:space="preserve">Range Rover 5.0 SC SVAB LWB </t>
  </si>
  <si>
    <t>Range Rover 5.0 SC 50th Edition</t>
  </si>
  <si>
    <t xml:space="preserve">Range Rover Sport 2.0 P400e HSE Dynamic </t>
  </si>
  <si>
    <t>Range Rover 2.0 P400e Vogue SE</t>
  </si>
  <si>
    <t>Range Rover 3.0 P550e Autobiography SWB</t>
  </si>
  <si>
    <t>LEXUS</t>
  </si>
  <si>
    <t xml:space="preserve">CT 1.8 하이브리드 200h Supreme </t>
  </si>
  <si>
    <t xml:space="preserve">CT 1.8 하이브리드 200h F Sport </t>
  </si>
  <si>
    <t xml:space="preserve">IS 터보 2.0 300 Premium </t>
  </si>
  <si>
    <t xml:space="preserve">IS 터보 2.0 300 Supreme </t>
  </si>
  <si>
    <t xml:space="preserve">IS 터보 2.0 300 F Sport </t>
  </si>
  <si>
    <t xml:space="preserve">ES 2.5 하이브리드 300h Supreme </t>
  </si>
  <si>
    <t xml:space="preserve">ES 2.5 하이브리드 300h Luxury </t>
  </si>
  <si>
    <t xml:space="preserve">ES 2.5 하이브리드 300h Luxury Plus </t>
  </si>
  <si>
    <t xml:space="preserve">ES 2.5 하이브리드 300h Executive </t>
  </si>
  <si>
    <t>ES 2.5 하이브리드 300h F Sport</t>
  </si>
  <si>
    <t xml:space="preserve">GS 3.5 하이브리드 450h F Sport </t>
  </si>
  <si>
    <t>하이브리드 B</t>
  </si>
  <si>
    <t xml:space="preserve">GS 5.0 GS F </t>
  </si>
  <si>
    <t xml:space="preserve">LS 3.5 하이브리드 500h Supreme 2WD </t>
  </si>
  <si>
    <t xml:space="preserve">LS 3.5 하이브리드 500h Luxury AWD </t>
  </si>
  <si>
    <t xml:space="preserve">LS 3.5 하이브리드 500h Platinum AWD </t>
  </si>
  <si>
    <t xml:space="preserve">LS 터보 3.5 500 Supreme AWD </t>
  </si>
  <si>
    <t xml:space="preserve">LS 터보 3.5 500 Luxury AWD </t>
  </si>
  <si>
    <t xml:space="preserve">LS 터보 3.5 500 Platinum AWD </t>
  </si>
  <si>
    <t xml:space="preserve">RC 2.0 300 F Sport </t>
  </si>
  <si>
    <t xml:space="preserve">RC 3.5 350 F Sport </t>
  </si>
  <si>
    <t xml:space="preserve">RC 5.0 RC F </t>
  </si>
  <si>
    <t xml:space="preserve">LC 3.5 하이브리드 500h Sport+ </t>
  </si>
  <si>
    <t>LC 5.0 500 Sport+ Convertible</t>
  </si>
  <si>
    <t xml:space="preserve">LC 5.0 500 Sport+ </t>
  </si>
  <si>
    <t>UX 2.0 하이브리드 250h 2WD</t>
  </si>
  <si>
    <t>UX 2.0 하이브리드 250h AWD</t>
  </si>
  <si>
    <t>UX 2.0 하이브리드 250h F Sport</t>
  </si>
  <si>
    <t>UX 300e</t>
  </si>
  <si>
    <t>NX 터보 2.0 300 Supreme</t>
  </si>
  <si>
    <t xml:space="preserve">NX 터보 2.0 300 F Sport </t>
  </si>
  <si>
    <t xml:space="preserve">NX 터보 2.0 300 Executive </t>
  </si>
  <si>
    <t>NX 2.5 하이브리드 350h Premium</t>
  </si>
  <si>
    <t>NX 2.5 하이브리드 350h Luxury</t>
  </si>
  <si>
    <t>NX 2.5 플러그인 하이브리드 450h+ Premium</t>
  </si>
  <si>
    <t>NX 2.5 플러그인 하이브리드 450h+ F SPORT</t>
  </si>
  <si>
    <t>RX 2.5 하이브리드 350h Luxury</t>
  </si>
  <si>
    <t>RX 2.5 하이브리드 450h+ Luxury</t>
  </si>
  <si>
    <t xml:space="preserve">RX 3.5 하이브리드 450h F Sport </t>
  </si>
  <si>
    <t>RX 3.5 하이브리드 450hL Luxury Plus</t>
  </si>
  <si>
    <t>RX 2.4 터보 하이브리드 500h F SPORT Performance</t>
  </si>
  <si>
    <t>RZ 450e Supreme</t>
  </si>
  <si>
    <t>RZ 450e Luxury</t>
  </si>
  <si>
    <t>LM 500h Executive</t>
  </si>
  <si>
    <t>LM 500h Royal</t>
  </si>
  <si>
    <t>MASERATI</t>
  </si>
  <si>
    <t>Ghibli S Q4</t>
  </si>
  <si>
    <t>Ghibli S Q4 GL</t>
  </si>
  <si>
    <t>Ghibli S Q4 GS</t>
  </si>
  <si>
    <t>Ghibli GT</t>
  </si>
  <si>
    <t>Ghibli Modena</t>
  </si>
  <si>
    <t>Ghibli Modena S Q4</t>
  </si>
  <si>
    <t xml:space="preserve">Ghibli </t>
  </si>
  <si>
    <t>Ghibli GL</t>
  </si>
  <si>
    <t>Ghibli GS</t>
  </si>
  <si>
    <t>Ghibli Hybrid</t>
  </si>
  <si>
    <t>Ghibli Hybrid GL</t>
  </si>
  <si>
    <t>Ghibli Hybrid GS</t>
  </si>
  <si>
    <t>Ghibli F Tributo</t>
  </si>
  <si>
    <t>Ghibli Trofeo</t>
  </si>
  <si>
    <t>Ghibli D</t>
  </si>
  <si>
    <t>Ghibli D GL</t>
  </si>
  <si>
    <t>Ghibli D GS</t>
  </si>
  <si>
    <t>Quattroporte D</t>
  </si>
  <si>
    <t>Quattroporte D GL</t>
  </si>
  <si>
    <t>Quattroporte GT</t>
  </si>
  <si>
    <t>Quattroporte Modena Q4</t>
  </si>
  <si>
    <t>Quattroporte GL</t>
  </si>
  <si>
    <t>Quattroporte S Q4</t>
  </si>
  <si>
    <t>Quattroporte S Q4 GL</t>
  </si>
  <si>
    <t>Quattroporte S Q4 GS</t>
  </si>
  <si>
    <t>Quattroporte Trofeo</t>
  </si>
  <si>
    <t>Quattroporte GTS GL</t>
  </si>
  <si>
    <t>Quattroporte GTS GS</t>
  </si>
  <si>
    <t>Levante D</t>
  </si>
  <si>
    <t>Levante D GL</t>
  </si>
  <si>
    <t>Levante D GS</t>
  </si>
  <si>
    <t>Levante GT</t>
  </si>
  <si>
    <t>Levante Modena</t>
  </si>
  <si>
    <t>Levante Modena S</t>
  </si>
  <si>
    <t>Levante GL</t>
  </si>
  <si>
    <t>Levante GS</t>
  </si>
  <si>
    <t xml:space="preserve">Levante S </t>
  </si>
  <si>
    <t>Levante S GL</t>
  </si>
  <si>
    <t>Levante S GS</t>
  </si>
  <si>
    <t>Levante GTS</t>
  </si>
  <si>
    <t>Levante F Tributo</t>
  </si>
  <si>
    <t>Levante Trofeo</t>
  </si>
  <si>
    <t>Grecale GT</t>
  </si>
  <si>
    <t>Grecale GT Type P</t>
  </si>
  <si>
    <t>Grecale Trofeo</t>
  </si>
  <si>
    <t xml:space="preserve">GranTurismo MC </t>
  </si>
  <si>
    <t>GranCabrio MC</t>
  </si>
  <si>
    <t>MINI</t>
  </si>
  <si>
    <t>Clubman 1.5 Cooper Classic</t>
  </si>
  <si>
    <t>Clubman 1.5 Cooper Classic Launch Pack</t>
  </si>
  <si>
    <t>Clubman 2.0 Cooper S Classic</t>
  </si>
  <si>
    <t>Clubman 2.0 Cooper S Classic Launch Pack</t>
  </si>
  <si>
    <t>Clubman 2.0 Cooper JCW All4</t>
  </si>
  <si>
    <t>Clubman 2.0 Cooper JCW All4 Launch Pack</t>
  </si>
  <si>
    <t>Clubman 2.0 Cooper D Classic</t>
  </si>
  <si>
    <t>Clubman 2.0 Cooper D Classic Launch Pack</t>
  </si>
  <si>
    <t>Clubman 2.0 Cooper SD Classic</t>
  </si>
  <si>
    <t>Clubman 2.0 Cooper SD Classic Launch Pack</t>
  </si>
  <si>
    <t>Hatch 3도어 1.5 Cooper Classic</t>
  </si>
  <si>
    <t>Hatch 3도어 1.5 Cooper Classic Plus</t>
  </si>
  <si>
    <t>Hatch 3도어 1.5 Cooper Classic Plus Launch Pack</t>
  </si>
  <si>
    <t xml:space="preserve">Hatch 3도어 2.0 Cooper JCW </t>
  </si>
  <si>
    <t>Hatch 3도어 2.0 Cooper JCW Launch Pack</t>
  </si>
  <si>
    <t>Hatch 5도어 1.5 Cooper Classic</t>
  </si>
  <si>
    <t>Hatch 5도어 1.5 Cooper Classic Launch Pack</t>
  </si>
  <si>
    <t>Countryman 1.5 Cooper Classic</t>
  </si>
  <si>
    <t>Countryman 1.5 Cooper Classic Launch Pack</t>
  </si>
  <si>
    <t>Countryman 1.5 Cooper Classic Plus</t>
  </si>
  <si>
    <t>Countryman 1.5 Cooper Classic Plus Launch Pack</t>
  </si>
  <si>
    <t>Countryman 2.0 Cooper S All4 Classic</t>
  </si>
  <si>
    <t>Countryman 2.0 Cooper S All4 Classic Launch Pack</t>
  </si>
  <si>
    <t>Countryman 2.0 JCW All4</t>
  </si>
  <si>
    <t xml:space="preserve">Countryman 2.0 JCW All4 Launch Pack </t>
  </si>
  <si>
    <t>Countryman 2.0 Cooper D All4 Classic</t>
  </si>
  <si>
    <t>Countryman 2.0 Cooper D All4 Classic Launch Pack</t>
  </si>
  <si>
    <t>Countryman 2.0 Cooper SD All4 Classic</t>
  </si>
  <si>
    <t xml:space="preserve">Countryman 2.0 Cooper SD All4 Classic Launch Pack </t>
  </si>
  <si>
    <t>Convertible 1.5 Cooper Classic</t>
  </si>
  <si>
    <t>Convertible 1.5 Cooper Classic Launch Pack</t>
  </si>
  <si>
    <t>Convertible 2.0 Cooper S Classic</t>
  </si>
  <si>
    <t>Convertible 2.0 Cooper S Classic Launch Pack</t>
  </si>
  <si>
    <t>Convertible 2.0 Cooper JCW</t>
  </si>
  <si>
    <t>Convertible 2.0 Cooper JCW Launch Pack</t>
  </si>
  <si>
    <t>PEUGEOT</t>
  </si>
  <si>
    <t>e-208 Allure</t>
  </si>
  <si>
    <t>고잔가불가</t>
  </si>
  <si>
    <t>e-208 GT Line</t>
  </si>
  <si>
    <t>308 Allure</t>
  </si>
  <si>
    <t>308 GT</t>
  </si>
  <si>
    <t>308 2.0d GT</t>
  </si>
  <si>
    <t>408 Allure</t>
  </si>
  <si>
    <t>408 GT</t>
  </si>
  <si>
    <t>New 508 Allure</t>
  </si>
  <si>
    <t>Y</t>
  </si>
  <si>
    <t>New 508 GT</t>
  </si>
  <si>
    <t>New 508 GT Pack</t>
  </si>
  <si>
    <t>New 508 2.0d Allure</t>
  </si>
  <si>
    <t>New 508 2.0d GT Line</t>
  </si>
  <si>
    <t>New 508 2.0d GT</t>
  </si>
  <si>
    <t>New 508 SW 1.5d GT</t>
  </si>
  <si>
    <t>New 508 SW 2.0d GT Line</t>
  </si>
  <si>
    <t>2008 Allure</t>
  </si>
  <si>
    <t>2008 GT</t>
  </si>
  <si>
    <t>e-2008 Allure</t>
  </si>
  <si>
    <t>e-2008 GT</t>
  </si>
  <si>
    <t>3008 Allure</t>
  </si>
  <si>
    <t>3008 GT</t>
  </si>
  <si>
    <t>3008 GT Pack</t>
  </si>
  <si>
    <t>3008 1.2 Allure</t>
  </si>
  <si>
    <t>3008 1.2 GT</t>
  </si>
  <si>
    <t>3008 1.2 GT Pack</t>
  </si>
  <si>
    <t>5008 1.2 Allure</t>
  </si>
  <si>
    <t>5008 1.2 GT</t>
  </si>
  <si>
    <t>5008 1.2 GT Pack</t>
  </si>
  <si>
    <t>5008 1.5 Allure</t>
  </si>
  <si>
    <t>5008 1.5 GT</t>
  </si>
  <si>
    <t>5008 2.0 GT Pack</t>
  </si>
  <si>
    <t xml:space="preserve"> </t>
  </si>
  <si>
    <t>PORSCHE</t>
  </si>
  <si>
    <t>718 Cayman</t>
  </si>
  <si>
    <t>718 Cayman S</t>
  </si>
  <si>
    <t>718 Cayman GTS</t>
  </si>
  <si>
    <t>718 Cayman GT4</t>
  </si>
  <si>
    <t>718 Boxster</t>
  </si>
  <si>
    <t>718 Boxster S</t>
  </si>
  <si>
    <t>718 Boxster GTS</t>
  </si>
  <si>
    <t>911 Carrera Coupe</t>
  </si>
  <si>
    <t>911 Carrera 4 Coupe</t>
  </si>
  <si>
    <t>911 Carrera S Coupe</t>
  </si>
  <si>
    <t>911 Carrera 4S Coupe</t>
  </si>
  <si>
    <t>911 Carrera GTS Coupe</t>
  </si>
  <si>
    <t>911 Carrera 4 GTS Coupe</t>
  </si>
  <si>
    <t>911 Carrera Cabriolet</t>
  </si>
  <si>
    <t>911 Carrera 4 Cabriolet</t>
  </si>
  <si>
    <t>911 Carrera S Cabriolet</t>
  </si>
  <si>
    <t>911 Carrera 4S Cabriolet</t>
  </si>
  <si>
    <t>911 Carrera GTS Cabriolet</t>
  </si>
  <si>
    <t>911 Carrera 4 GTS Cabriolet</t>
  </si>
  <si>
    <t>911 Targa 4</t>
  </si>
  <si>
    <t>911 Targa 4S</t>
  </si>
  <si>
    <t>911 Targa 4 GTS</t>
  </si>
  <si>
    <t>911 Turbo S Coupe</t>
  </si>
  <si>
    <t>911 Turbo S Cabriolet</t>
  </si>
  <si>
    <t>911 GT3</t>
  </si>
  <si>
    <t>Panamera 4</t>
  </si>
  <si>
    <t>S+</t>
  </si>
  <si>
    <t>Panamera 4 Executive</t>
  </si>
  <si>
    <t>Panamera 4 Platinum Edition</t>
  </si>
  <si>
    <t>Panamera Turbo S</t>
  </si>
  <si>
    <t>Panamera GTS</t>
  </si>
  <si>
    <t>Panamera 4 E-Hybrid</t>
  </si>
  <si>
    <t>Panamera 4 E-Hybrid Platinum Edition</t>
  </si>
  <si>
    <t>Panamera Turbo E-Hybrid</t>
  </si>
  <si>
    <t>Taycan 4S</t>
  </si>
  <si>
    <t>Taycan Turbo</t>
  </si>
  <si>
    <t>Taycan Turbo S</t>
  </si>
  <si>
    <t>Taycan GTS</t>
  </si>
  <si>
    <t>Taycan Cross Turismo 4</t>
  </si>
  <si>
    <t>Taycan Cross Turismo 4S</t>
  </si>
  <si>
    <t>Taycan Cross Turismo Turbo</t>
  </si>
  <si>
    <t>Macan S</t>
  </si>
  <si>
    <t>Macan GTS</t>
  </si>
  <si>
    <t>Cayenne Platinum Edition</t>
  </si>
  <si>
    <t>Cayenne Turbo</t>
  </si>
  <si>
    <t>Cayenne E-Hybrid</t>
  </si>
  <si>
    <t>Cayenne S E-Hybrid</t>
  </si>
  <si>
    <t>Cayenne Turbo E-Hybrid</t>
  </si>
  <si>
    <t>Cayenne Coupe</t>
  </si>
  <si>
    <t>Cayenne Coupe Platinum Edition</t>
  </si>
  <si>
    <t>Cayenne Coupe Turbo</t>
  </si>
  <si>
    <t>Cayenne Coupe E-Hybrid</t>
  </si>
  <si>
    <t>Cayenne Coupe S E-Hybrid</t>
  </si>
  <si>
    <t>Cayenne Coupe E-Hybrid Platinum Edition</t>
  </si>
  <si>
    <t>Cayenne Coupe Turbo E-Hybrid</t>
  </si>
  <si>
    <t>Cayenne Coupe Turbo GT</t>
  </si>
  <si>
    <t>Model_3</t>
  </si>
  <si>
    <t>Model_3 Standard Range Plus</t>
  </si>
  <si>
    <t>Model_3 Long Range</t>
  </si>
  <si>
    <t>Model_3 Performance</t>
  </si>
  <si>
    <t>Model_S AWD</t>
  </si>
  <si>
    <t>Model_S Plaid</t>
  </si>
  <si>
    <t>Model_X AWD</t>
  </si>
  <si>
    <t>Model_X Plaid</t>
  </si>
  <si>
    <t>Model_Y</t>
  </si>
  <si>
    <t>Model_Y Standard Range</t>
  </si>
  <si>
    <t>Model_Y Long Range</t>
  </si>
  <si>
    <t>Model_Y Performance</t>
  </si>
  <si>
    <t>TOYOTA</t>
  </si>
  <si>
    <t>GR 86 2.4 Standard</t>
  </si>
  <si>
    <t>GR 86 2.4 Premium</t>
  </si>
  <si>
    <t>Avalon 2.5 하이브리드</t>
  </si>
  <si>
    <t>Camry 2.5</t>
  </si>
  <si>
    <t>Camry 2.5 XSE</t>
  </si>
  <si>
    <t>Camry 2.5 XLE</t>
  </si>
  <si>
    <t xml:space="preserve">Camry 2.5 하이브리드 LE </t>
  </si>
  <si>
    <t xml:space="preserve">Camry 2.5 하이브리드 XSE </t>
  </si>
  <si>
    <t xml:space="preserve">Camry 2.5 하이브리드 XLE </t>
  </si>
  <si>
    <t>Crown 2.4L 하이브리드 Dual Boost</t>
  </si>
  <si>
    <t>Crown 2.5L 하이브리드</t>
  </si>
  <si>
    <t>Prius C 1.5 하이브리드</t>
  </si>
  <si>
    <t>Prius C Crossover 1.5 하이브리드</t>
  </si>
  <si>
    <t>Prius 1.8 하이브리드 2WD</t>
  </si>
  <si>
    <t>Prius 1.8 하이브리드 4WD</t>
  </si>
  <si>
    <t xml:space="preserve">Prius Prime 1.8 PHEV </t>
  </si>
  <si>
    <t>GR SUPRA 3.0</t>
  </si>
  <si>
    <t xml:space="preserve">RAV4 2.5 2WD </t>
  </si>
  <si>
    <t>RAV4 2.5 하이브리드 2WD</t>
  </si>
  <si>
    <t>RAV4 2.5 하이브리드 AWD</t>
  </si>
  <si>
    <t>Sienna 2.5 하이브리드 2WD</t>
  </si>
  <si>
    <t>Sienna 2.5 하이브리드 4WD</t>
  </si>
  <si>
    <t>Alphard 2.5 하이브리드 AWD</t>
  </si>
  <si>
    <t>VOLKSWAGEN</t>
  </si>
  <si>
    <t>Jetta 1.4 TSI Premium</t>
  </si>
  <si>
    <t xml:space="preserve">Jetta 1.4 TSI Prestige </t>
  </si>
  <si>
    <t xml:space="preserve">Arteon 2.0 TDI Premium </t>
  </si>
  <si>
    <t xml:space="preserve">Arteon 2.0 TDI Prestige </t>
  </si>
  <si>
    <t>Arteon 2.0 TDI Prestige 4Motion</t>
  </si>
  <si>
    <t>Arteon 2.0 TDI R-Line 4Motion</t>
  </si>
  <si>
    <t xml:space="preserve">Tiguan 2.0 TDI Premium </t>
  </si>
  <si>
    <t>Tiguan 2.0 TDI Premium 4Motion</t>
  </si>
  <si>
    <t xml:space="preserve">Tiguan 2.0 TDI Prestige </t>
  </si>
  <si>
    <t>Tiguan 2.0 TDI Prestige 4Motion</t>
  </si>
  <si>
    <t>Tiguan 2.0 TSI Prestige</t>
  </si>
  <si>
    <t>Touareg 3.0 TDI Premium</t>
  </si>
  <si>
    <t>Touareg 3.0 TDI Prestige</t>
  </si>
  <si>
    <t>Touareg 3.0 TDI R-line</t>
  </si>
  <si>
    <t>Touareg 4.0 TDI Prestige</t>
  </si>
  <si>
    <t>Touareg 4.0 TDI R-line</t>
  </si>
  <si>
    <t>T-Roc 2.0 TDI Style</t>
  </si>
  <si>
    <t>T-Roc 2.0 TDI Premium</t>
  </si>
  <si>
    <t>T-Roc 2.0 TDI Prestige</t>
  </si>
  <si>
    <t xml:space="preserve">Passat GT 2.0 TDI Premium </t>
  </si>
  <si>
    <t xml:space="preserve">Passat GT 2.0 TDI Prestige </t>
  </si>
  <si>
    <t>Passat GT 2.0 TDI Prestige 4Motion</t>
  </si>
  <si>
    <t>Golf 2.0 TDI Premium</t>
  </si>
  <si>
    <t>Golf 2.0 TDI Prestige</t>
  </si>
  <si>
    <t>Golf 2.0 GTI</t>
  </si>
  <si>
    <t>ID.4 Pro</t>
  </si>
  <si>
    <t>VOLVO</t>
  </si>
  <si>
    <t>S60 2.0 B5 Ultimate Bright</t>
  </si>
  <si>
    <t>S60 2.0 B5 Dark Edition</t>
  </si>
  <si>
    <t>S60 2.0 B5 Ultra Bright</t>
  </si>
  <si>
    <t>S90 2.0 B5 Plus Bright</t>
  </si>
  <si>
    <t>S90 2.0 B5 Ultimate Bright</t>
  </si>
  <si>
    <t>S90 2.0 B6 Ultimate Bright AWD</t>
  </si>
  <si>
    <t>S90 2.0 B5 Ultra Bright</t>
  </si>
  <si>
    <t>S90 2.0 B6 AWD Ultra Bright</t>
  </si>
  <si>
    <t>S90 2.0 T8 AWD Ultra Bright</t>
  </si>
  <si>
    <t>S90 2.0 T8 Ultimate Bright AWD</t>
  </si>
  <si>
    <t>V40 2.0 D3 Momentum</t>
  </si>
  <si>
    <t>V60 Cross Country 2.0 B5 AWD Plus</t>
  </si>
  <si>
    <t>V60 Cross Country 2.0 B5 AWD Ultra</t>
  </si>
  <si>
    <t>V60 Cross Country 2.0 B5 AWD Ultimate</t>
  </si>
  <si>
    <t>V90 Cross Country 2.0 B5 AWD Plus</t>
  </si>
  <si>
    <t>V90 Cross Country 2.0 B5 AWD Ultimate</t>
  </si>
  <si>
    <t>V90 Cross Country 2.0 B5 AWD Ultra</t>
  </si>
  <si>
    <t>XC40 2.0 B4 Plus Bright AWD</t>
  </si>
  <si>
    <t>XC40 2.0 B4 Ultimate Bright AWD</t>
  </si>
  <si>
    <t>XC40 2.0 B4 Ultra Bright AWD</t>
  </si>
  <si>
    <t>XC40 2.0 B4 Dark Edition AWD</t>
  </si>
  <si>
    <t>XC40 Recharge Twin</t>
  </si>
  <si>
    <t xml:space="preserve">XC60 2.0 B5 AWD Plus Bright </t>
  </si>
  <si>
    <t>XC60 2.0 B5 AWD Ultra Bright</t>
  </si>
  <si>
    <t>XC60 2.0 B6 AWD Ultra Bright</t>
  </si>
  <si>
    <t>XC60 2.0 B5 AWD Ultimate Bright</t>
  </si>
  <si>
    <t>XC60 2.0 B6 AWD Ultimate Bright</t>
  </si>
  <si>
    <t>XC60 2.0 T8 AWD Ultra Bright</t>
  </si>
  <si>
    <t>XC60 2.0 T8 AWD Ultimate Bright</t>
  </si>
  <si>
    <t>XC90 2.0 B6 AWD Plus Bright</t>
  </si>
  <si>
    <t>XC90 2.0 B6 AWD Ultimate Bright</t>
  </si>
  <si>
    <t>XC90 2.0 B6 AWD Ultra Bright</t>
  </si>
  <si>
    <t>XC90 2.0 T8 AWD Ultra Bright</t>
  </si>
  <si>
    <t>XC90 2.0 T8 AWD Ultimate Bright</t>
  </si>
  <si>
    <t>C40 Recharge Twin Ultimate</t>
  </si>
  <si>
    <t>EX30 Core</t>
  </si>
  <si>
    <t>EX30 Ultra</t>
  </si>
  <si>
    <t>기본모델</t>
    <phoneticPr fontId="1" type="noConversion"/>
  </si>
  <si>
    <t>세부모델</t>
    <phoneticPr fontId="1" type="noConversion"/>
  </si>
  <si>
    <t>S1</t>
  </si>
  <si>
    <t>S2</t>
  </si>
  <si>
    <t>S3</t>
  </si>
  <si>
    <t>S4</t>
  </si>
  <si>
    <t>S5</t>
  </si>
  <si>
    <t>SA</t>
  </si>
  <si>
    <t>Special RV</t>
  </si>
  <si>
    <t>W</t>
    <phoneticPr fontId="1" type="noConversion"/>
  </si>
  <si>
    <t>J</t>
    <phoneticPr fontId="1" type="noConversion"/>
  </si>
  <si>
    <t>A</t>
    <phoneticPr fontId="1" type="noConversion"/>
  </si>
  <si>
    <t>V</t>
    <phoneticPr fontId="1" type="noConversion"/>
  </si>
  <si>
    <t>잔가 상향</t>
  </si>
  <si>
    <t>잔가보장수수료</t>
  </si>
  <si>
    <t>해당없음</t>
  </si>
  <si>
    <t>1구간</t>
  </si>
  <si>
    <t>2구간</t>
  </si>
  <si>
    <t>3구간</t>
  </si>
  <si>
    <t>4구간</t>
  </si>
  <si>
    <t>5구간</t>
  </si>
  <si>
    <t>6구간</t>
  </si>
  <si>
    <t>7구간</t>
  </si>
  <si>
    <t>8구간</t>
  </si>
  <si>
    <t>km</t>
  </si>
  <si>
    <t>잔가보장수수료</t>
    <phoneticPr fontId="1" type="noConversion"/>
  </si>
  <si>
    <t>최소
잔가</t>
  </si>
  <si>
    <t>메이커</t>
  </si>
  <si>
    <t>모델</t>
  </si>
  <si>
    <t>차량가격</t>
  </si>
  <si>
    <t>리스기간</t>
  </si>
  <si>
    <t>주행거리</t>
  </si>
  <si>
    <t>계약잔가</t>
  </si>
  <si>
    <t>잔가기준</t>
  </si>
  <si>
    <t>일반잔가</t>
  </si>
  <si>
    <t>고잔가</t>
  </si>
  <si>
    <t>IRR</t>
    <phoneticPr fontId="1" type="noConversion"/>
  </si>
  <si>
    <t>체크박스</t>
    <phoneticPr fontId="1" type="noConversion"/>
  </si>
  <si>
    <t>등취득세</t>
    <phoneticPr fontId="1" type="noConversion"/>
  </si>
  <si>
    <t>공채비용</t>
    <phoneticPr fontId="1" type="noConversion"/>
  </si>
  <si>
    <t>탁송료</t>
    <phoneticPr fontId="1" type="noConversion"/>
  </si>
  <si>
    <t>부대비용</t>
    <phoneticPr fontId="1" type="noConversion"/>
  </si>
  <si>
    <t>조건1</t>
    <phoneticPr fontId="1" type="noConversion"/>
  </si>
  <si>
    <t>조건2</t>
    <phoneticPr fontId="1" type="noConversion"/>
  </si>
  <si>
    <t>조건3</t>
    <phoneticPr fontId="1" type="noConversion"/>
  </si>
  <si>
    <t>보증금1</t>
    <phoneticPr fontId="1" type="noConversion"/>
  </si>
  <si>
    <t>잔가1</t>
    <phoneticPr fontId="1" type="noConversion"/>
  </si>
  <si>
    <t>보증금2</t>
    <phoneticPr fontId="1" type="noConversion"/>
  </si>
  <si>
    <t>잔가2</t>
    <phoneticPr fontId="1" type="noConversion"/>
  </si>
  <si>
    <t>보증금3</t>
    <phoneticPr fontId="1" type="noConversion"/>
  </si>
  <si>
    <t>잔가3</t>
    <phoneticPr fontId="1" type="noConversion"/>
  </si>
  <si>
    <t>장기선수금</t>
    <phoneticPr fontId="1" type="noConversion"/>
  </si>
  <si>
    <t>잔가랭크</t>
    <phoneticPr fontId="1" type="noConversion"/>
  </si>
  <si>
    <t>잔가Rank</t>
    <phoneticPr fontId="1" type="noConversion"/>
  </si>
  <si>
    <t>잔가사</t>
    <phoneticPr fontId="1" type="noConversion"/>
  </si>
  <si>
    <t>잔가군</t>
    <phoneticPr fontId="1" type="noConversion"/>
  </si>
  <si>
    <t>기본잔가율</t>
    <phoneticPr fontId="1" type="noConversion"/>
  </si>
  <si>
    <t>고잔가율</t>
    <phoneticPr fontId="1" type="noConversion"/>
  </si>
  <si>
    <t>잔가차이</t>
    <phoneticPr fontId="1" type="noConversion"/>
  </si>
  <si>
    <t>잔가구간</t>
    <phoneticPr fontId="1" type="noConversion"/>
  </si>
  <si>
    <t>추가</t>
    <phoneticPr fontId="1" type="noConversion"/>
  </si>
  <si>
    <t>수수로랭크</t>
    <phoneticPr fontId="1" type="noConversion"/>
  </si>
  <si>
    <t>합산</t>
    <phoneticPr fontId="1" type="noConversion"/>
  </si>
  <si>
    <t>고잔가 가능여부</t>
    <phoneticPr fontId="1" type="noConversion"/>
  </si>
  <si>
    <t>Range_Rover_Sport</t>
    <phoneticPr fontId="1" type="noConversion"/>
  </si>
  <si>
    <t>Range_Rover_Velar</t>
    <phoneticPr fontId="1" type="noConversion"/>
  </si>
  <si>
    <t>Range_Rover_Evoque</t>
    <phoneticPr fontId="1" type="noConversion"/>
  </si>
  <si>
    <t>Range_Rover</t>
    <phoneticPr fontId="1" type="noConversion"/>
  </si>
  <si>
    <t xml:space="preserve">SL 400  </t>
    <phoneticPr fontId="1" type="noConversion"/>
  </si>
  <si>
    <t>0구간</t>
    <phoneticPr fontId="1" type="noConversion"/>
  </si>
  <si>
    <t>고잔가반영
최고잔가</t>
    <phoneticPr fontId="1" type="noConversion"/>
  </si>
  <si>
    <t>주행거리
최고잔가</t>
    <phoneticPr fontId="1" type="noConversion"/>
  </si>
  <si>
    <t>CM수수료</t>
    <phoneticPr fontId="1" type="noConversion"/>
  </si>
  <si>
    <t>AG수수료</t>
    <phoneticPr fontId="1" type="noConversion"/>
  </si>
  <si>
    <t>잔가보장수수료</t>
    <phoneticPr fontId="1" type="noConversion"/>
  </si>
  <si>
    <t>금리</t>
    <phoneticPr fontId="1" type="noConversion"/>
  </si>
  <si>
    <t>리스료(선납제외)</t>
    <phoneticPr fontId="1" type="noConversion"/>
  </si>
  <si>
    <t>리스료</t>
    <phoneticPr fontId="1" type="noConversion"/>
  </si>
  <si>
    <t>선납금차감분</t>
    <phoneticPr fontId="1" type="noConversion"/>
  </si>
  <si>
    <t>이손금</t>
    <phoneticPr fontId="1" type="noConversion"/>
  </si>
  <si>
    <t>설정비</t>
    <phoneticPr fontId="1" type="noConversion"/>
  </si>
  <si>
    <t>제휴사 수수료</t>
    <phoneticPr fontId="1" type="noConversion"/>
  </si>
  <si>
    <t>본부장 수수료</t>
    <phoneticPr fontId="1" type="noConversion"/>
  </si>
  <si>
    <t>장기선수금1</t>
    <phoneticPr fontId="1" type="noConversion"/>
  </si>
  <si>
    <t>장기선수금2</t>
    <phoneticPr fontId="1" type="noConversion"/>
  </si>
  <si>
    <t>장기선수금3</t>
    <phoneticPr fontId="1" type="noConversion"/>
  </si>
  <si>
    <t>등록명의</t>
    <phoneticPr fontId="1" type="noConversion"/>
  </si>
  <si>
    <t>등록명의1</t>
    <phoneticPr fontId="1" type="noConversion"/>
  </si>
  <si>
    <t>등록명의2</t>
    <phoneticPr fontId="1" type="noConversion"/>
  </si>
  <si>
    <t>등록명의3</t>
    <phoneticPr fontId="1" type="noConversion"/>
  </si>
  <si>
    <t>조건1</t>
    <phoneticPr fontId="1" type="noConversion"/>
  </si>
  <si>
    <t>조건2</t>
    <phoneticPr fontId="1" type="noConversion"/>
  </si>
  <si>
    <t>조건3</t>
    <phoneticPr fontId="1" type="noConversion"/>
  </si>
  <si>
    <t>태안모터스</t>
  </si>
  <si>
    <t>운용리스</t>
  </si>
  <si>
    <t>KCC오토</t>
  </si>
  <si>
    <t>진모터스</t>
  </si>
  <si>
    <t>한성모터스</t>
  </si>
  <si>
    <t>스타자동차</t>
  </si>
  <si>
    <t>중앙모터스</t>
  </si>
  <si>
    <t>KCC오토모빌</t>
  </si>
  <si>
    <t>브리티시오토</t>
  </si>
  <si>
    <t>아우토슈타트</t>
  </si>
  <si>
    <t>스투트가르트</t>
  </si>
  <si>
    <t>세영모빌리티</t>
  </si>
  <si>
    <t>딜러사</t>
    <phoneticPr fontId="1" type="noConversion"/>
  </si>
  <si>
    <t>Audi_</t>
    <phoneticPr fontId="1" type="noConversion"/>
  </si>
  <si>
    <t>Benz_</t>
    <phoneticPr fontId="1" type="noConversion"/>
  </si>
  <si>
    <t>BMW_</t>
    <phoneticPr fontId="1" type="noConversion"/>
  </si>
  <si>
    <t>Cadillac_</t>
    <phoneticPr fontId="1" type="noConversion"/>
  </si>
  <si>
    <t>Citroen_</t>
    <phoneticPr fontId="1" type="noConversion"/>
  </si>
  <si>
    <t>Ford_</t>
    <phoneticPr fontId="1" type="noConversion"/>
  </si>
  <si>
    <t>Honda_</t>
    <phoneticPr fontId="1" type="noConversion"/>
  </si>
  <si>
    <t>Jaguar_</t>
    <phoneticPr fontId="1" type="noConversion"/>
  </si>
  <si>
    <t>Jeep_</t>
    <phoneticPr fontId="1" type="noConversion"/>
  </si>
  <si>
    <t>Landrover_</t>
    <phoneticPr fontId="1" type="noConversion"/>
  </si>
  <si>
    <t>Lexus_</t>
    <phoneticPr fontId="1" type="noConversion"/>
  </si>
  <si>
    <t>Maserati_</t>
    <phoneticPr fontId="1" type="noConversion"/>
  </si>
  <si>
    <t>Mini_</t>
    <phoneticPr fontId="1" type="noConversion"/>
  </si>
  <si>
    <t>Peugeot_</t>
    <phoneticPr fontId="1" type="noConversion"/>
  </si>
  <si>
    <t>Porsche_</t>
    <phoneticPr fontId="1" type="noConversion"/>
  </si>
  <si>
    <t>Tesla_</t>
    <phoneticPr fontId="1" type="noConversion"/>
  </si>
  <si>
    <t>Toyota_</t>
    <phoneticPr fontId="1" type="noConversion"/>
  </si>
  <si>
    <t>Volkswagen_</t>
    <phoneticPr fontId="1" type="noConversion"/>
  </si>
  <si>
    <t>Volvo_</t>
    <phoneticPr fontId="1" type="noConversion"/>
  </si>
  <si>
    <t>Astonmartine_</t>
    <phoneticPr fontId="1" type="noConversion"/>
  </si>
  <si>
    <t>Bentley_</t>
    <phoneticPr fontId="1" type="noConversion"/>
  </si>
  <si>
    <t>Ferrari_</t>
    <phoneticPr fontId="1" type="noConversion"/>
  </si>
  <si>
    <t>Lamborghini_</t>
    <phoneticPr fontId="1" type="noConversion"/>
  </si>
  <si>
    <t>Mclaren_</t>
    <phoneticPr fontId="1" type="noConversion"/>
  </si>
  <si>
    <t>Rollsroyce_</t>
    <phoneticPr fontId="1" type="noConversion"/>
  </si>
  <si>
    <t>기타</t>
    <phoneticPr fontId="1" type="noConversion"/>
  </si>
  <si>
    <t>제휴사</t>
    <phoneticPr fontId="1" type="noConversion"/>
  </si>
  <si>
    <t>West</t>
    <phoneticPr fontId="1" type="noConversion"/>
  </si>
  <si>
    <t>AJ</t>
    <phoneticPr fontId="1" type="noConversion"/>
  </si>
  <si>
    <t>금리</t>
    <phoneticPr fontId="1" type="noConversion"/>
  </si>
  <si>
    <t>차세1</t>
    <phoneticPr fontId="1" type="noConversion"/>
  </si>
  <si>
    <t>차세2</t>
    <phoneticPr fontId="1" type="noConversion"/>
  </si>
  <si>
    <t>차세3</t>
    <phoneticPr fontId="1" type="noConversion"/>
  </si>
  <si>
    <t>잔가하향</t>
    <phoneticPr fontId="1" type="noConversion"/>
  </si>
  <si>
    <t>잔가하향1</t>
    <phoneticPr fontId="1" type="noConversion"/>
  </si>
  <si>
    <t>잔가하향2</t>
    <phoneticPr fontId="1" type="noConversion"/>
  </si>
  <si>
    <t>잔가하향3</t>
    <phoneticPr fontId="1" type="noConversion"/>
  </si>
  <si>
    <t>운용</t>
    <phoneticPr fontId="1" type="noConversion"/>
  </si>
  <si>
    <t>금융</t>
    <phoneticPr fontId="1" type="noConversion"/>
  </si>
  <si>
    <t>할부</t>
    <phoneticPr fontId="1" type="noConversion"/>
  </si>
  <si>
    <t>조건1</t>
    <phoneticPr fontId="1" type="noConversion"/>
  </si>
  <si>
    <t>조건2</t>
    <phoneticPr fontId="1" type="noConversion"/>
  </si>
  <si>
    <t>조건3</t>
    <phoneticPr fontId="1" type="noConversion"/>
  </si>
  <si>
    <t>메리츠캐피탈 담당자</t>
    <phoneticPr fontId="1" type="noConversion"/>
  </si>
  <si>
    <t>담당자</t>
    <phoneticPr fontId="1" type="noConversion"/>
  </si>
  <si>
    <t>배기량</t>
    <phoneticPr fontId="1" type="noConversion"/>
  </si>
  <si>
    <t>등록비</t>
    <phoneticPr fontId="1" type="noConversion"/>
  </si>
  <si>
    <t>▣ 차량정보</t>
    <phoneticPr fontId="1" type="noConversion"/>
  </si>
  <si>
    <t>기본 가격</t>
    <phoneticPr fontId="1" type="noConversion"/>
  </si>
  <si>
    <t>옵션 가격</t>
    <phoneticPr fontId="1" type="noConversion"/>
  </si>
  <si>
    <t>할인 가격</t>
    <phoneticPr fontId="1" type="noConversion"/>
  </si>
  <si>
    <t>최종 가격</t>
    <phoneticPr fontId="1" type="noConversion"/>
  </si>
  <si>
    <t>▣ 등록비용</t>
    <phoneticPr fontId="1" type="noConversion"/>
  </si>
  <si>
    <t>▣ 리스조건</t>
    <phoneticPr fontId="1" type="noConversion"/>
  </si>
  <si>
    <t>구분</t>
  </si>
  <si>
    <t>당사명의</t>
  </si>
  <si>
    <t>이용자명의</t>
  </si>
  <si>
    <t>하이브리드감면</t>
  </si>
  <si>
    <t>최종납부액</t>
  </si>
  <si>
    <t>납부취득세</t>
  </si>
  <si>
    <t>등록면허세</t>
  </si>
  <si>
    <t>RV(11인이상)</t>
  </si>
  <si>
    <t>플러그인HEV A</t>
  </si>
  <si>
    <t>과세표준</t>
  </si>
  <si>
    <t>운용리스</t>
    <phoneticPr fontId="1" type="noConversion"/>
  </si>
  <si>
    <t>차종</t>
    <phoneticPr fontId="1" type="noConversion"/>
  </si>
  <si>
    <t>※운용리스</t>
  </si>
  <si>
    <t>차량종류</t>
  </si>
  <si>
    <t>공채금액</t>
  </si>
  <si>
    <t>할인율</t>
  </si>
  <si>
    <t>배기량</t>
  </si>
  <si>
    <t>공채테이블</t>
  </si>
  <si>
    <t>서울</t>
  </si>
  <si>
    <t>부산</t>
  </si>
  <si>
    <t>1,000cc미만</t>
  </si>
  <si>
    <t>1,000cc이상</t>
  </si>
  <si>
    <t>1,600cc초과</t>
  </si>
  <si>
    <t>2,000cc초과</t>
  </si>
  <si>
    <t>경남</t>
  </si>
  <si>
    <t>대구</t>
  </si>
  <si>
    <t>인천</t>
  </si>
  <si>
    <t>지방(기타)</t>
  </si>
  <si>
    <t>비용</t>
  </si>
  <si>
    <t>공채지역</t>
    <phoneticPr fontId="1" type="noConversion"/>
  </si>
  <si>
    <t>공채할인</t>
    <phoneticPr fontId="1" type="noConversion"/>
  </si>
  <si>
    <t>기본 모델</t>
    <phoneticPr fontId="1" type="noConversion"/>
  </si>
  <si>
    <t>세부 모델</t>
    <phoneticPr fontId="1" type="noConversion"/>
  </si>
  <si>
    <t>차량 가격</t>
    <phoneticPr fontId="1" type="noConversion"/>
  </si>
  <si>
    <t>차량가 최종</t>
    <phoneticPr fontId="1" type="noConversion"/>
  </si>
  <si>
    <t>취득원가 금액</t>
    <phoneticPr fontId="1" type="noConversion"/>
  </si>
  <si>
    <t>운용리스 견적</t>
    <phoneticPr fontId="1" type="noConversion"/>
  </si>
  <si>
    <t>금융리스 견적</t>
    <phoneticPr fontId="1" type="noConversion"/>
  </si>
  <si>
    <t>등록비용</t>
    <phoneticPr fontId="1" type="noConversion"/>
  </si>
  <si>
    <t>등록비용 합산</t>
    <phoneticPr fontId="1" type="noConversion"/>
  </si>
  <si>
    <t>선수금</t>
    <phoneticPr fontId="1" type="noConversion"/>
  </si>
  <si>
    <t>선수금1</t>
    <phoneticPr fontId="1" type="noConversion"/>
  </si>
  <si>
    <t>선수금2</t>
    <phoneticPr fontId="1" type="noConversion"/>
  </si>
  <si>
    <t>선수금3</t>
    <phoneticPr fontId="1" type="noConversion"/>
  </si>
  <si>
    <t>유예2</t>
    <phoneticPr fontId="1" type="noConversion"/>
  </si>
  <si>
    <t>유예금</t>
    <phoneticPr fontId="1" type="noConversion"/>
  </si>
  <si>
    <t>유예1</t>
    <phoneticPr fontId="1" type="noConversion"/>
  </si>
  <si>
    <t>유예1-1</t>
    <phoneticPr fontId="1" type="noConversion"/>
  </si>
  <si>
    <t>유예2-2</t>
    <phoneticPr fontId="1" type="noConversion"/>
  </si>
  <si>
    <t>유예3-3</t>
    <phoneticPr fontId="1" type="noConversion"/>
  </si>
  <si>
    <t>유예최대</t>
    <phoneticPr fontId="1" type="noConversion"/>
  </si>
  <si>
    <t>이용금액</t>
    <phoneticPr fontId="1" type="noConversion"/>
  </si>
  <si>
    <t>유예3</t>
    <phoneticPr fontId="1" type="noConversion"/>
  </si>
  <si>
    <t>유예금2</t>
    <phoneticPr fontId="1" type="noConversion"/>
  </si>
  <si>
    <t>유예최종</t>
    <phoneticPr fontId="1" type="noConversion"/>
  </si>
  <si>
    <t>IRR</t>
    <phoneticPr fontId="1" type="noConversion"/>
  </si>
  <si>
    <t>금리</t>
    <phoneticPr fontId="1" type="noConversion"/>
  </si>
  <si>
    <t>금융/할부</t>
    <phoneticPr fontId="1" type="noConversion"/>
  </si>
  <si>
    <t>금융리스</t>
    <phoneticPr fontId="1" type="noConversion"/>
  </si>
  <si>
    <t>CM/AG 최대</t>
    <phoneticPr fontId="1" type="noConversion"/>
  </si>
  <si>
    <t>추가수수료</t>
    <phoneticPr fontId="1" type="noConversion"/>
  </si>
  <si>
    <t>견적일자</t>
    <phoneticPr fontId="1" type="noConversion"/>
  </si>
  <si>
    <t>할인반영전리스료</t>
    <phoneticPr fontId="1" type="noConversion"/>
  </si>
  <si>
    <t>보증금할인액</t>
    <phoneticPr fontId="1" type="noConversion"/>
  </si>
  <si>
    <t>장기선수금할인액</t>
    <phoneticPr fontId="1" type="noConversion"/>
  </si>
  <si>
    <t>일자</t>
    <phoneticPr fontId="1" type="noConversion"/>
  </si>
  <si>
    <t xml:space="preserve">               노란색 부분만 입력하면 됩니다.</t>
    <phoneticPr fontId="1" type="noConversion"/>
  </si>
  <si>
    <t xml:space="preserve">               체크 선택시 입력값 변동 됩니다.</t>
    <phoneticPr fontId="1" type="noConversion"/>
  </si>
  <si>
    <t>토탈 수수료</t>
    <phoneticPr fontId="1" type="noConversion"/>
  </si>
  <si>
    <t>수수료 Max</t>
    <phoneticPr fontId="1" type="noConversion"/>
  </si>
  <si>
    <t>CM/AG 최대</t>
    <phoneticPr fontId="1" type="noConversion"/>
  </si>
  <si>
    <t>토탈수수료</t>
    <phoneticPr fontId="1" type="noConversion"/>
  </si>
  <si>
    <t>실행시 입력</t>
    <phoneticPr fontId="1" type="noConversion"/>
  </si>
  <si>
    <t>잔가 최대</t>
    <phoneticPr fontId="1" type="noConversion"/>
  </si>
  <si>
    <t>할부금</t>
    <phoneticPr fontId="1" type="noConversion"/>
  </si>
  <si>
    <t>설정율</t>
    <phoneticPr fontId="1" type="noConversion"/>
  </si>
  <si>
    <t>할부 견적</t>
    <phoneticPr fontId="1" type="noConversion"/>
  </si>
  <si>
    <t>잔가최종</t>
    <phoneticPr fontId="1" type="noConversion"/>
  </si>
  <si>
    <t>잔가최대</t>
    <phoneticPr fontId="1" type="noConversion"/>
  </si>
  <si>
    <t>배기량</t>
    <phoneticPr fontId="1" type="noConversion"/>
  </si>
  <si>
    <t>유예 최대</t>
    <phoneticPr fontId="1" type="noConversion"/>
  </si>
  <si>
    <t>잔가1-1</t>
    <phoneticPr fontId="1" type="noConversion"/>
  </si>
  <si>
    <t>잔가2-2</t>
    <phoneticPr fontId="1" type="noConversion"/>
  </si>
  <si>
    <t>잔가3-3</t>
    <phoneticPr fontId="1" type="noConversion"/>
  </si>
  <si>
    <t>설정율</t>
    <phoneticPr fontId="1" type="noConversion"/>
  </si>
  <si>
    <t>인지세</t>
    <phoneticPr fontId="1" type="noConversion"/>
  </si>
  <si>
    <t>Maybach EQS SUV 680</t>
    <phoneticPr fontId="1" type="noConversion"/>
  </si>
  <si>
    <t>Q4 e-tron 45 Premium</t>
    <phoneticPr fontId="1" type="noConversion"/>
  </si>
  <si>
    <t>Q4 e-tron 45 Premium Sportback</t>
    <phoneticPr fontId="1" type="noConversion"/>
  </si>
  <si>
    <t>Q4 e-tron 45 Sportback</t>
    <phoneticPr fontId="1" type="noConversion"/>
  </si>
  <si>
    <t>SQ8 e-tron</t>
    <phoneticPr fontId="1" type="noConversion"/>
  </si>
  <si>
    <t>전기</t>
    <phoneticPr fontId="1" type="noConversion"/>
  </si>
  <si>
    <t>T</t>
    <phoneticPr fontId="1" type="noConversion"/>
  </si>
  <si>
    <t>Q7 50 TDI Qu.</t>
    <phoneticPr fontId="1" type="noConversion"/>
  </si>
  <si>
    <t>Q8 e-tron 50 Qu.</t>
    <phoneticPr fontId="1" type="noConversion"/>
  </si>
  <si>
    <t>Q8 e-tron 55 Qu.</t>
    <phoneticPr fontId="1" type="noConversion"/>
  </si>
  <si>
    <t>Q8 e-tron 55 Qu. Premiem</t>
    <phoneticPr fontId="1" type="noConversion"/>
  </si>
  <si>
    <t>Q8 e-tron 55 Qu. Sportback</t>
    <phoneticPr fontId="1" type="noConversion"/>
  </si>
  <si>
    <t>Q8 e-tron 55 Qu. Premiem Sportback</t>
    <phoneticPr fontId="1" type="noConversion"/>
  </si>
  <si>
    <t>Q7 45 TDI Qu. Premium</t>
    <phoneticPr fontId="1" type="noConversion"/>
  </si>
  <si>
    <t>Q7 50 TDI Qu. Premium</t>
    <phoneticPr fontId="1" type="noConversion"/>
  </si>
  <si>
    <t>SQ7 TFSI</t>
    <phoneticPr fontId="1" type="noConversion"/>
  </si>
  <si>
    <t>Q7 55 TFSI Qu.</t>
    <phoneticPr fontId="1" type="noConversion"/>
  </si>
  <si>
    <t>Q6</t>
    <phoneticPr fontId="1" type="noConversion"/>
  </si>
  <si>
    <t>L</t>
    <phoneticPr fontId="1" type="noConversion"/>
  </si>
  <si>
    <t xml:space="preserve">Q8 50 TDI Qu. </t>
    <phoneticPr fontId="1" type="noConversion"/>
  </si>
  <si>
    <t>Q8 55 TFSI Qu.</t>
    <phoneticPr fontId="1" type="noConversion"/>
  </si>
  <si>
    <t>AA</t>
    <phoneticPr fontId="1" type="noConversion"/>
  </si>
  <si>
    <t>풀만 잔가 별도 협의</t>
    <phoneticPr fontId="1" type="noConversion"/>
  </si>
  <si>
    <t>The New X3 20 xDrive</t>
  </si>
  <si>
    <t>The New X3 20 xDrive M Sport</t>
  </si>
  <si>
    <t>The New X3 20 xDrive M Sport Pro</t>
  </si>
  <si>
    <t>The New X3 20 xDrive First Edition</t>
  </si>
  <si>
    <t>The New X3 20d xDrive</t>
  </si>
  <si>
    <t>The New X3 20d xDrive M Sport</t>
  </si>
  <si>
    <t>X3 M50 xDrive Pro</t>
  </si>
  <si>
    <t>X3 M50 xDrive Pro First Edition</t>
  </si>
  <si>
    <t>Cayenne GTS</t>
    <phoneticPr fontId="1" type="noConversion"/>
  </si>
  <si>
    <t>Cayenne E-Hybrid Platinum Edition</t>
    <phoneticPr fontId="1" type="noConversion"/>
  </si>
  <si>
    <t>Cayenne Coupe GTS</t>
    <phoneticPr fontId="1" type="noConversion"/>
  </si>
  <si>
    <t>F</t>
    <phoneticPr fontId="1" type="noConversion"/>
  </si>
  <si>
    <t>구분</t>
    <phoneticPr fontId="1" type="noConversion"/>
  </si>
  <si>
    <t>리스기간</t>
    <phoneticPr fontId="1" type="noConversion"/>
  </si>
  <si>
    <t>보증금</t>
    <phoneticPr fontId="1" type="noConversion"/>
  </si>
  <si>
    <t>잔가</t>
    <phoneticPr fontId="1" type="noConversion"/>
  </si>
  <si>
    <t>장기선수금</t>
    <phoneticPr fontId="1" type="noConversion"/>
  </si>
  <si>
    <t>차량분</t>
    <phoneticPr fontId="1" type="noConversion"/>
  </si>
  <si>
    <t>차세분</t>
    <phoneticPr fontId="1" type="noConversion"/>
  </si>
  <si>
    <t>장기선수금 차감분</t>
    <phoneticPr fontId="1" type="noConversion"/>
  </si>
  <si>
    <t>납부리스료</t>
    <phoneticPr fontId="1" type="noConversion"/>
  </si>
  <si>
    <t>조건 1</t>
    <phoneticPr fontId="1" type="noConversion"/>
  </si>
  <si>
    <t>조건 2</t>
    <phoneticPr fontId="1" type="noConversion"/>
  </si>
  <si>
    <t>조건 3</t>
    <phoneticPr fontId="1" type="noConversion"/>
  </si>
  <si>
    <t>등록비용 총합계</t>
    <phoneticPr fontId="1" type="noConversion"/>
  </si>
  <si>
    <t>입금계좌</t>
    <phoneticPr fontId="1" type="noConversion"/>
  </si>
  <si>
    <t xml:space="preserve"> 운 용 리 스   견 적 서 </t>
    <phoneticPr fontId="1" type="noConversion"/>
  </si>
  <si>
    <t>할인반영전 리스료</t>
    <phoneticPr fontId="1" type="noConversion"/>
  </si>
  <si>
    <t>보증금 할인금액</t>
    <phoneticPr fontId="1" type="noConversion"/>
  </si>
  <si>
    <t>장기선수금 할인금액</t>
    <phoneticPr fontId="1" type="noConversion"/>
  </si>
  <si>
    <t xml:space="preserve">담당자 </t>
    <phoneticPr fontId="1" type="noConversion"/>
  </si>
  <si>
    <t>고객명</t>
    <phoneticPr fontId="1" type="noConversion"/>
  </si>
  <si>
    <t>VIP 고객님</t>
    <phoneticPr fontId="1" type="noConversion"/>
  </si>
  <si>
    <t>메리츠캐피탈</t>
    <phoneticPr fontId="1" type="noConversion"/>
  </si>
  <si>
    <t>아래 견적 제안 드립니다.</t>
    <phoneticPr fontId="1" type="noConversion"/>
  </si>
  <si>
    <t>지방(기타)</t>
    <phoneticPr fontId="1" type="noConversion"/>
  </si>
  <si>
    <t>ㆍ자차보험 및 보험 질권 설정 필수입니다. (차량가 100% / 질권자 메리츠캐피탈 주식회사 107-87-67865)</t>
  </si>
  <si>
    <t>ㆍ과태료, 범칙금, 정비료, 환경개선부담금, 자동차보험료, 자동차세(리스료 불포함시) 등은 고객 별도 부담이며, 리스 계약 만료시 차량 인수, 반납, 재리스 중 선택 가능합니다.</t>
    <phoneticPr fontId="1" type="noConversion"/>
  </si>
  <si>
    <t>ㆍ중도 반납 및 중도 인수, 승계 진행 시 일정 수수료가 발생되며, 반납시 주행거리, 차량 상태, 사고 이력, 부위 교체 이력 등에 따라 감가 금액이 발생할 수 있습니다.</t>
    <phoneticPr fontId="1" type="noConversion"/>
  </si>
  <si>
    <t>ㆍ지방세법 개정에 따라 취득세는 시가표준액으로 인한 차액 발생될 수 있으며, 차액 금액은 고객 별도 부담입니다.</t>
  </si>
  <si>
    <t>ㆍ차량 인수시(소유권 이전) 당사매매대금 또는 구청기준과표로 취득세 발생되며, 고객명의 인수 경우 취득세 자진납부신고 하셔야 합니다.</t>
    <phoneticPr fontId="1" type="noConversion"/>
  </si>
  <si>
    <t>서울특별시 영등포구 국제금융로 10, ThreeIFC 23층 메리츠캐피탈 주식회사 / T. 1588-9666 / https://www.meritzcapital.com</t>
    <phoneticPr fontId="1" type="noConversion"/>
  </si>
  <si>
    <t xml:space="preserve"> 금 융 리 스   견 적 서 </t>
    <phoneticPr fontId="1" type="noConversion"/>
  </si>
  <si>
    <r>
      <t xml:space="preserve">ㆍ자차보험 및 보험 질권 설정 필수입니다. </t>
    </r>
    <r>
      <rPr>
        <b/>
        <sz val="14"/>
        <color theme="1"/>
        <rFont val="맑은 고딕"/>
        <family val="3"/>
        <charset val="129"/>
        <scheme val="major"/>
      </rPr>
      <t>(차량가 100% / 질권자 메리츠캐피탈 주식회사 107-87-67865)</t>
    </r>
    <phoneticPr fontId="1" type="noConversion"/>
  </si>
  <si>
    <t xml:space="preserve"> 아래 견적서 제안 드립니다.</t>
    <phoneticPr fontId="1" type="noConversion"/>
  </si>
  <si>
    <t>조건2</t>
    <phoneticPr fontId="1" type="noConversion"/>
  </si>
  <si>
    <t>조건3</t>
    <phoneticPr fontId="1" type="noConversion"/>
  </si>
  <si>
    <t>차량 선수금</t>
    <phoneticPr fontId="1" type="noConversion"/>
  </si>
  <si>
    <t>이용 금액</t>
    <phoneticPr fontId="1" type="noConversion"/>
  </si>
  <si>
    <t>리스 기간</t>
    <phoneticPr fontId="1" type="noConversion"/>
  </si>
  <si>
    <t>약정주행거리</t>
    <phoneticPr fontId="1" type="noConversion"/>
  </si>
  <si>
    <t>차량등록명의</t>
    <phoneticPr fontId="1" type="noConversion"/>
  </si>
  <si>
    <t>ㆍ과태료, 범칙금, 정비료, 환경개선부담금, 자동차보험료, 자동차세(리스료 불포함시) 등은 고객 별도 부담이며, 리스 계약 만료시 차량 인수, 재리스(유예시) 중 선택 가능합니다.</t>
    <phoneticPr fontId="1" type="noConversion"/>
  </si>
  <si>
    <t>ㆍ중도상환 및 승계 진행 시 일정 수수료가 발생되며, 중도상환시 수수료(미회수원금 * 잔여기간/전체기간 * 3%) 발생합니다.</t>
    <phoneticPr fontId="1" type="noConversion"/>
  </si>
  <si>
    <t xml:space="preserve"> 오 토 할 부   견 적 서 </t>
    <phoneticPr fontId="1" type="noConversion"/>
  </si>
  <si>
    <t>등취득세</t>
    <phoneticPr fontId="1" type="noConversion"/>
  </si>
  <si>
    <t>공채비용</t>
    <phoneticPr fontId="1" type="noConversion"/>
  </si>
  <si>
    <t>탁송료</t>
    <phoneticPr fontId="1" type="noConversion"/>
  </si>
  <si>
    <t>부대비용</t>
    <phoneticPr fontId="1" type="noConversion"/>
  </si>
  <si>
    <t>등취득세</t>
    <phoneticPr fontId="1" type="noConversion"/>
  </si>
  <si>
    <t>공채비용</t>
    <phoneticPr fontId="1" type="noConversion"/>
  </si>
  <si>
    <t>탁송료</t>
    <phoneticPr fontId="1" type="noConversion"/>
  </si>
  <si>
    <t>부대비용</t>
    <phoneticPr fontId="1" type="noConversion"/>
  </si>
  <si>
    <t>▣ 할부조건</t>
    <phoneticPr fontId="1" type="noConversion"/>
  </si>
  <si>
    <t>차량설정금액</t>
    <phoneticPr fontId="1" type="noConversion"/>
  </si>
  <si>
    <t>월 납입금</t>
    <phoneticPr fontId="1" type="noConversion"/>
  </si>
  <si>
    <t>초기 부담금</t>
    <phoneticPr fontId="1" type="noConversion"/>
  </si>
  <si>
    <t>ㆍ차량 인수시(소유권 이전) 당사매매대금 또는 구청기준과표로 취득세 발생됩니다.</t>
    <phoneticPr fontId="1" type="noConversion"/>
  </si>
  <si>
    <t>APS</t>
    <phoneticPr fontId="1" type="noConversion"/>
  </si>
  <si>
    <t>VGS</t>
    <phoneticPr fontId="1" type="noConversion"/>
  </si>
  <si>
    <t>인지세</t>
    <phoneticPr fontId="1" type="noConversion"/>
  </si>
  <si>
    <t>50%이상</t>
    <phoneticPr fontId="1" type="noConversion"/>
  </si>
  <si>
    <t>60%이상</t>
    <phoneticPr fontId="1" type="noConversion"/>
  </si>
  <si>
    <t>65%이상</t>
    <phoneticPr fontId="1" type="noConversion"/>
  </si>
  <si>
    <t>40%이상</t>
    <phoneticPr fontId="1" type="noConversion"/>
  </si>
  <si>
    <t>45%이상</t>
    <phoneticPr fontId="1" type="noConversion"/>
  </si>
  <si>
    <t>ㆍ과태료, 범칙금, 정비료, 환경개선부담금, 자동차보험료, 자동차세 등은 고객 부담입니다.</t>
    <phoneticPr fontId="1" type="noConversion"/>
  </si>
  <si>
    <t>ㆍ중도상환 진행 시 일정 수수료가 발생되며, 중도상환시 수수료(미회수원금 * 잔여기간/전체기간 * 2%) 발생합니다.</t>
    <phoneticPr fontId="1" type="noConversion"/>
  </si>
  <si>
    <t>수입차 통합 견적</t>
    <phoneticPr fontId="1" type="noConversion"/>
  </si>
  <si>
    <t>- 운용리스, 금융리스, 할부 견적시트 구분</t>
    <phoneticPr fontId="1" type="noConversion"/>
  </si>
  <si>
    <t>- 조건비교 3개 가능</t>
    <phoneticPr fontId="1" type="noConversion"/>
  </si>
  <si>
    <t>e_tron</t>
    <phoneticPr fontId="1" type="noConversion"/>
  </si>
  <si>
    <t>전기차보조금</t>
    <phoneticPr fontId="1" type="noConversion"/>
  </si>
  <si>
    <t>전기차보조금</t>
    <phoneticPr fontId="1" type="noConversion"/>
  </si>
  <si>
    <t>Polestar</t>
    <phoneticPr fontId="1" type="noConversion"/>
  </si>
  <si>
    <t>I</t>
    <phoneticPr fontId="1" type="noConversion"/>
  </si>
  <si>
    <t>체크 선택시 입력값 변동 됩니다.</t>
    <phoneticPr fontId="1" type="noConversion"/>
  </si>
  <si>
    <t>노란색 부분만 입력하면 됩니다.</t>
    <phoneticPr fontId="1" type="noConversion"/>
  </si>
  <si>
    <t>차량 연식</t>
    <phoneticPr fontId="1" type="noConversion"/>
  </si>
  <si>
    <t>25MY</t>
  </si>
  <si>
    <t>GLC 300 4MATIC Coupe Avantgarde (25My)</t>
    <phoneticPr fontId="1" type="noConversion"/>
  </si>
  <si>
    <t>GLC 300 4MATIC Coupe AMG Line (25My)</t>
    <phoneticPr fontId="1" type="noConversion"/>
  </si>
  <si>
    <t>GLC 300 4MATIC AMG Line (25My)</t>
    <phoneticPr fontId="1" type="noConversion"/>
  </si>
  <si>
    <t>GLC 300 4MATIC Avantgarde (25My)</t>
    <phoneticPr fontId="1" type="noConversion"/>
  </si>
  <si>
    <t>GLC 220d 4MATIC (25My)</t>
    <phoneticPr fontId="1" type="noConversion"/>
  </si>
  <si>
    <t>550e xDrive M Sport</t>
    <phoneticPr fontId="1" type="noConversion"/>
  </si>
  <si>
    <t xml:space="preserve">E 350e 4MATIC Exclusive  </t>
    <phoneticPr fontId="1" type="noConversion"/>
  </si>
  <si>
    <t xml:space="preserve">E 450 4MATIC </t>
    <phoneticPr fontId="1" type="noConversion"/>
  </si>
  <si>
    <t>E 450 4MATIC Exclusive</t>
    <phoneticPr fontId="1" type="noConversion"/>
  </si>
  <si>
    <t>F</t>
    <phoneticPr fontId="1" type="noConversion"/>
  </si>
  <si>
    <t>Macan Electric</t>
    <phoneticPr fontId="1" type="noConversion"/>
  </si>
  <si>
    <t>Macan Electric 4</t>
    <phoneticPr fontId="1" type="noConversion"/>
  </si>
  <si>
    <t>Macan Electric 4S</t>
    <phoneticPr fontId="1" type="noConversion"/>
  </si>
  <si>
    <t>Macan Electric Turbo</t>
    <phoneticPr fontId="1" type="noConversion"/>
  </si>
  <si>
    <t>S</t>
    <phoneticPr fontId="1" type="noConversion"/>
  </si>
  <si>
    <t>A</t>
    <phoneticPr fontId="1" type="noConversion"/>
  </si>
  <si>
    <t>B</t>
    <phoneticPr fontId="1" type="noConversion"/>
  </si>
  <si>
    <t>C</t>
    <phoneticPr fontId="1" type="noConversion"/>
  </si>
  <si>
    <t>D</t>
    <phoneticPr fontId="1" type="noConversion"/>
  </si>
  <si>
    <t>E</t>
    <phoneticPr fontId="1" type="noConversion"/>
  </si>
  <si>
    <t>G</t>
    <phoneticPr fontId="1" type="noConversion"/>
  </si>
  <si>
    <t>H</t>
    <phoneticPr fontId="1" type="noConversion"/>
  </si>
  <si>
    <t>I</t>
    <phoneticPr fontId="1" type="noConversion"/>
  </si>
  <si>
    <t>BYD</t>
    <phoneticPr fontId="1" type="noConversion"/>
  </si>
  <si>
    <t>ATTO 3</t>
    <phoneticPr fontId="1" type="noConversion"/>
  </si>
  <si>
    <t>ATTO 3 Plus</t>
    <phoneticPr fontId="1" type="noConversion"/>
  </si>
  <si>
    <t>기본사항</t>
    <phoneticPr fontId="1" type="noConversion"/>
  </si>
  <si>
    <t>M</t>
    <phoneticPr fontId="1" type="noConversion"/>
  </si>
  <si>
    <t>MacanEV</t>
    <phoneticPr fontId="1" type="noConversion"/>
  </si>
  <si>
    <t>MacanEv</t>
    <phoneticPr fontId="1" type="noConversion"/>
  </si>
  <si>
    <t>세영프로모션</t>
    <phoneticPr fontId="1" type="noConversion"/>
  </si>
  <si>
    <t>특약 사항</t>
    <phoneticPr fontId="42" type="noConversion"/>
  </si>
  <si>
    <r>
      <rPr>
        <sz val="14"/>
        <color theme="0" tint="-0.249977111117893"/>
        <rFont val="맑은 고딕"/>
        <family val="3"/>
        <charset val="129"/>
      </rPr>
      <t xml:space="preserve">20   년    월     일  </t>
    </r>
    <r>
      <rPr>
        <sz val="14"/>
        <color theme="1"/>
        <rFont val="맑은 고딕"/>
        <family val="3"/>
        <charset val="129"/>
        <scheme val="minor"/>
      </rPr>
      <t xml:space="preserve">체결된 리스 계약에 대한 특약 사항은 아래와 같습니다. </t>
    </r>
    <phoneticPr fontId="42" type="noConversion"/>
  </si>
  <si>
    <r>
      <rPr>
        <b/>
        <sz val="14"/>
        <color indexed="8"/>
        <rFont val="맑은 고딕"/>
        <family val="3"/>
        <charset val="129"/>
      </rPr>
      <t>[차량 인도 및 성능 관련]</t>
    </r>
    <r>
      <rPr>
        <sz val="14"/>
        <color theme="1"/>
        <rFont val="맑은 고딕"/>
        <family val="3"/>
        <charset val="129"/>
        <scheme val="minor"/>
      </rPr>
      <t xml:space="preserve">
리스 이용자는 자동차리스 약관 제 8조(자동차의 인수 및 등록) 및 제 9조(자동차의 인도지연 또는 하자)에도 불구하고 단차 및 도장불량 등의 사유가 있다 하더라도 차량제조사가 인정하지 않는 경우 차량인도의 거부 또는 교환이 불가함을 확약합니다. 
또한 차량 제조사가 인정하지 않는 배터리, 전자적 장치 등에 대한 교체가 불가하며 이를 사유로 해당 계약에 대해 중도해지 할 수 없음을 확약합니다. </t>
    </r>
    <phoneticPr fontId="42" type="noConversion"/>
  </si>
  <si>
    <r>
      <t xml:space="preserve">[중도해지 관련] 
</t>
    </r>
    <r>
      <rPr>
        <sz val="14"/>
        <color indexed="8"/>
        <rFont val="맑은 고딕"/>
        <family val="3"/>
        <charset val="129"/>
      </rPr>
      <t>본 리스 계약은                 시의 전기차 보조금 지원금액이 리스 대상 차량가격에 반영되었으며, 해당 보조금이 적용된 차량가격에 대해 리스료가 산정 되었습니다.     
이와 같이 보조금을 지원받은 경우 「대기환경보전법규」에 따라 2년간 의무 운행을 하여야 하며, 의무 운행 기간 미이행 시 아래 ‘사용기간별 지원금액 회수기준’에 따라 보조금에 대한 환수조치가 발생될 수 있습니다.
따라서 의무 운행 기간 도과 전 본 리스 계약을 중도해지 하는 경우 차량 매입/반환에 따른 해당 손해배상금 및 이와 별개로 보조금에 대한 환수금액 전액을 부담할 것을 확약합니다. 
(1) 차량 매입 시 : 자동차리스약관 제 23조(규정손해배상금)에 따라 규정손해배상금율에 따른 규정손해배상금
(2) 차량 반환 시 : 자동차리스약관 제 24조(중도해지손해배상금수수료)에 따라 중도해지요율에 따른 중도해지손해배상금</t>
    </r>
    <phoneticPr fontId="42" type="noConversion"/>
  </si>
  <si>
    <r>
      <t xml:space="preserve">  ※  리스이용자(  </t>
    </r>
    <r>
      <rPr>
        <b/>
        <sz val="16"/>
        <color theme="0" tint="-0.249977111117893"/>
        <rFont val="맑은 고딕"/>
        <family val="3"/>
        <charset val="129"/>
      </rPr>
      <t xml:space="preserve">직접 기재 </t>
    </r>
    <r>
      <rPr>
        <b/>
        <sz val="16"/>
        <color rgb="FFFF0000"/>
        <rFont val="맑은 고딕"/>
        <family val="3"/>
        <charset val="129"/>
      </rPr>
      <t>)와 연대보증인(</t>
    </r>
    <r>
      <rPr>
        <b/>
        <sz val="16"/>
        <color theme="0" tint="-0.249977111117893"/>
        <rFont val="맑은 고딕"/>
        <family val="3"/>
        <charset val="129"/>
      </rPr>
      <t xml:space="preserve"> 직접 기재 </t>
    </r>
    <r>
      <rPr>
        <b/>
        <sz val="16"/>
        <color rgb="FFFF0000"/>
        <rFont val="맑은 고딕"/>
        <family val="3"/>
        <charset val="129"/>
      </rPr>
      <t>)은 본 특약 사항에 대해 (</t>
    </r>
    <r>
      <rPr>
        <b/>
        <sz val="16"/>
        <color theme="0" tint="-0.249977111117893"/>
        <rFont val="맑은 고딕"/>
        <family val="3"/>
        <charset val="129"/>
      </rPr>
      <t>충분한 설명을 듣고 이해한 후</t>
    </r>
    <r>
      <rPr>
        <b/>
        <sz val="16"/>
        <color rgb="FFFF0000"/>
        <rFont val="맑은 고딕"/>
        <family val="3"/>
        <charset val="129"/>
      </rPr>
      <t xml:space="preserve">) 
      본인 의사에 따라 본 계약을 체결하였음에 동의하며, 계약 내용을 성실히 이행할 것을 확약합니다.  </t>
    </r>
    <phoneticPr fontId="42" type="noConversion"/>
  </si>
  <si>
    <t>20         년          월          일</t>
    <phoneticPr fontId="42" type="noConversion"/>
  </si>
  <si>
    <t xml:space="preserve">리스 이용자 :  </t>
    <phoneticPr fontId="42" type="noConversion"/>
  </si>
  <si>
    <t>(인)</t>
    <phoneticPr fontId="42" type="noConversion"/>
  </si>
  <si>
    <t xml:space="preserve">연대 보증인 :  </t>
    <phoneticPr fontId="1" type="noConversion"/>
  </si>
  <si>
    <t>단위 : 만원</t>
    <phoneticPr fontId="1" type="noConversion"/>
  </si>
  <si>
    <t>차량</t>
    <phoneticPr fontId="1" type="noConversion"/>
  </si>
  <si>
    <t>국비보조금</t>
    <phoneticPr fontId="1" type="noConversion"/>
  </si>
  <si>
    <t>BMW</t>
    <phoneticPr fontId="1" type="noConversion"/>
  </si>
  <si>
    <t>i4 eDrive40</t>
    <phoneticPr fontId="1" type="noConversion"/>
  </si>
  <si>
    <t>i4 M50</t>
    <phoneticPr fontId="1" type="noConversion"/>
  </si>
  <si>
    <t>iX1 xDrive30</t>
    <phoneticPr fontId="1" type="noConversion"/>
  </si>
  <si>
    <t>EQA250(Facelift)</t>
    <phoneticPr fontId="1" type="noConversion"/>
  </si>
  <si>
    <t>EQB300 4MATIC(Facelift)(5인승)</t>
    <phoneticPr fontId="1" type="noConversion"/>
  </si>
  <si>
    <t>EQB300 4MATIC(Facelift)(7인승)</t>
    <phoneticPr fontId="1" type="noConversion"/>
  </si>
  <si>
    <t>아우디 Q4 Sportback 45 e-tron</t>
    <phoneticPr fontId="1" type="noConversion"/>
  </si>
  <si>
    <t>아우디 Q4 45 e-tron</t>
    <phoneticPr fontId="1" type="noConversion"/>
  </si>
  <si>
    <t>폴스타</t>
    <phoneticPr fontId="1" type="noConversion"/>
  </si>
  <si>
    <t>Polestar 4 Long Range Single Motor</t>
    <phoneticPr fontId="1" type="noConversion"/>
  </si>
  <si>
    <t>볼보</t>
    <phoneticPr fontId="1" type="noConversion"/>
  </si>
  <si>
    <t>EX30 Single Moter ER</t>
    <phoneticPr fontId="1" type="noConversion"/>
  </si>
  <si>
    <t>리스/렌터
추가보조금</t>
    <phoneticPr fontId="1" type="noConversion"/>
  </si>
  <si>
    <t>전기차 보조금 참고 자료</t>
    <phoneticPr fontId="1" type="noConversion"/>
  </si>
  <si>
    <t>* 상기 내용은 보조금액변동 / 견적차종 보조금 비대상 차량 가능성 있으니 딜러사 확인 필 진행요청 (참고자료)</t>
    <phoneticPr fontId="1" type="noConversion"/>
  </si>
  <si>
    <t>AMG CLE 53 4Matic</t>
    <phoneticPr fontId="1" type="noConversion"/>
  </si>
  <si>
    <t>AMG CLE 53 4Matic Cabriolet</t>
    <phoneticPr fontId="1" type="noConversion"/>
  </si>
  <si>
    <t>The new Range Rover 4.4 P615 SV LWB</t>
    <phoneticPr fontId="1" type="noConversion"/>
  </si>
  <si>
    <t>The new Range Rover 4.4 P615 SV BMCE</t>
    <phoneticPr fontId="1" type="noConversion"/>
  </si>
  <si>
    <t>The new Range Rover 4.4 P530 SV Autobiography LWB</t>
    <phoneticPr fontId="1" type="noConversion"/>
  </si>
  <si>
    <t>Q4 e-tron 45</t>
    <phoneticPr fontId="1" type="noConversion"/>
  </si>
  <si>
    <t>Jeep</t>
    <phoneticPr fontId="1" type="noConversion"/>
  </si>
  <si>
    <t>Compass</t>
    <phoneticPr fontId="1" type="noConversion"/>
  </si>
  <si>
    <t>Wrangler</t>
    <phoneticPr fontId="1" type="noConversion"/>
  </si>
  <si>
    <t>Gladiator</t>
    <phoneticPr fontId="1" type="noConversion"/>
  </si>
  <si>
    <t>Landrover</t>
    <phoneticPr fontId="1" type="noConversion"/>
  </si>
  <si>
    <t>저보증금 10% 미만</t>
    <phoneticPr fontId="1" type="noConversion"/>
  </si>
  <si>
    <t xml:space="preserve"> </t>
    <phoneticPr fontId="1" type="noConversion"/>
  </si>
  <si>
    <t>전기</t>
    <phoneticPr fontId="1" type="noConversion"/>
  </si>
  <si>
    <t>Q6 e-tron Performance</t>
    <phoneticPr fontId="1" type="noConversion"/>
  </si>
  <si>
    <t>Q6 e-tron Performance Premium</t>
    <phoneticPr fontId="1" type="noConversion"/>
  </si>
  <si>
    <t>Q6 e-tron Qu. Performance</t>
    <phoneticPr fontId="1" type="noConversion"/>
  </si>
  <si>
    <t>SQ6 e-tron</t>
    <phoneticPr fontId="1" type="noConversion"/>
  </si>
  <si>
    <t>K</t>
    <phoneticPr fontId="1" type="noConversion"/>
  </si>
  <si>
    <t>L</t>
    <phoneticPr fontId="1" type="noConversion"/>
  </si>
  <si>
    <t>차량연식</t>
    <phoneticPr fontId="1" type="noConversion"/>
  </si>
  <si>
    <t>23MY</t>
    <phoneticPr fontId="1" type="noConversion"/>
  </si>
  <si>
    <t>F</t>
    <phoneticPr fontId="1" type="noConversion"/>
  </si>
  <si>
    <t>H</t>
    <phoneticPr fontId="1" type="noConversion"/>
  </si>
  <si>
    <t>I</t>
    <phoneticPr fontId="1" type="noConversion"/>
  </si>
  <si>
    <t>E</t>
    <phoneticPr fontId="1" type="noConversion"/>
  </si>
  <si>
    <t>G</t>
    <phoneticPr fontId="1" type="noConversion"/>
  </si>
  <si>
    <t>C</t>
    <phoneticPr fontId="1" type="noConversion"/>
  </si>
  <si>
    <t>D</t>
    <phoneticPr fontId="1" type="noConversion"/>
  </si>
  <si>
    <t>B</t>
    <phoneticPr fontId="1" type="noConversion"/>
  </si>
  <si>
    <t>승용</t>
    <phoneticPr fontId="1" type="noConversion"/>
  </si>
  <si>
    <t>Taycan Turbo GT</t>
    <phoneticPr fontId="1" type="noConversion"/>
  </si>
  <si>
    <t>G</t>
    <phoneticPr fontId="1" type="noConversion"/>
  </si>
  <si>
    <t>D</t>
    <phoneticPr fontId="1" type="noConversion"/>
  </si>
  <si>
    <t>C</t>
    <phoneticPr fontId="1" type="noConversion"/>
  </si>
  <si>
    <t>F</t>
    <phoneticPr fontId="1" type="noConversion"/>
  </si>
  <si>
    <t>E</t>
    <phoneticPr fontId="1" type="noConversion"/>
  </si>
  <si>
    <t>AMG SL 43</t>
    <phoneticPr fontId="1" type="noConversion"/>
  </si>
  <si>
    <t>모터원</t>
    <phoneticPr fontId="1" type="noConversion"/>
  </si>
  <si>
    <t>X</t>
    <phoneticPr fontId="1" type="noConversion"/>
  </si>
  <si>
    <t>BYD</t>
  </si>
  <si>
    <t>ATTO 3</t>
  </si>
  <si>
    <t>ATTO 3 Plus</t>
  </si>
  <si>
    <t>기타</t>
  </si>
  <si>
    <t>BYD</t>
    <phoneticPr fontId="1" type="noConversion"/>
  </si>
  <si>
    <t>BYD ATTO 3</t>
    <phoneticPr fontId="1" type="noConversion"/>
  </si>
  <si>
    <t>아우디 Q6 e-tron Performance</t>
    <phoneticPr fontId="1" type="noConversion"/>
  </si>
  <si>
    <t>MINI</t>
    <phoneticPr fontId="1" type="noConversion"/>
  </si>
  <si>
    <t>MINI Country SE ALL4</t>
    <phoneticPr fontId="1" type="noConversion"/>
  </si>
  <si>
    <t>MINI Country E</t>
    <phoneticPr fontId="1" type="noConversion"/>
  </si>
  <si>
    <t>MINI Aceman SE</t>
    <phoneticPr fontId="1" type="noConversion"/>
  </si>
  <si>
    <t>i4 eDrive40 LCI</t>
    <phoneticPr fontId="1" type="noConversion"/>
  </si>
  <si>
    <t>i4 M50 LCI</t>
    <phoneticPr fontId="1" type="noConversion"/>
  </si>
  <si>
    <t>iX2 eDrive20</t>
    <phoneticPr fontId="1" type="noConversion"/>
  </si>
  <si>
    <t>Model 3 Long Range</t>
    <phoneticPr fontId="1" type="noConversion"/>
  </si>
  <si>
    <t>Model 3 Performance</t>
    <phoneticPr fontId="1" type="noConversion"/>
  </si>
  <si>
    <t>Model 3 RWD (2025)</t>
    <phoneticPr fontId="1" type="noConversion"/>
  </si>
  <si>
    <t>New Model Y Long Range</t>
    <phoneticPr fontId="1" type="noConversion"/>
  </si>
  <si>
    <t>New Model Y RWD</t>
    <phoneticPr fontId="1" type="noConversion"/>
  </si>
  <si>
    <t>Hatch 3도어 2.0 Cooper C</t>
    <phoneticPr fontId="1" type="noConversion"/>
  </si>
  <si>
    <t>Hatch 3도어 2.0 Cooper S</t>
    <phoneticPr fontId="1" type="noConversion"/>
  </si>
  <si>
    <t>Hatch 5도어 2.0 Cooper S</t>
    <phoneticPr fontId="1" type="noConversion"/>
  </si>
  <si>
    <t>Hatch 5도어 2.0 Cooper C</t>
    <phoneticPr fontId="1" type="noConversion"/>
  </si>
  <si>
    <t>전기</t>
    <phoneticPr fontId="1" type="noConversion"/>
  </si>
  <si>
    <t>Countryman Electric E Classic</t>
    <phoneticPr fontId="1" type="noConversion"/>
  </si>
  <si>
    <t>Countryman Electric SE All 4 Favoured</t>
    <phoneticPr fontId="1" type="noConversion"/>
  </si>
  <si>
    <t>Countryman Electric SE All 4 JCW</t>
    <phoneticPr fontId="1" type="noConversion"/>
  </si>
  <si>
    <t>승용</t>
    <phoneticPr fontId="1" type="noConversion"/>
  </si>
  <si>
    <t>Aceman</t>
    <phoneticPr fontId="1" type="noConversion"/>
  </si>
  <si>
    <t>Aceman E Classic</t>
    <phoneticPr fontId="1" type="noConversion"/>
  </si>
  <si>
    <t>Aceman SE Favoured</t>
    <phoneticPr fontId="1" type="noConversion"/>
  </si>
  <si>
    <t>Aceman SE</t>
    <phoneticPr fontId="1" type="noConversion"/>
  </si>
  <si>
    <t>Z4 sDrive 20i M Sport</t>
    <phoneticPr fontId="1" type="noConversion"/>
  </si>
  <si>
    <t>iX2 eDrive20 M Sport</t>
    <phoneticPr fontId="1" type="noConversion"/>
  </si>
  <si>
    <t>Q5 40 TDI Qu. Advanced</t>
    <phoneticPr fontId="1" type="noConversion"/>
  </si>
  <si>
    <t>Q5 40 TDI Qu. S-Line</t>
    <phoneticPr fontId="1" type="noConversion"/>
  </si>
  <si>
    <t>B</t>
    <phoneticPr fontId="1" type="noConversion"/>
  </si>
  <si>
    <t>Range Rover Sport 3.0 P400 AB</t>
    <phoneticPr fontId="1" type="noConversion"/>
  </si>
  <si>
    <t>Range Rover Sport 4.4 P635 SV</t>
    <phoneticPr fontId="1" type="noConversion"/>
  </si>
  <si>
    <t>Range Rover Sport 3.0 P550e Dynamic HSE</t>
    <phoneticPr fontId="1" type="noConversion"/>
  </si>
  <si>
    <t>F</t>
    <phoneticPr fontId="1" type="noConversion"/>
  </si>
  <si>
    <t>N</t>
    <phoneticPr fontId="1" type="noConversion"/>
  </si>
  <si>
    <t>O</t>
    <phoneticPr fontId="1" type="noConversion"/>
  </si>
  <si>
    <t>J</t>
    <phoneticPr fontId="1" type="noConversion"/>
  </si>
  <si>
    <t>G</t>
    <phoneticPr fontId="1" type="noConversion"/>
  </si>
  <si>
    <t>L</t>
    <phoneticPr fontId="1" type="noConversion"/>
  </si>
  <si>
    <t>F</t>
    <phoneticPr fontId="1" type="noConversion"/>
  </si>
  <si>
    <t>최대수수료 10%</t>
    <phoneticPr fontId="1" type="noConversion"/>
  </si>
  <si>
    <t>Wrangler Rubicon 2 Door</t>
    <phoneticPr fontId="1" type="noConversion"/>
  </si>
  <si>
    <t>Wrangler Sport S 4 Door</t>
    <phoneticPr fontId="1" type="noConversion"/>
  </si>
  <si>
    <t>Wrangler Sahara 4 Door</t>
    <phoneticPr fontId="1" type="noConversion"/>
  </si>
  <si>
    <t>Wrangler Rubicon 4 Door</t>
    <phoneticPr fontId="1" type="noConversion"/>
  </si>
  <si>
    <t>Wrangler Sahara 4xe 4 Door</t>
    <phoneticPr fontId="1" type="noConversion"/>
  </si>
  <si>
    <t>POLESTAR 2 STANDARD RANGE SINGLE MOTOR</t>
    <phoneticPr fontId="1" type="noConversion"/>
  </si>
  <si>
    <t>POLESTAR 4 LONG RANGE SINGLE MOTOR</t>
    <phoneticPr fontId="1" type="noConversion"/>
  </si>
  <si>
    <t>POLESTAR 4 LONG RANGE DUAL MOTOR</t>
    <phoneticPr fontId="1" type="noConversion"/>
  </si>
  <si>
    <t>ID.5</t>
    <phoneticPr fontId="1" type="noConversion"/>
  </si>
  <si>
    <t>ID.5 Pro</t>
    <phoneticPr fontId="1" type="noConversion"/>
  </si>
  <si>
    <t>Atlas</t>
    <phoneticPr fontId="1" type="noConversion"/>
  </si>
  <si>
    <t>Atlas 2.0 TSI R-Line</t>
    <phoneticPr fontId="1" type="noConversion"/>
  </si>
  <si>
    <t>가솔린</t>
    <phoneticPr fontId="1" type="noConversion"/>
  </si>
  <si>
    <t>EX40</t>
    <phoneticPr fontId="1" type="noConversion"/>
  </si>
  <si>
    <t>EX40 Ultra</t>
    <phoneticPr fontId="1" type="noConversion"/>
  </si>
  <si>
    <t>LX</t>
    <phoneticPr fontId="1" type="noConversion"/>
  </si>
  <si>
    <t>LX 700h</t>
    <phoneticPr fontId="1" type="noConversion"/>
  </si>
  <si>
    <t>LX 700h VIP</t>
    <phoneticPr fontId="1" type="noConversion"/>
  </si>
  <si>
    <t>GranCabrio Folgore</t>
    <phoneticPr fontId="1" type="noConversion"/>
  </si>
  <si>
    <t>GranTurismo Folgore</t>
    <phoneticPr fontId="1" type="noConversion"/>
  </si>
  <si>
    <t>Grecale Modena</t>
    <phoneticPr fontId="1" type="noConversion"/>
  </si>
  <si>
    <t>MINI JCW Aceman E</t>
    <phoneticPr fontId="1" type="noConversion"/>
  </si>
  <si>
    <t>MINI JCW E</t>
    <phoneticPr fontId="1" type="noConversion"/>
  </si>
  <si>
    <t>MINI Aceman E</t>
    <phoneticPr fontId="1" type="noConversion"/>
  </si>
  <si>
    <t>폭스바겐</t>
    <phoneticPr fontId="1" type="noConversion"/>
  </si>
  <si>
    <t>아우디</t>
    <phoneticPr fontId="1" type="noConversion"/>
  </si>
  <si>
    <t>테슬라</t>
    <phoneticPr fontId="1" type="noConversion"/>
  </si>
  <si>
    <t>Benz</t>
    <phoneticPr fontId="1" type="noConversion"/>
  </si>
  <si>
    <t>MINI Cooper SE</t>
    <phoneticPr fontId="1" type="noConversion"/>
  </si>
  <si>
    <t>Electric SE</t>
    <phoneticPr fontId="1" type="noConversion"/>
  </si>
  <si>
    <t>Electric JCW</t>
    <phoneticPr fontId="1" type="noConversion"/>
  </si>
  <si>
    <t>Aceman JCW</t>
    <phoneticPr fontId="1" type="noConversion"/>
  </si>
  <si>
    <t>Avenger</t>
    <phoneticPr fontId="1" type="noConversion"/>
  </si>
  <si>
    <t>Avenger Longitude</t>
    <phoneticPr fontId="1" type="noConversion"/>
  </si>
  <si>
    <t>Avenger Altitude</t>
    <phoneticPr fontId="1" type="noConversion"/>
  </si>
  <si>
    <t>전기</t>
    <phoneticPr fontId="1" type="noConversion"/>
  </si>
  <si>
    <t>T</t>
    <phoneticPr fontId="1" type="noConversion"/>
  </si>
  <si>
    <t>토탈</t>
    <phoneticPr fontId="1" type="noConversion"/>
  </si>
  <si>
    <t>S</t>
    <phoneticPr fontId="1" type="noConversion"/>
  </si>
  <si>
    <t>B</t>
    <phoneticPr fontId="1" type="noConversion"/>
  </si>
  <si>
    <t>A</t>
    <phoneticPr fontId="1" type="noConversion"/>
  </si>
  <si>
    <t>Grecale Folgore</t>
    <phoneticPr fontId="1" type="noConversion"/>
  </si>
  <si>
    <t xml:space="preserve"> 전기</t>
    <phoneticPr fontId="1" type="noConversion"/>
  </si>
  <si>
    <t>X</t>
    <phoneticPr fontId="1" type="noConversion"/>
  </si>
  <si>
    <t>폭스바겐 ID.4 Pro</t>
    <phoneticPr fontId="1" type="noConversion"/>
  </si>
  <si>
    <t>S2</t>
    <phoneticPr fontId="1" type="noConversion"/>
  </si>
  <si>
    <t>S1</t>
    <phoneticPr fontId="1" type="noConversion"/>
  </si>
  <si>
    <t>S5</t>
    <phoneticPr fontId="1" type="noConversion"/>
  </si>
  <si>
    <t>S4</t>
    <phoneticPr fontId="1" type="noConversion"/>
  </si>
  <si>
    <t>S3</t>
    <phoneticPr fontId="1" type="noConversion"/>
  </si>
  <si>
    <t>S2</t>
    <phoneticPr fontId="1" type="noConversion"/>
  </si>
  <si>
    <t>고잔가추가
15,000</t>
    <phoneticPr fontId="1" type="noConversion"/>
  </si>
  <si>
    <t>고잔가추가1
10,000</t>
    <phoneticPr fontId="1" type="noConversion"/>
  </si>
  <si>
    <t>고잔가
가능여부</t>
    <phoneticPr fontId="1" type="noConversion"/>
  </si>
  <si>
    <t>고잔가 가능여부
15,000</t>
    <phoneticPr fontId="1" type="noConversion"/>
  </si>
  <si>
    <t>고잔가 가능여부
10,000</t>
    <phoneticPr fontId="1" type="noConversion"/>
  </si>
  <si>
    <t>2. 추가수수료 0.5%</t>
    <phoneticPr fontId="1" type="noConversion"/>
  </si>
  <si>
    <t>* 23~24년 재고차량 견적 산출 가능 (단, 최대할인반영 필수, 미입력시 진행불가)</t>
    <phoneticPr fontId="1" type="noConversion"/>
  </si>
  <si>
    <t>* 전기차 보조금 딜러사 금액 확인 후 견적 산출</t>
    <phoneticPr fontId="1" type="noConversion"/>
  </si>
  <si>
    <t>* 신규차종 반영 완료 (견적 내 차종 없을 경우 담당자 문의)</t>
    <phoneticPr fontId="1" type="noConversion"/>
  </si>
  <si>
    <t>1. 고잔가프로모션 해당견적 반영 / 대상차종 신형 Benz GLC, GLE, BMW 5, 7, X3, X5, X6, X7 / 해당 차종만 10,000~15,000Km 잔가반영</t>
    <phoneticPr fontId="1" type="noConversion"/>
  </si>
  <si>
    <t>GLE 300d 4MATIC</t>
    <phoneticPr fontId="1" type="noConversion"/>
  </si>
  <si>
    <t>GLE 350 4MATIC</t>
    <phoneticPr fontId="1" type="noConversion"/>
  </si>
  <si>
    <t>디엠모빌리티</t>
    <phoneticPr fontId="1" type="noConversion"/>
  </si>
  <si>
    <t>A6 e-tron Performance Advanced</t>
  </si>
  <si>
    <t>A6 e-tron Performance Advanced</t>
    <phoneticPr fontId="1" type="noConversion"/>
  </si>
  <si>
    <t>A6 e-tron Performance S-line</t>
    <phoneticPr fontId="1" type="noConversion"/>
  </si>
  <si>
    <t>H</t>
    <phoneticPr fontId="1" type="noConversion"/>
  </si>
  <si>
    <t>S6 e-tron</t>
    <phoneticPr fontId="1" type="noConversion"/>
  </si>
  <si>
    <t>승용</t>
    <phoneticPr fontId="1" type="noConversion"/>
  </si>
  <si>
    <t>e_tron</t>
  </si>
  <si>
    <t>2025_09_V1</t>
    <phoneticPr fontId="1" type="noConversion"/>
  </si>
  <si>
    <t>Polestar 4 Long Range Dual Motor 22인치</t>
    <phoneticPr fontId="1" type="noConversion"/>
  </si>
  <si>
    <t>Polestar 4 Long Range Dual Motor 20, 21인치</t>
    <phoneticPr fontId="1" type="noConversion"/>
  </si>
  <si>
    <t>* 2025년 9월 3일 기준</t>
    <phoneticPr fontId="1" type="noConversion"/>
  </si>
  <si>
    <t>3. Audi A6 e-tron 반영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</si>
</sst>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6" formatCode="&quot;₩&quot;#,##0;[Red]\-&quot;₩&quot;#,##0"/>
    <numFmt numFmtId="41" formatCode="_-* #,##0_-;\-* #,##0_-;_-* &quot;-&quot;_-;_-@_-"/>
    <numFmt numFmtId="176" formatCode="0.0%"/>
    <numFmt numFmtId="177" formatCode="0.0000%"/>
    <numFmt numFmtId="178" formatCode="#,##0_);[Red]\(#,##0\)"/>
    <numFmt numFmtId="179" formatCode="#,##0\ &quot;km&quot;"/>
    <numFmt numFmtId="180" formatCode="#,##0\ &quot;KM&quot;"/>
    <numFmt numFmtId="181" formatCode="#,##0\ &quot;개월&quot;"/>
    <numFmt numFmtId="182" formatCode="#,##0\ &quot;cc&quot;"/>
    <numFmt numFmtId="183" formatCode="[$-F800]dddd\,\ mmmm\ dd\,\ yyyy"/>
    <numFmt numFmtId="184" formatCode="0_);[Red]\(0\)"/>
  </numFmts>
  <fonts count="63" x14ac:knownFonts="1">
    <font>
      <sz val="11"/>
      <color theme="1"/>
      <name val="맑은 고딕"/>
      <family val="2"/>
      <charset val="129"/>
      <scheme val="minor"/>
    </font>
    <font>
      <sz val="8"/>
      <name val="맑은 고딕"/>
      <family val="2"/>
      <charset val="129"/>
      <scheme val="minor"/>
    </font>
    <font>
      <sz val="10"/>
      <name val="굴림체"/>
      <family val="3"/>
      <charset val="129"/>
    </font>
    <font>
      <sz val="10"/>
      <color theme="1"/>
      <name val="맑은 고딕"/>
      <family val="2"/>
      <charset val="129"/>
      <scheme val="minor"/>
    </font>
    <font>
      <sz val="11"/>
      <color theme="1"/>
      <name val="맑은 고딕"/>
      <family val="2"/>
      <charset val="129"/>
      <scheme val="minor"/>
    </font>
    <font>
      <sz val="10"/>
      <color theme="1"/>
      <name val="맑은 고딕"/>
      <family val="3"/>
      <charset val="129"/>
      <scheme val="minor"/>
    </font>
    <font>
      <sz val="10"/>
      <name val="맑은 고딕"/>
      <family val="3"/>
      <charset val="129"/>
      <scheme val="minor"/>
    </font>
    <font>
      <b/>
      <sz val="10"/>
      <color theme="1"/>
      <name val="맑은 고딕"/>
      <family val="3"/>
      <charset val="129"/>
      <scheme val="minor"/>
    </font>
    <font>
      <b/>
      <sz val="10"/>
      <color theme="0"/>
      <name val="맑은 고딕"/>
      <family val="3"/>
      <charset val="129"/>
      <scheme val="minor"/>
    </font>
    <font>
      <b/>
      <sz val="10"/>
      <name val="맑은 고딕"/>
      <family val="3"/>
      <charset val="129"/>
      <scheme val="minor"/>
    </font>
    <font>
      <b/>
      <sz val="10"/>
      <color rgb="FF0070C0"/>
      <name val="맑은 고딕"/>
      <family val="3"/>
      <charset val="129"/>
      <scheme val="minor"/>
    </font>
    <font>
      <b/>
      <sz val="10"/>
      <color rgb="FFFF0000"/>
      <name val="맑은 고딕"/>
      <family val="3"/>
      <charset val="129"/>
      <scheme val="minor"/>
    </font>
    <font>
      <sz val="10"/>
      <color theme="0"/>
      <name val="맑은 고딕"/>
      <family val="3"/>
      <charset val="129"/>
      <scheme val="minor"/>
    </font>
    <font>
      <b/>
      <sz val="11"/>
      <color theme="0"/>
      <name val="맑은 고딕"/>
      <family val="3"/>
      <charset val="129"/>
      <scheme val="major"/>
    </font>
    <font>
      <b/>
      <sz val="9"/>
      <color theme="1"/>
      <name val="맑은 고딕"/>
      <family val="2"/>
      <charset val="129"/>
      <scheme val="minor"/>
    </font>
    <font>
      <b/>
      <sz val="9"/>
      <color theme="1"/>
      <name val="맑은 고딕"/>
      <family val="3"/>
      <charset val="129"/>
      <scheme val="minor"/>
    </font>
    <font>
      <sz val="9"/>
      <color theme="1"/>
      <name val="맑은 고딕"/>
      <family val="3"/>
      <charset val="129"/>
      <scheme val="minor"/>
    </font>
    <font>
      <b/>
      <sz val="10"/>
      <color theme="1"/>
      <name val="맑은 고딕"/>
      <family val="3"/>
      <charset val="129"/>
      <scheme val="major"/>
    </font>
    <font>
      <b/>
      <sz val="12"/>
      <color theme="1"/>
      <name val="맑은 고딕"/>
      <family val="3"/>
      <charset val="129"/>
      <scheme val="major"/>
    </font>
    <font>
      <b/>
      <sz val="12"/>
      <name val="맑은 고딕"/>
      <family val="3"/>
      <charset val="129"/>
      <scheme val="major"/>
    </font>
    <font>
      <sz val="12"/>
      <color theme="1"/>
      <name val="맑은 고딕"/>
      <family val="3"/>
      <charset val="129"/>
      <scheme val="major"/>
    </font>
    <font>
      <b/>
      <sz val="42"/>
      <color theme="1"/>
      <name val="맑은 고딕"/>
      <family val="3"/>
      <charset val="129"/>
      <scheme val="major"/>
    </font>
    <font>
      <sz val="16"/>
      <color theme="1"/>
      <name val="맑은 고딕"/>
      <family val="3"/>
      <charset val="129"/>
      <scheme val="major"/>
    </font>
    <font>
      <b/>
      <sz val="20"/>
      <color theme="1"/>
      <name val="맑은 고딕"/>
      <family val="3"/>
      <charset val="129"/>
      <scheme val="major"/>
    </font>
    <font>
      <sz val="20"/>
      <color theme="1"/>
      <name val="맑은 고딕"/>
      <family val="3"/>
      <charset val="129"/>
      <scheme val="major"/>
    </font>
    <font>
      <b/>
      <sz val="20"/>
      <name val="맑은 고딕"/>
      <family val="3"/>
      <charset val="129"/>
      <scheme val="major"/>
    </font>
    <font>
      <b/>
      <sz val="16"/>
      <color theme="1"/>
      <name val="맑은 고딕"/>
      <family val="3"/>
      <charset val="129"/>
      <scheme val="major"/>
    </font>
    <font>
      <b/>
      <sz val="18"/>
      <color theme="1"/>
      <name val="맑은 고딕"/>
      <family val="3"/>
      <charset val="129"/>
      <scheme val="major"/>
    </font>
    <font>
      <sz val="18"/>
      <color theme="1"/>
      <name val="맑은 고딕"/>
      <family val="3"/>
      <charset val="129"/>
      <scheme val="major"/>
    </font>
    <font>
      <sz val="15"/>
      <color theme="1"/>
      <name val="맑은 고딕"/>
      <family val="3"/>
      <charset val="129"/>
      <scheme val="major"/>
    </font>
    <font>
      <b/>
      <sz val="15"/>
      <color theme="1"/>
      <name val="맑은 고딕"/>
      <family val="3"/>
      <charset val="129"/>
      <scheme val="major"/>
    </font>
    <font>
      <b/>
      <sz val="14"/>
      <color theme="1"/>
      <name val="맑은 고딕"/>
      <family val="3"/>
      <charset val="129"/>
      <scheme val="major"/>
    </font>
    <font>
      <b/>
      <sz val="18"/>
      <name val="맑은 고딕"/>
      <family val="3"/>
      <charset val="129"/>
      <scheme val="major"/>
    </font>
    <font>
      <sz val="14"/>
      <color theme="1"/>
      <name val="맑은 고딕"/>
      <family val="3"/>
      <charset val="129"/>
      <scheme val="major"/>
    </font>
    <font>
      <sz val="14"/>
      <name val="맑은 고딕"/>
      <family val="3"/>
      <charset val="129"/>
      <scheme val="major"/>
    </font>
    <font>
      <b/>
      <sz val="12"/>
      <color indexed="81"/>
      <name val="돋움"/>
      <family val="3"/>
      <charset val="129"/>
    </font>
    <font>
      <b/>
      <sz val="12"/>
      <color indexed="81"/>
      <name val="Tahoma"/>
      <family val="2"/>
    </font>
    <font>
      <sz val="11"/>
      <color theme="1"/>
      <name val="맑은 고딕"/>
      <family val="3"/>
      <charset val="129"/>
      <scheme val="major"/>
    </font>
    <font>
      <sz val="10"/>
      <color theme="1"/>
      <name val="맑은 고딕"/>
      <family val="3"/>
      <charset val="129"/>
      <scheme val="major"/>
    </font>
    <font>
      <b/>
      <sz val="11"/>
      <color theme="1"/>
      <name val="맑은 고딕"/>
      <family val="3"/>
      <charset val="129"/>
      <scheme val="major"/>
    </font>
    <font>
      <b/>
      <sz val="12"/>
      <color rgb="FFFF0000"/>
      <name val="맑은 고딕"/>
      <family val="3"/>
      <charset val="129"/>
      <scheme val="minor"/>
    </font>
    <font>
      <b/>
      <sz val="36"/>
      <color indexed="8"/>
      <name val="맑은 고딕"/>
      <family val="3"/>
      <charset val="129"/>
    </font>
    <font>
      <sz val="8"/>
      <name val="맑은 고딕"/>
      <family val="3"/>
      <charset val="129"/>
    </font>
    <font>
      <b/>
      <sz val="26"/>
      <color indexed="8"/>
      <name val="맑은 고딕"/>
      <family val="3"/>
      <charset val="129"/>
    </font>
    <font>
      <sz val="14"/>
      <color theme="1"/>
      <name val="맑은 고딕"/>
      <family val="3"/>
      <charset val="129"/>
      <scheme val="minor"/>
    </font>
    <font>
      <sz val="14"/>
      <color theme="0" tint="-0.249977111117893"/>
      <name val="맑은 고딕"/>
      <family val="3"/>
      <charset val="129"/>
    </font>
    <font>
      <b/>
      <sz val="14"/>
      <color indexed="8"/>
      <name val="맑은 고딕"/>
      <family val="3"/>
      <charset val="129"/>
    </font>
    <font>
      <sz val="14"/>
      <color indexed="8"/>
      <name val="맑은 고딕"/>
      <family val="3"/>
      <charset val="129"/>
    </font>
    <font>
      <b/>
      <sz val="16"/>
      <color rgb="FFFF0000"/>
      <name val="맑은 고딕"/>
      <family val="3"/>
      <charset val="129"/>
    </font>
    <font>
      <b/>
      <sz val="16"/>
      <color theme="0" tint="-0.249977111117893"/>
      <name val="맑은 고딕"/>
      <family val="3"/>
      <charset val="129"/>
    </font>
    <font>
      <b/>
      <sz val="11"/>
      <color indexed="8"/>
      <name val="맑은 고딕"/>
      <family val="3"/>
      <charset val="129"/>
    </font>
    <font>
      <sz val="10"/>
      <color indexed="8"/>
      <name val="맑은 고딕"/>
      <family val="3"/>
      <charset val="129"/>
    </font>
    <font>
      <b/>
      <sz val="18"/>
      <color theme="0"/>
      <name val="맑은 고딕"/>
      <family val="3"/>
      <charset val="129"/>
      <scheme val="major"/>
    </font>
    <font>
      <b/>
      <sz val="14"/>
      <color theme="1"/>
      <name val="맑은 고딕"/>
      <family val="3"/>
      <charset val="129"/>
      <scheme val="minor"/>
    </font>
    <font>
      <b/>
      <sz val="13"/>
      <color theme="0"/>
      <name val="맑은 고딕"/>
      <family val="2"/>
      <charset val="129"/>
      <scheme val="major"/>
    </font>
    <font>
      <b/>
      <sz val="13"/>
      <color theme="0"/>
      <name val="맑은 고딕"/>
      <family val="3"/>
      <charset val="129"/>
      <scheme val="major"/>
    </font>
    <font>
      <b/>
      <sz val="48"/>
      <color theme="1"/>
      <name val="맑은 고딕"/>
      <family val="3"/>
      <charset val="129"/>
      <scheme val="major"/>
    </font>
    <font>
      <sz val="10"/>
      <name val="맑은 고딕"/>
      <family val="2"/>
      <charset val="129"/>
      <scheme val="minor"/>
    </font>
    <font>
      <b/>
      <sz val="9"/>
      <color rgb="FFFF0000"/>
      <name val="맑은 고딕"/>
      <family val="3"/>
      <charset val="129"/>
      <scheme val="minor"/>
    </font>
    <font>
      <b/>
      <sz val="10"/>
      <name val="맑은 고딕"/>
      <family val="3"/>
      <charset val="129"/>
      <scheme val="major"/>
    </font>
    <font>
      <b/>
      <sz val="11"/>
      <color theme="1"/>
      <name val="맑은 고딕"/>
      <family val="3"/>
      <charset val="129"/>
      <scheme val="minor"/>
    </font>
    <font>
      <b/>
      <sz val="11"/>
      <name val="맑은 고딕"/>
      <family val="3"/>
      <charset val="129"/>
      <scheme val="minor"/>
    </font>
    <font>
      <sz val="6"/>
      <color theme="0"/>
      <name val="맑은 고딕"/>
      <family val="3"/>
      <charset val="129"/>
      <scheme val="minor"/>
    </font>
  </fonts>
  <fills count="18">
    <fill>
      <patternFill patternType="none"/>
    </fill>
    <fill>
      <patternFill patternType="gray125"/>
    </fill>
    <fill>
      <patternFill patternType="solid">
        <fgColor theme="0"/>
        <bgColor indexed="64"/>
      </patternFill>
    </fill>
    <fill>
      <patternFill patternType="solid">
        <fgColor theme="2" tint="-0.749992370372631"/>
        <bgColor indexed="64"/>
      </patternFill>
    </fill>
    <fill>
      <patternFill patternType="solid">
        <fgColor rgb="FFFFFF99"/>
        <bgColor indexed="64"/>
      </patternFill>
    </fill>
    <fill>
      <patternFill patternType="solid">
        <fgColor rgb="FFFFFF00"/>
        <bgColor indexed="64"/>
      </patternFill>
    </fill>
    <fill>
      <patternFill patternType="solid">
        <fgColor rgb="FFC000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indexed="9"/>
        <bgColor indexed="64"/>
      </patternFill>
    </fill>
    <fill>
      <patternFill patternType="solid">
        <fgColor theme="2"/>
        <bgColor indexed="64"/>
      </patternFill>
    </fill>
    <fill>
      <patternFill patternType="solid">
        <fgColor theme="1"/>
        <bgColor indexed="64"/>
      </patternFill>
    </fill>
    <fill>
      <patternFill patternType="solid">
        <fgColor rgb="FFFFC000"/>
        <bgColor indexed="64"/>
      </patternFill>
    </fill>
    <fill>
      <patternFill patternType="solid">
        <fgColor theme="1" tint="4.9989318521683403E-2"/>
        <bgColor indexed="64"/>
      </patternFill>
    </fill>
  </fills>
  <borders count="19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indexed="64"/>
      </top>
      <bottom style="hair">
        <color indexed="64"/>
      </bottom>
      <diagonal/>
    </border>
    <border>
      <left/>
      <right/>
      <top style="medium">
        <color indexed="64"/>
      </top>
      <bottom/>
      <diagonal/>
    </border>
    <border>
      <left/>
      <right style="medium">
        <color indexed="64"/>
      </right>
      <top style="hair">
        <color indexed="64"/>
      </top>
      <bottom style="hair">
        <color indexed="64"/>
      </bottom>
      <diagonal/>
    </border>
    <border>
      <left style="medium">
        <color indexed="64"/>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bottom style="medium">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hair">
        <color indexed="64"/>
      </top>
      <bottom/>
      <diagonal/>
    </border>
    <border>
      <left/>
      <right style="medium">
        <color indexed="64"/>
      </right>
      <top style="hair">
        <color indexed="64"/>
      </top>
      <bottom/>
      <diagonal/>
    </border>
    <border>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double">
        <color indexed="64"/>
      </top>
      <bottom style="hair">
        <color indexed="64"/>
      </bottom>
      <diagonal/>
    </border>
    <border>
      <left/>
      <right style="thin">
        <color indexed="64"/>
      </right>
      <top style="double">
        <color indexed="64"/>
      </top>
      <bottom style="hair">
        <color indexed="64"/>
      </bottom>
      <diagonal/>
    </border>
    <border>
      <left/>
      <right/>
      <top style="double">
        <color indexed="64"/>
      </top>
      <bottom style="hair">
        <color indexed="64"/>
      </bottom>
      <diagonal/>
    </border>
    <border>
      <left style="medium">
        <color indexed="64"/>
      </left>
      <right/>
      <top style="medium">
        <color indexed="64"/>
      </top>
      <bottom style="medium">
        <color indexed="64"/>
      </bottom>
      <diagonal/>
    </border>
    <border>
      <left style="medium">
        <color indexed="64"/>
      </left>
      <right/>
      <top style="hair">
        <color indexed="64"/>
      </top>
      <bottom style="medium">
        <color indexed="64"/>
      </bottom>
      <diagonal/>
    </border>
    <border>
      <left/>
      <right style="medium">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hair">
        <color indexed="64"/>
      </top>
      <bottom/>
      <diagonal/>
    </border>
    <border>
      <left style="medium">
        <color indexed="64"/>
      </left>
      <right/>
      <top/>
      <bottom style="hair">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double">
        <color indexed="64"/>
      </top>
      <bottom style="hair">
        <color indexed="64"/>
      </bottom>
      <diagonal/>
    </border>
    <border>
      <left/>
      <right style="medium">
        <color indexed="64"/>
      </right>
      <top style="double">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thin">
        <color indexed="64"/>
      </left>
      <right/>
      <top style="thin">
        <color indexed="64"/>
      </top>
      <bottom style="medium">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hair">
        <color indexed="64"/>
      </top>
      <bottom/>
      <diagonal/>
    </border>
    <border>
      <left/>
      <right/>
      <top style="medium">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thin">
        <color indexed="64"/>
      </left>
      <right/>
      <top style="medium">
        <color theme="1"/>
      </top>
      <bottom style="medium">
        <color theme="1"/>
      </bottom>
      <diagonal/>
    </border>
    <border>
      <left/>
      <right/>
      <top style="medium">
        <color theme="1"/>
      </top>
      <bottom style="medium">
        <color theme="1"/>
      </bottom>
      <diagonal/>
    </border>
    <border>
      <left/>
      <right style="thin">
        <color indexed="64"/>
      </right>
      <top style="medium">
        <color theme="1"/>
      </top>
      <bottom style="medium">
        <color theme="1"/>
      </bottom>
      <diagonal/>
    </border>
    <border>
      <left/>
      <right style="medium">
        <color theme="1"/>
      </right>
      <top style="medium">
        <color theme="1"/>
      </top>
      <bottom style="medium">
        <color theme="1"/>
      </bottom>
      <diagonal/>
    </border>
    <border>
      <left/>
      <right/>
      <top style="thin">
        <color indexed="64"/>
      </top>
      <bottom style="medium">
        <color theme="1"/>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medium">
        <color theme="1"/>
      </top>
      <bottom style="hair">
        <color theme="1"/>
      </bottom>
      <diagonal/>
    </border>
    <border>
      <left style="thin">
        <color indexed="64"/>
      </left>
      <right style="thin">
        <color indexed="64"/>
      </right>
      <top style="medium">
        <color theme="1"/>
      </top>
      <bottom style="hair">
        <color theme="1"/>
      </bottom>
      <diagonal/>
    </border>
    <border>
      <left style="thin">
        <color indexed="64"/>
      </left>
      <right/>
      <top style="medium">
        <color theme="1"/>
      </top>
      <bottom style="hair">
        <color theme="1"/>
      </bottom>
      <diagonal/>
    </border>
    <border>
      <left/>
      <right/>
      <top style="medium">
        <color theme="1"/>
      </top>
      <bottom style="hair">
        <color theme="1"/>
      </bottom>
      <diagonal/>
    </border>
    <border>
      <left/>
      <right style="thin">
        <color indexed="64"/>
      </right>
      <top style="hair">
        <color theme="1"/>
      </top>
      <bottom style="hair">
        <color theme="1"/>
      </bottom>
      <diagonal/>
    </border>
    <border>
      <left style="thin">
        <color indexed="64"/>
      </left>
      <right style="thin">
        <color indexed="64"/>
      </right>
      <top style="hair">
        <color theme="1"/>
      </top>
      <bottom style="hair">
        <color theme="1"/>
      </bottom>
      <diagonal/>
    </border>
    <border>
      <left style="thin">
        <color indexed="64"/>
      </left>
      <right/>
      <top style="hair">
        <color theme="1"/>
      </top>
      <bottom style="hair">
        <color theme="1"/>
      </bottom>
      <diagonal/>
    </border>
    <border>
      <left/>
      <right/>
      <top style="hair">
        <color theme="1"/>
      </top>
      <bottom style="hair">
        <color theme="1"/>
      </bottom>
      <diagonal/>
    </border>
    <border>
      <left/>
      <right style="thin">
        <color indexed="64"/>
      </right>
      <top style="hair">
        <color theme="1"/>
      </top>
      <bottom style="medium">
        <color indexed="64"/>
      </bottom>
      <diagonal/>
    </border>
    <border>
      <left style="thin">
        <color indexed="64"/>
      </left>
      <right style="thin">
        <color indexed="64"/>
      </right>
      <top style="hair">
        <color theme="1"/>
      </top>
      <bottom style="medium">
        <color indexed="64"/>
      </bottom>
      <diagonal/>
    </border>
    <border>
      <left style="thin">
        <color indexed="64"/>
      </left>
      <right/>
      <top style="hair">
        <color theme="1"/>
      </top>
      <bottom style="medium">
        <color indexed="64"/>
      </bottom>
      <diagonal/>
    </border>
    <border>
      <left/>
      <right/>
      <top style="hair">
        <color theme="1"/>
      </top>
      <bottom style="medium">
        <color indexed="64"/>
      </bottom>
      <diagonal/>
    </border>
    <border>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top style="thin">
        <color indexed="64"/>
      </top>
      <bottom style="medium">
        <color theme="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double">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top style="medium">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diagonal/>
    </border>
    <border>
      <left style="hair">
        <color indexed="64"/>
      </left>
      <right style="hair">
        <color indexed="64"/>
      </right>
      <top style="medium">
        <color indexed="64"/>
      </top>
      <bottom/>
      <diagonal/>
    </border>
    <border>
      <left style="medium">
        <color indexed="64"/>
      </left>
      <right style="thin">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rgb="FFFF0000"/>
      </left>
      <right/>
      <top style="medium">
        <color rgb="FFFF0000"/>
      </top>
      <bottom style="medium">
        <color rgb="FFFF0000"/>
      </bottom>
      <diagonal/>
    </border>
    <border>
      <left/>
      <right style="medium">
        <color indexed="64"/>
      </right>
      <top style="medium">
        <color rgb="FFFF0000"/>
      </top>
      <bottom style="medium">
        <color rgb="FFFF0000"/>
      </bottom>
      <diagonal/>
    </border>
    <border>
      <left style="medium">
        <color indexed="64"/>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bottom/>
      <diagonal/>
    </border>
    <border>
      <left style="hair">
        <color indexed="64"/>
      </left>
      <right style="hair">
        <color indexed="64"/>
      </right>
      <top style="medium">
        <color indexed="64"/>
      </top>
      <bottom style="hair">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5">
    <xf numFmtId="0" fontId="0" fillId="0" borderId="0">
      <alignment vertical="center"/>
    </xf>
    <xf numFmtId="0" fontId="2" fillId="0" borderId="0" applyBorder="0"/>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2" fillId="0" borderId="0" applyFont="0" applyFill="0" applyBorder="0" applyAlignment="0" applyProtection="0"/>
  </cellStyleXfs>
  <cellXfs count="1001">
    <xf numFmtId="0" fontId="0" fillId="0" borderId="0" xfId="0">
      <alignment vertical="center"/>
    </xf>
    <xf numFmtId="0" fontId="3" fillId="0" borderId="0" xfId="0" applyFont="1">
      <alignment vertical="center"/>
    </xf>
    <xf numFmtId="10" fontId="3" fillId="0" borderId="0" xfId="3" applyNumberFormat="1" applyFont="1">
      <alignment vertical="center"/>
    </xf>
    <xf numFmtId="0" fontId="3" fillId="2" borderId="0" xfId="0" applyFont="1" applyFill="1">
      <alignment vertical="center"/>
    </xf>
    <xf numFmtId="0" fontId="5" fillId="2" borderId="0" xfId="0" applyFont="1" applyFill="1" applyBorder="1">
      <alignment vertical="center"/>
    </xf>
    <xf numFmtId="176" fontId="5" fillId="2" borderId="0" xfId="3" applyNumberFormat="1" applyFont="1" applyFill="1" applyBorder="1" applyAlignment="1">
      <alignment horizontal="center" vertical="center"/>
    </xf>
    <xf numFmtId="0" fontId="5" fillId="2" borderId="0" xfId="0" applyFont="1" applyFill="1" applyBorder="1" applyAlignment="1">
      <alignment vertical="center"/>
    </xf>
    <xf numFmtId="41" fontId="5" fillId="2" borderId="0" xfId="0" applyNumberFormat="1" applyFont="1" applyFill="1" applyBorder="1" applyAlignment="1">
      <alignment vertical="center"/>
    </xf>
    <xf numFmtId="10" fontId="5" fillId="2" borderId="0" xfId="3" applyNumberFormat="1" applyFont="1" applyFill="1" applyBorder="1" applyAlignment="1">
      <alignment horizontal="center" vertical="center"/>
    </xf>
    <xf numFmtId="0" fontId="6" fillId="2" borderId="0" xfId="0" applyFont="1" applyFill="1" applyBorder="1" applyAlignment="1">
      <alignment horizontal="center" vertical="center" wrapText="1" shrinkToFit="1"/>
    </xf>
    <xf numFmtId="10" fontId="3" fillId="2" borderId="0" xfId="3" applyNumberFormat="1" applyFont="1" applyFill="1">
      <alignment vertical="center"/>
    </xf>
    <xf numFmtId="41" fontId="3" fillId="2" borderId="0" xfId="2" applyFont="1" applyFill="1">
      <alignment vertical="center"/>
    </xf>
    <xf numFmtId="0" fontId="3" fillId="2" borderId="0" xfId="0" applyFont="1" applyFill="1" applyBorder="1">
      <alignment vertical="center"/>
    </xf>
    <xf numFmtId="0" fontId="3" fillId="2" borderId="8" xfId="0" applyFont="1" applyFill="1" applyBorder="1">
      <alignment vertical="center"/>
    </xf>
    <xf numFmtId="41" fontId="3" fillId="2" borderId="0" xfId="2" applyFont="1" applyFill="1" applyBorder="1">
      <alignment vertical="center"/>
    </xf>
    <xf numFmtId="0" fontId="3" fillId="2" borderId="3" xfId="0" applyFont="1" applyFill="1" applyBorder="1">
      <alignment vertical="center"/>
    </xf>
    <xf numFmtId="41" fontId="3" fillId="0" borderId="0" xfId="2" applyFont="1">
      <alignment vertical="center"/>
    </xf>
    <xf numFmtId="41" fontId="3" fillId="0" borderId="4" xfId="2" applyFont="1" applyBorder="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41" fontId="3" fillId="0" borderId="4" xfId="2" applyFont="1" applyBorder="1" applyAlignment="1">
      <alignment horizontal="center" vertical="center"/>
    </xf>
    <xf numFmtId="176" fontId="3" fillId="2" borderId="1" xfId="3" applyNumberFormat="1" applyFont="1" applyFill="1" applyBorder="1" applyAlignment="1">
      <alignment horizontal="center" vertical="center"/>
    </xf>
    <xf numFmtId="41" fontId="5" fillId="0" borderId="0" xfId="0" applyNumberFormat="1" applyFont="1">
      <alignment vertical="center"/>
    </xf>
    <xf numFmtId="41" fontId="5" fillId="0" borderId="0" xfId="2" applyFont="1">
      <alignment vertical="center"/>
    </xf>
    <xf numFmtId="10" fontId="5" fillId="0" borderId="0" xfId="3" applyNumberFormat="1" applyFont="1">
      <alignment vertical="center"/>
    </xf>
    <xf numFmtId="0" fontId="5" fillId="2" borderId="0" xfId="0" applyFont="1" applyFill="1" applyBorder="1" applyAlignment="1">
      <alignment horizontal="center" vertical="center"/>
    </xf>
    <xf numFmtId="0" fontId="7" fillId="2" borderId="0" xfId="0" applyFont="1" applyFill="1">
      <alignment vertical="center"/>
    </xf>
    <xf numFmtId="0" fontId="7" fillId="2" borderId="0" xfId="0" applyFont="1" applyFill="1" applyAlignment="1">
      <alignment horizontal="center" vertical="center"/>
    </xf>
    <xf numFmtId="0" fontId="7" fillId="2" borderId="14"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0" xfId="0" applyFont="1" applyFill="1" applyBorder="1">
      <alignment vertical="center"/>
    </xf>
    <xf numFmtId="0" fontId="7" fillId="2" borderId="0" xfId="0" applyFont="1" applyFill="1" applyBorder="1" applyAlignment="1">
      <alignment horizontal="center" vertical="center"/>
    </xf>
    <xf numFmtId="41" fontId="7" fillId="2" borderId="0" xfId="2" applyFont="1" applyFill="1">
      <alignment vertical="center"/>
    </xf>
    <xf numFmtId="0" fontId="7" fillId="7" borderId="50" xfId="0" applyFont="1" applyFill="1" applyBorder="1" applyAlignment="1">
      <alignment horizontal="center" vertical="center"/>
    </xf>
    <xf numFmtId="0" fontId="7" fillId="7" borderId="60" xfId="0" applyFont="1" applyFill="1" applyBorder="1" applyAlignment="1">
      <alignment horizontal="center" vertical="center"/>
    </xf>
    <xf numFmtId="0" fontId="3" fillId="2" borderId="35" xfId="0" applyFont="1" applyFill="1" applyBorder="1">
      <alignment vertical="center"/>
    </xf>
    <xf numFmtId="0" fontId="7" fillId="2" borderId="76" xfId="0" applyFont="1" applyFill="1" applyBorder="1" applyAlignment="1">
      <alignment horizontal="center" vertical="center"/>
    </xf>
    <xf numFmtId="0" fontId="7" fillId="2" borderId="86" xfId="0" applyFont="1" applyFill="1" applyBorder="1" applyAlignment="1">
      <alignment horizontal="center" vertical="center"/>
    </xf>
    <xf numFmtId="10" fontId="3" fillId="2" borderId="86" xfId="3" applyNumberFormat="1" applyFont="1" applyFill="1" applyBorder="1" applyAlignment="1">
      <alignment horizontal="center" vertical="center"/>
    </xf>
    <xf numFmtId="10" fontId="3" fillId="2" borderId="76" xfId="3" applyNumberFormat="1" applyFont="1" applyFill="1" applyBorder="1" applyAlignment="1">
      <alignment horizontal="center" vertical="center"/>
    </xf>
    <xf numFmtId="10" fontId="3" fillId="2" borderId="76" xfId="0" applyNumberFormat="1" applyFont="1" applyFill="1" applyBorder="1" applyAlignment="1">
      <alignment horizontal="center" vertical="center"/>
    </xf>
    <xf numFmtId="9" fontId="3" fillId="2" borderId="51" xfId="3" applyFont="1" applyFill="1" applyBorder="1" applyAlignment="1">
      <alignment horizontal="center" vertical="center"/>
    </xf>
    <xf numFmtId="10" fontId="3" fillId="2" borderId="103" xfId="3" applyNumberFormat="1" applyFont="1" applyFill="1" applyBorder="1" applyAlignment="1">
      <alignment horizontal="center" vertical="center"/>
    </xf>
    <xf numFmtId="10" fontId="3" fillId="2" borderId="19" xfId="0" applyNumberFormat="1" applyFont="1" applyFill="1" applyBorder="1" applyAlignment="1">
      <alignment horizontal="center" vertical="center"/>
    </xf>
    <xf numFmtId="10" fontId="3" fillId="2" borderId="28" xfId="0" applyNumberFormat="1" applyFont="1" applyFill="1" applyBorder="1" applyAlignment="1">
      <alignment horizontal="center" vertical="center"/>
    </xf>
    <xf numFmtId="10" fontId="3" fillId="2" borderId="19" xfId="3" applyNumberFormat="1" applyFont="1" applyFill="1" applyBorder="1" applyAlignment="1">
      <alignment horizontal="center" vertical="center"/>
    </xf>
    <xf numFmtId="10" fontId="3" fillId="2" borderId="28" xfId="3" applyNumberFormat="1" applyFont="1" applyFill="1" applyBorder="1" applyAlignment="1">
      <alignment horizontal="center" vertical="center"/>
    </xf>
    <xf numFmtId="0" fontId="14" fillId="2" borderId="107" xfId="0" applyFont="1" applyFill="1" applyBorder="1" applyAlignment="1">
      <alignment horizontal="center" vertical="center"/>
    </xf>
    <xf numFmtId="14" fontId="15" fillId="2" borderId="92" xfId="0" applyNumberFormat="1" applyFont="1" applyFill="1" applyBorder="1" applyAlignment="1">
      <alignment horizontal="center" vertical="center"/>
    </xf>
    <xf numFmtId="41" fontId="3" fillId="2" borderId="105" xfId="2" applyFont="1" applyFill="1" applyBorder="1">
      <alignment vertical="center"/>
    </xf>
    <xf numFmtId="0" fontId="17" fillId="2" borderId="0" xfId="0" applyFont="1" applyFill="1">
      <alignment vertical="center"/>
    </xf>
    <xf numFmtId="0" fontId="17" fillId="2" borderId="0" xfId="0" applyFont="1" applyFill="1" applyAlignment="1">
      <alignment horizontal="center" vertical="center"/>
    </xf>
    <xf numFmtId="41" fontId="17" fillId="2" borderId="0" xfId="2" applyFont="1" applyFill="1" applyAlignment="1">
      <alignment horizontal="center" vertical="center"/>
    </xf>
    <xf numFmtId="0" fontId="17" fillId="11" borderId="1" xfId="0" applyFont="1" applyFill="1" applyBorder="1" applyAlignment="1">
      <alignment horizontal="center" vertical="center"/>
    </xf>
    <xf numFmtId="41" fontId="17" fillId="11" borderId="1" xfId="2" applyFont="1" applyFill="1" applyBorder="1" applyAlignment="1">
      <alignment horizontal="center" vertical="center"/>
    </xf>
    <xf numFmtId="41" fontId="17" fillId="10" borderId="1" xfId="2" applyFont="1" applyFill="1" applyBorder="1" applyAlignment="1">
      <alignment horizontal="center" vertical="center"/>
    </xf>
    <xf numFmtId="0" fontId="17" fillId="10"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2" borderId="1" xfId="0" applyFont="1" applyFill="1" applyBorder="1" applyAlignment="1">
      <alignment horizontal="center" vertical="center"/>
    </xf>
    <xf numFmtId="0" fontId="17" fillId="2" borderId="1" xfId="0" applyFont="1" applyFill="1" applyBorder="1">
      <alignment vertical="center"/>
    </xf>
    <xf numFmtId="41" fontId="17" fillId="2" borderId="1" xfId="2" applyFont="1" applyFill="1" applyBorder="1">
      <alignment vertical="center"/>
    </xf>
    <xf numFmtId="41" fontId="17" fillId="2" borderId="0" xfId="2" applyFont="1" applyFill="1">
      <alignment vertical="center"/>
    </xf>
    <xf numFmtId="0" fontId="17" fillId="12" borderId="1" xfId="0" applyFont="1" applyFill="1" applyBorder="1">
      <alignment vertical="center"/>
    </xf>
    <xf numFmtId="10" fontId="17" fillId="2" borderId="1" xfId="3" applyNumberFormat="1" applyFont="1" applyFill="1" applyBorder="1" applyAlignment="1">
      <alignment horizontal="center" vertical="center"/>
    </xf>
    <xf numFmtId="10" fontId="17" fillId="2" borderId="0" xfId="3" applyNumberFormat="1" applyFont="1" applyFill="1" applyAlignment="1">
      <alignment horizontal="center" vertical="center"/>
    </xf>
    <xf numFmtId="0" fontId="17" fillId="2" borderId="1" xfId="0" applyFont="1" applyFill="1" applyBorder="1" applyAlignment="1">
      <alignment horizontal="left" vertical="center"/>
    </xf>
    <xf numFmtId="0" fontId="34" fillId="2" borderId="0" xfId="0" applyFont="1" applyFill="1" applyBorder="1" applyAlignment="1" applyProtection="1">
      <alignment horizontal="left" vertical="center"/>
      <protection hidden="1"/>
    </xf>
    <xf numFmtId="0" fontId="7" fillId="7" borderId="70" xfId="0" applyFont="1" applyFill="1" applyBorder="1" applyAlignment="1">
      <alignment horizontal="center" vertical="center"/>
    </xf>
    <xf numFmtId="0" fontId="7" fillId="7" borderId="76" xfId="0" applyFont="1" applyFill="1" applyBorder="1" applyAlignment="1">
      <alignment horizontal="center" vertical="center"/>
    </xf>
    <xf numFmtId="0" fontId="7" fillId="7" borderId="65" xfId="0" applyFont="1" applyFill="1" applyBorder="1" applyAlignment="1">
      <alignment horizontal="center" vertical="center"/>
    </xf>
    <xf numFmtId="0" fontId="7" fillId="7" borderId="14" xfId="0" applyFont="1" applyFill="1" applyBorder="1" applyAlignment="1">
      <alignment horizontal="center" vertical="center"/>
    </xf>
    <xf numFmtId="0" fontId="7" fillId="7" borderId="1" xfId="0" applyFont="1" applyFill="1" applyBorder="1" applyAlignment="1">
      <alignment horizontal="center" vertical="center"/>
    </xf>
    <xf numFmtId="41" fontId="7" fillId="7" borderId="1" xfId="2" applyFont="1" applyFill="1" applyBorder="1" applyAlignment="1">
      <alignment horizontal="center" vertical="center"/>
    </xf>
    <xf numFmtId="10" fontId="3" fillId="2" borderId="150" xfId="3" applyNumberFormat="1" applyFont="1" applyFill="1" applyBorder="1" applyAlignment="1">
      <alignment horizontal="center" vertical="center"/>
    </xf>
    <xf numFmtId="10" fontId="3" fillId="2" borderId="151" xfId="3" applyNumberFormat="1" applyFont="1" applyFill="1" applyBorder="1" applyAlignment="1">
      <alignment horizontal="center" vertical="center"/>
    </xf>
    <xf numFmtId="0" fontId="3" fillId="2" borderId="153" xfId="0" applyFont="1" applyFill="1" applyBorder="1" applyAlignment="1">
      <alignment horizontal="center" vertical="center"/>
    </xf>
    <xf numFmtId="41" fontId="3" fillId="2" borderId="154" xfId="2" applyFont="1" applyFill="1" applyBorder="1" applyAlignment="1">
      <alignment vertical="center"/>
    </xf>
    <xf numFmtId="41" fontId="3" fillId="2" borderId="155" xfId="2" applyFont="1" applyFill="1" applyBorder="1" applyAlignment="1">
      <alignment vertical="center"/>
    </xf>
    <xf numFmtId="0" fontId="7" fillId="5" borderId="145" xfId="0" applyFont="1" applyFill="1" applyBorder="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18" fillId="2" borderId="0" xfId="0" applyFont="1" applyFill="1" applyProtection="1">
      <alignment vertical="center"/>
      <protection hidden="1"/>
    </xf>
    <xf numFmtId="0" fontId="19" fillId="2" borderId="0" xfId="0" applyFont="1" applyFill="1" applyProtection="1">
      <alignment vertical="center"/>
      <protection hidden="1"/>
    </xf>
    <xf numFmtId="0" fontId="18" fillId="2" borderId="0" xfId="0" applyFont="1" applyFill="1" applyBorder="1" applyProtection="1">
      <alignment vertical="center"/>
      <protection hidden="1"/>
    </xf>
    <xf numFmtId="0" fontId="21" fillId="2" borderId="0" xfId="0" applyFont="1" applyFill="1" applyAlignment="1" applyProtection="1">
      <alignment vertical="center"/>
      <protection hidden="1"/>
    </xf>
    <xf numFmtId="183" fontId="22" fillId="2" borderId="0" xfId="0" applyNumberFormat="1" applyFont="1" applyFill="1" applyAlignment="1" applyProtection="1">
      <alignment vertical="center"/>
      <protection hidden="1"/>
    </xf>
    <xf numFmtId="0" fontId="18" fillId="2" borderId="0" xfId="0" applyFont="1" applyFill="1" applyAlignment="1" applyProtection="1">
      <alignment vertical="center"/>
      <protection hidden="1"/>
    </xf>
    <xf numFmtId="0" fontId="23" fillId="2" borderId="0" xfId="0" applyFont="1" applyFill="1" applyProtection="1">
      <alignment vertical="center"/>
      <protection hidden="1"/>
    </xf>
    <xf numFmtId="0" fontId="18" fillId="2" borderId="0" xfId="0" applyFont="1" applyFill="1" applyBorder="1" applyAlignment="1" applyProtection="1">
      <alignment vertical="center"/>
      <protection hidden="1"/>
    </xf>
    <xf numFmtId="41" fontId="18" fillId="2" borderId="0" xfId="0" applyNumberFormat="1" applyFont="1" applyFill="1" applyBorder="1" applyAlignment="1" applyProtection="1">
      <alignment vertical="center"/>
      <protection hidden="1"/>
    </xf>
    <xf numFmtId="0" fontId="25" fillId="2" borderId="0" xfId="0" applyFont="1" applyFill="1" applyProtection="1">
      <alignment vertical="center"/>
      <protection hidden="1"/>
    </xf>
    <xf numFmtId="0" fontId="23" fillId="2" borderId="0" xfId="0" applyFont="1" applyFill="1" applyBorder="1" applyAlignment="1" applyProtection="1">
      <alignment horizontal="center" vertical="center"/>
      <protection hidden="1"/>
    </xf>
    <xf numFmtId="41" fontId="23" fillId="2" borderId="0" xfId="0" applyNumberFormat="1" applyFont="1" applyFill="1" applyBorder="1" applyAlignment="1" applyProtection="1">
      <alignment horizontal="center" vertical="center"/>
      <protection hidden="1"/>
    </xf>
    <xf numFmtId="0" fontId="20" fillId="2" borderId="0" xfId="0" applyFont="1" applyFill="1" applyProtection="1">
      <alignment vertical="center"/>
      <protection hidden="1"/>
    </xf>
    <xf numFmtId="0" fontId="26" fillId="2" borderId="0" xfId="0" applyFont="1" applyFill="1" applyProtection="1">
      <alignment vertical="center"/>
      <protection hidden="1"/>
    </xf>
    <xf numFmtId="0" fontId="33" fillId="2" borderId="0" xfId="0" applyFont="1" applyFill="1" applyBorder="1" applyProtection="1">
      <alignment vertical="center"/>
      <protection hidden="1"/>
    </xf>
    <xf numFmtId="0" fontId="5" fillId="2" borderId="0" xfId="0" applyFont="1" applyFill="1" applyProtection="1">
      <alignment vertical="center"/>
      <protection hidden="1"/>
    </xf>
    <xf numFmtId="41" fontId="5" fillId="2" borderId="0" xfId="2" applyFont="1" applyFill="1" applyProtection="1">
      <alignment vertical="center"/>
      <protection hidden="1"/>
    </xf>
    <xf numFmtId="41" fontId="5" fillId="2" borderId="0" xfId="2" applyNumberFormat="1" applyFont="1" applyFill="1" applyProtection="1">
      <alignment vertical="center"/>
      <protection hidden="1"/>
    </xf>
    <xf numFmtId="0" fontId="12" fillId="2" borderId="0" xfId="0" applyFont="1" applyFill="1" applyProtection="1">
      <alignment vertical="center"/>
      <protection hidden="1"/>
    </xf>
    <xf numFmtId="0" fontId="5" fillId="2" borderId="0" xfId="0" applyFont="1" applyFill="1" applyBorder="1" applyProtection="1">
      <alignment vertical="center"/>
      <protection hidden="1"/>
    </xf>
    <xf numFmtId="0" fontId="8" fillId="6" borderId="41" xfId="0" applyFont="1" applyFill="1" applyBorder="1" applyAlignment="1" applyProtection="1">
      <alignment horizontal="center" vertical="center"/>
      <protection hidden="1"/>
    </xf>
    <xf numFmtId="14" fontId="7" fillId="2" borderId="50" xfId="0" applyNumberFormat="1" applyFont="1" applyFill="1" applyBorder="1" applyAlignment="1" applyProtection="1">
      <alignment horizontal="center" vertical="center"/>
      <protection hidden="1"/>
    </xf>
    <xf numFmtId="41" fontId="5" fillId="2" borderId="0" xfId="2" applyNumberFormat="1" applyFont="1" applyFill="1" applyBorder="1" applyProtection="1">
      <alignment vertical="center"/>
      <protection hidden="1"/>
    </xf>
    <xf numFmtId="41" fontId="5" fillId="2" borderId="0" xfId="2" applyFont="1" applyFill="1" applyBorder="1" applyProtection="1">
      <alignment vertical="center"/>
      <protection hidden="1"/>
    </xf>
    <xf numFmtId="0" fontId="5" fillId="2" borderId="0"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10" fontId="5" fillId="2" borderId="0" xfId="2" applyNumberFormat="1" applyFont="1" applyFill="1" applyProtection="1">
      <alignment vertical="center"/>
      <protection hidden="1"/>
    </xf>
    <xf numFmtId="0" fontId="5" fillId="2" borderId="35" xfId="0" applyFont="1" applyFill="1" applyBorder="1" applyAlignment="1" applyProtection="1">
      <alignment horizontal="center" vertical="center"/>
      <protection hidden="1"/>
    </xf>
    <xf numFmtId="0" fontId="5" fillId="2" borderId="21" xfId="0" applyFont="1" applyFill="1" applyBorder="1" applyAlignment="1" applyProtection="1">
      <alignment horizontal="center" vertical="center"/>
      <protection hidden="1"/>
    </xf>
    <xf numFmtId="0" fontId="11" fillId="2" borderId="0" xfId="0" applyFont="1" applyFill="1" applyBorder="1" applyProtection="1">
      <alignment vertical="center"/>
      <protection hidden="1"/>
    </xf>
    <xf numFmtId="0" fontId="9" fillId="8" borderId="50" xfId="0" applyFont="1" applyFill="1" applyBorder="1" applyAlignment="1" applyProtection="1">
      <alignment horizontal="center" vertical="center"/>
      <protection hidden="1"/>
    </xf>
    <xf numFmtId="183" fontId="30" fillId="2" borderId="0" xfId="0" applyNumberFormat="1" applyFont="1" applyFill="1" applyAlignment="1" applyProtection="1">
      <alignment horizontal="right" vertical="center"/>
      <protection hidden="1"/>
    </xf>
    <xf numFmtId="0" fontId="18" fillId="2" borderId="0" xfId="0" applyFont="1" applyFill="1" applyAlignment="1" applyProtection="1">
      <alignment horizontal="center" vertical="center"/>
      <protection hidden="1"/>
    </xf>
    <xf numFmtId="0" fontId="21" fillId="2" borderId="0" xfId="0" applyFont="1" applyFill="1" applyAlignment="1" applyProtection="1">
      <alignment horizontal="center" vertical="center"/>
      <protection hidden="1"/>
    </xf>
    <xf numFmtId="0" fontId="32" fillId="2" borderId="0" xfId="0" applyFont="1" applyFill="1" applyBorder="1" applyAlignment="1" applyProtection="1">
      <alignment horizontal="left"/>
      <protection hidden="1"/>
    </xf>
    <xf numFmtId="182" fontId="28" fillId="2" borderId="0" xfId="0" applyNumberFormat="1" applyFont="1" applyFill="1" applyBorder="1" applyAlignment="1" applyProtection="1">
      <alignment horizontal="center" vertical="center"/>
      <protection hidden="1"/>
    </xf>
    <xf numFmtId="41" fontId="24" fillId="2" borderId="0" xfId="0" applyNumberFormat="1" applyFont="1" applyFill="1" applyBorder="1" applyAlignment="1" applyProtection="1">
      <alignment horizontal="center" vertical="center"/>
      <protection hidden="1"/>
    </xf>
    <xf numFmtId="0" fontId="24" fillId="2" borderId="0" xfId="0" applyFont="1" applyFill="1" applyBorder="1" applyAlignment="1" applyProtection="1">
      <alignment horizontal="center" vertical="center"/>
      <protection hidden="1"/>
    </xf>
    <xf numFmtId="178" fontId="24" fillId="2" borderId="0" xfId="0" applyNumberFormat="1" applyFont="1" applyFill="1" applyBorder="1" applyAlignment="1" applyProtection="1">
      <alignment horizontal="center" vertical="center"/>
      <protection hidden="1"/>
    </xf>
    <xf numFmtId="181" fontId="24" fillId="2" borderId="0" xfId="0" applyNumberFormat="1" applyFont="1" applyFill="1" applyBorder="1" applyAlignment="1" applyProtection="1">
      <alignment horizontal="center" vertical="center"/>
      <protection hidden="1"/>
    </xf>
    <xf numFmtId="41" fontId="24" fillId="2" borderId="0" xfId="2" applyFont="1" applyFill="1" applyBorder="1" applyAlignment="1" applyProtection="1">
      <alignment horizontal="center" vertical="center"/>
      <protection hidden="1"/>
    </xf>
    <xf numFmtId="41" fontId="23" fillId="2" borderId="0" xfId="2" applyFont="1" applyFill="1" applyBorder="1" applyAlignment="1" applyProtection="1">
      <alignment horizontal="center" vertical="center"/>
      <protection hidden="1"/>
    </xf>
    <xf numFmtId="0" fontId="33" fillId="2" borderId="0" xfId="0" applyFont="1" applyFill="1" applyBorder="1" applyAlignment="1" applyProtection="1">
      <alignment horizontal="left" vertical="center"/>
      <protection hidden="1"/>
    </xf>
    <xf numFmtId="0" fontId="29" fillId="2" borderId="0" xfId="0" applyFont="1" applyFill="1" applyBorder="1" applyAlignment="1" applyProtection="1">
      <alignment horizontal="center"/>
      <protection hidden="1"/>
    </xf>
    <xf numFmtId="14" fontId="7" fillId="2" borderId="0" xfId="0" applyNumberFormat="1" applyFont="1" applyFill="1" applyBorder="1" applyAlignment="1" applyProtection="1">
      <alignment vertical="center"/>
      <protection hidden="1"/>
    </xf>
    <xf numFmtId="0" fontId="5" fillId="2" borderId="0" xfId="2" applyNumberFormat="1" applyFont="1" applyFill="1" applyAlignment="1" applyProtection="1">
      <alignment horizontal="left" vertical="center"/>
      <protection hidden="1"/>
    </xf>
    <xf numFmtId="0" fontId="5" fillId="2" borderId="0" xfId="2" applyNumberFormat="1" applyFont="1" applyFill="1" applyProtection="1">
      <alignment vertical="center"/>
      <protection hidden="1"/>
    </xf>
    <xf numFmtId="0" fontId="8" fillId="6" borderId="93" xfId="0" applyFont="1" applyFill="1" applyBorder="1" applyAlignment="1" applyProtection="1">
      <alignment horizontal="center" vertical="center"/>
      <protection hidden="1"/>
    </xf>
    <xf numFmtId="14" fontId="7" fillId="2" borderId="59" xfId="0" applyNumberFormat="1" applyFont="1" applyFill="1" applyBorder="1" applyAlignment="1" applyProtection="1">
      <alignment horizontal="center" vertical="center"/>
      <protection hidden="1"/>
    </xf>
    <xf numFmtId="0" fontId="12" fillId="2" borderId="0" xfId="0" applyNumberFormat="1" applyFont="1" applyFill="1" applyAlignment="1" applyProtection="1">
      <alignment horizontal="left" vertical="center"/>
      <protection hidden="1"/>
    </xf>
    <xf numFmtId="0" fontId="12" fillId="2" borderId="0" xfId="0" applyNumberFormat="1" applyFont="1" applyFill="1" applyProtection="1">
      <alignment vertical="center"/>
      <protection hidden="1"/>
    </xf>
    <xf numFmtId="0" fontId="12" fillId="2" borderId="0" xfId="2" applyNumberFormat="1" applyFont="1" applyFill="1" applyAlignment="1" applyProtection="1">
      <alignment horizontal="left" vertical="center"/>
      <protection hidden="1"/>
    </xf>
    <xf numFmtId="0" fontId="5" fillId="2" borderId="0" xfId="0" applyNumberFormat="1" applyFont="1" applyFill="1" applyAlignment="1" applyProtection="1">
      <alignment horizontal="left" vertical="center"/>
      <protection hidden="1"/>
    </xf>
    <xf numFmtId="0" fontId="5" fillId="2" borderId="0" xfId="0" applyNumberFormat="1" applyFont="1" applyFill="1" applyProtection="1">
      <alignment vertical="center"/>
      <protection hidden="1"/>
    </xf>
    <xf numFmtId="0" fontId="12" fillId="3" borderId="58" xfId="0" applyFont="1" applyFill="1" applyBorder="1" applyProtection="1">
      <alignment vertical="center"/>
      <protection hidden="1"/>
    </xf>
    <xf numFmtId="0" fontId="13" fillId="3" borderId="16" xfId="0" applyFont="1" applyFill="1" applyBorder="1" applyAlignment="1" applyProtection="1">
      <alignment vertical="center"/>
      <protection hidden="1"/>
    </xf>
    <xf numFmtId="0" fontId="8" fillId="3" borderId="16" xfId="0" applyFont="1" applyFill="1" applyBorder="1" applyAlignment="1" applyProtection="1">
      <alignment vertical="center"/>
      <protection hidden="1"/>
    </xf>
    <xf numFmtId="0" fontId="12" fillId="3" borderId="59" xfId="0" applyFont="1" applyFill="1" applyBorder="1" applyAlignment="1" applyProtection="1">
      <alignment vertical="center"/>
      <protection hidden="1"/>
    </xf>
    <xf numFmtId="0" fontId="12" fillId="3" borderId="56" xfId="0" applyFont="1" applyFill="1" applyBorder="1" applyProtection="1">
      <alignment vertical="center"/>
      <protection hidden="1"/>
    </xf>
    <xf numFmtId="0" fontId="13" fillId="3" borderId="22" xfId="0" applyFont="1" applyFill="1" applyBorder="1" applyAlignment="1" applyProtection="1">
      <alignment vertical="center"/>
      <protection hidden="1"/>
    </xf>
    <xf numFmtId="0" fontId="8" fillId="3" borderId="22" xfId="0" applyFont="1" applyFill="1" applyBorder="1" applyAlignment="1" applyProtection="1">
      <alignment vertical="center"/>
      <protection hidden="1"/>
    </xf>
    <xf numFmtId="0" fontId="12" fillId="3" borderId="57" xfId="0" applyFont="1" applyFill="1" applyBorder="1" applyAlignment="1" applyProtection="1">
      <alignment vertical="center"/>
      <protection hidden="1"/>
    </xf>
    <xf numFmtId="0" fontId="5" fillId="2" borderId="0" xfId="2" applyNumberFormat="1" applyFont="1" applyFill="1" applyBorder="1" applyAlignment="1" applyProtection="1">
      <alignment horizontal="left" vertical="center"/>
      <protection hidden="1"/>
    </xf>
    <xf numFmtId="0" fontId="12" fillId="2" borderId="0" xfId="0" applyFont="1" applyFill="1" applyBorder="1" applyProtection="1">
      <alignment vertical="center"/>
      <protection hidden="1"/>
    </xf>
    <xf numFmtId="0" fontId="32" fillId="2" borderId="0" xfId="0" applyFont="1" applyFill="1" applyBorder="1" applyAlignment="1" applyProtection="1">
      <alignment horizontal="left"/>
      <protection hidden="1"/>
    </xf>
    <xf numFmtId="0" fontId="33" fillId="2" borderId="0" xfId="0" applyFont="1" applyFill="1" applyBorder="1" applyAlignment="1" applyProtection="1">
      <alignment horizontal="left" vertical="center"/>
      <protection hidden="1"/>
    </xf>
    <xf numFmtId="0" fontId="21" fillId="2" borderId="0" xfId="0" applyFont="1" applyFill="1" applyAlignment="1" applyProtection="1">
      <alignment horizontal="center" vertical="center"/>
      <protection hidden="1"/>
    </xf>
    <xf numFmtId="183" fontId="30" fillId="2" borderId="0" xfId="0" applyNumberFormat="1" applyFont="1" applyFill="1" applyAlignment="1" applyProtection="1">
      <alignment horizontal="right" vertical="center"/>
      <protection hidden="1"/>
    </xf>
    <xf numFmtId="0" fontId="18" fillId="2" borderId="0" xfId="0" applyFont="1" applyFill="1" applyAlignment="1" applyProtection="1">
      <alignment horizontal="center" vertical="center"/>
      <protection hidden="1"/>
    </xf>
    <xf numFmtId="0" fontId="29" fillId="2" borderId="0" xfId="0" applyFont="1" applyFill="1" applyBorder="1" applyAlignment="1" applyProtection="1">
      <alignment horizontal="center"/>
      <protection hidden="1"/>
    </xf>
    <xf numFmtId="0" fontId="7" fillId="14" borderId="50" xfId="0" applyFont="1" applyFill="1" applyBorder="1" applyAlignment="1" applyProtection="1">
      <alignment horizontal="center" vertical="center"/>
      <protection hidden="1"/>
    </xf>
    <xf numFmtId="0" fontId="7" fillId="14" borderId="60" xfId="0" applyFont="1" applyFill="1" applyBorder="1" applyAlignment="1" applyProtection="1">
      <alignment horizontal="center" vertical="center"/>
      <protection hidden="1"/>
    </xf>
    <xf numFmtId="0" fontId="7" fillId="14" borderId="61" xfId="0" applyFont="1" applyFill="1" applyBorder="1" applyAlignment="1" applyProtection="1">
      <alignment horizontal="center" vertical="center"/>
      <protection hidden="1"/>
    </xf>
    <xf numFmtId="0" fontId="5" fillId="14" borderId="62" xfId="0" applyFont="1" applyFill="1" applyBorder="1" applyAlignment="1" applyProtection="1">
      <alignment horizontal="center" vertical="center"/>
      <protection hidden="1"/>
    </xf>
    <xf numFmtId="0" fontId="5" fillId="14" borderId="61" xfId="0" applyFont="1" applyFill="1" applyBorder="1" applyAlignment="1" applyProtection="1">
      <alignment horizontal="center" vertical="center"/>
      <protection hidden="1"/>
    </xf>
    <xf numFmtId="0" fontId="9" fillId="14" borderId="63" xfId="0" applyFont="1" applyFill="1" applyBorder="1" applyAlignment="1" applyProtection="1">
      <alignment horizontal="center" vertical="center"/>
      <protection hidden="1"/>
    </xf>
    <xf numFmtId="0" fontId="9" fillId="14" borderId="65" xfId="0" applyFont="1" applyFill="1" applyBorder="1" applyAlignment="1" applyProtection="1">
      <alignment horizontal="center" vertical="center"/>
      <protection hidden="1"/>
    </xf>
    <xf numFmtId="0" fontId="5" fillId="14" borderId="50" xfId="0" applyFont="1" applyFill="1" applyBorder="1" applyAlignment="1" applyProtection="1">
      <alignment horizontal="center" vertical="center"/>
      <protection hidden="1"/>
    </xf>
    <xf numFmtId="0" fontId="5" fillId="14" borderId="60" xfId="0" applyFont="1" applyFill="1" applyBorder="1" applyAlignment="1" applyProtection="1">
      <alignment horizontal="center" vertical="center"/>
      <protection hidden="1"/>
    </xf>
    <xf numFmtId="0" fontId="5" fillId="14" borderId="69" xfId="0" applyFont="1" applyFill="1" applyBorder="1" applyAlignment="1" applyProtection="1">
      <alignment horizontal="center" vertical="center"/>
      <protection hidden="1"/>
    </xf>
    <xf numFmtId="0" fontId="5" fillId="14" borderId="65" xfId="0" applyFont="1" applyFill="1" applyBorder="1" applyAlignment="1" applyProtection="1">
      <alignment horizontal="center" vertical="center"/>
      <protection hidden="1"/>
    </xf>
    <xf numFmtId="0" fontId="7" fillId="14" borderId="63" xfId="0" applyFont="1" applyFill="1" applyBorder="1" applyAlignment="1" applyProtection="1">
      <alignment horizontal="center" vertical="center"/>
      <protection hidden="1"/>
    </xf>
    <xf numFmtId="0" fontId="9" fillId="14" borderId="50" xfId="0" applyFont="1" applyFill="1" applyBorder="1" applyAlignment="1" applyProtection="1">
      <alignment horizontal="center" vertical="center"/>
      <protection hidden="1"/>
    </xf>
    <xf numFmtId="0" fontId="7" fillId="14" borderId="18" xfId="0" applyFont="1" applyFill="1" applyBorder="1" applyAlignment="1" applyProtection="1">
      <alignment horizontal="right" vertical="center"/>
      <protection hidden="1"/>
    </xf>
    <xf numFmtId="0" fontId="7" fillId="14" borderId="20" xfId="0" applyFont="1" applyFill="1" applyBorder="1" applyAlignment="1" applyProtection="1">
      <alignment horizontal="left" vertical="center"/>
      <protection hidden="1"/>
    </xf>
    <xf numFmtId="0" fontId="7" fillId="14" borderId="21" xfId="0" applyFont="1" applyFill="1" applyBorder="1" applyAlignment="1" applyProtection="1">
      <alignment horizontal="right" vertical="center"/>
      <protection hidden="1"/>
    </xf>
    <xf numFmtId="0" fontId="7" fillId="14" borderId="17" xfId="0" applyFont="1" applyFill="1" applyBorder="1" applyAlignment="1" applyProtection="1">
      <alignment horizontal="left" vertical="center"/>
      <protection hidden="1"/>
    </xf>
    <xf numFmtId="0" fontId="7" fillId="14" borderId="42" xfId="0" applyFont="1" applyFill="1" applyBorder="1" applyAlignment="1" applyProtection="1">
      <alignment horizontal="right" vertical="center"/>
      <protection hidden="1"/>
    </xf>
    <xf numFmtId="0" fontId="7" fillId="14" borderId="30" xfId="0" applyFont="1" applyFill="1" applyBorder="1" applyAlignment="1" applyProtection="1">
      <alignment horizontal="left" vertical="center"/>
      <protection hidden="1"/>
    </xf>
    <xf numFmtId="10" fontId="22" fillId="2" borderId="10" xfId="3" applyNumberFormat="1" applyFont="1" applyFill="1" applyBorder="1" applyAlignment="1" applyProtection="1">
      <alignment horizontal="center" vertical="center"/>
      <protection hidden="1"/>
    </xf>
    <xf numFmtId="10" fontId="22" fillId="2" borderId="0" xfId="3" applyNumberFormat="1" applyFont="1" applyFill="1" applyBorder="1" applyAlignment="1" applyProtection="1">
      <alignment horizontal="center" vertical="center"/>
      <protection hidden="1"/>
    </xf>
    <xf numFmtId="41" fontId="22" fillId="2" borderId="0" xfId="2" applyFont="1" applyFill="1" applyBorder="1" applyAlignment="1" applyProtection="1">
      <alignment horizontal="center" vertical="center"/>
      <protection hidden="1"/>
    </xf>
    <xf numFmtId="0" fontId="26" fillId="2" borderId="0" xfId="0" applyFont="1" applyFill="1" applyBorder="1" applyAlignment="1" applyProtection="1">
      <alignment horizontal="center" vertical="center"/>
      <protection hidden="1"/>
    </xf>
    <xf numFmtId="0" fontId="26" fillId="2" borderId="11" xfId="0" applyFont="1" applyFill="1" applyBorder="1" applyAlignment="1" applyProtection="1">
      <alignment horizontal="center" vertical="center"/>
      <protection hidden="1"/>
    </xf>
    <xf numFmtId="0" fontId="9" fillId="14" borderId="94" xfId="0" applyFont="1" applyFill="1" applyBorder="1" applyAlignment="1" applyProtection="1">
      <alignment horizontal="center" vertical="center"/>
      <protection hidden="1"/>
    </xf>
    <xf numFmtId="0" fontId="7" fillId="14" borderId="41" xfId="0" applyFont="1" applyFill="1" applyBorder="1" applyAlignment="1" applyProtection="1">
      <alignment horizontal="center" vertical="center"/>
      <protection hidden="1"/>
    </xf>
    <xf numFmtId="0" fontId="7" fillId="8" borderId="60" xfId="0" applyFont="1" applyFill="1" applyBorder="1" applyAlignment="1" applyProtection="1">
      <alignment horizontal="center" vertical="center"/>
      <protection hidden="1"/>
    </xf>
    <xf numFmtId="9" fontId="7" fillId="4" borderId="44" xfId="3" applyFont="1" applyFill="1" applyBorder="1" applyAlignment="1" applyProtection="1">
      <alignment horizontal="center" vertical="center"/>
      <protection locked="0" hidden="1"/>
    </xf>
    <xf numFmtId="0" fontId="14" fillId="2" borderId="13" xfId="0" applyFont="1" applyFill="1" applyBorder="1" applyAlignment="1" applyProtection="1">
      <alignment horizontal="center" vertical="center"/>
      <protection hidden="1"/>
    </xf>
    <xf numFmtId="14" fontId="15" fillId="2" borderId="13" xfId="0" applyNumberFormat="1" applyFont="1" applyFill="1" applyBorder="1" applyAlignment="1" applyProtection="1">
      <alignment horizontal="center" vertical="center"/>
      <protection hidden="1"/>
    </xf>
    <xf numFmtId="0" fontId="16" fillId="2" borderId="0" xfId="0" applyFont="1" applyFill="1" applyProtection="1">
      <alignment vertical="center"/>
      <protection hidden="1"/>
    </xf>
    <xf numFmtId="0" fontId="16" fillId="2" borderId="0" xfId="0" applyFont="1" applyFill="1" applyBorder="1" applyProtection="1">
      <alignment vertical="center"/>
      <protection hidden="1"/>
    </xf>
    <xf numFmtId="10" fontId="16" fillId="2" borderId="0" xfId="3" applyNumberFormat="1" applyFont="1" applyFill="1" applyProtection="1">
      <alignment vertical="center"/>
      <protection hidden="1"/>
    </xf>
    <xf numFmtId="0" fontId="15" fillId="7" borderId="82" xfId="0" applyFont="1" applyFill="1" applyBorder="1" applyAlignment="1" applyProtection="1">
      <alignment horizontal="center" vertical="center"/>
      <protection hidden="1"/>
    </xf>
    <xf numFmtId="0" fontId="15" fillId="7" borderId="83" xfId="0" applyFont="1" applyFill="1" applyBorder="1" applyAlignment="1" applyProtection="1">
      <alignment horizontal="center" vertical="center"/>
      <protection hidden="1"/>
    </xf>
    <xf numFmtId="0" fontId="15" fillId="2" borderId="0" xfId="0" applyFont="1" applyFill="1" applyBorder="1" applyAlignment="1" applyProtection="1">
      <alignment horizontal="center" vertical="center"/>
      <protection hidden="1"/>
    </xf>
    <xf numFmtId="41" fontId="16" fillId="2" borderId="0" xfId="2" applyFont="1" applyFill="1" applyBorder="1" applyProtection="1">
      <alignment vertical="center"/>
      <protection hidden="1"/>
    </xf>
    <xf numFmtId="10" fontId="16" fillId="2" borderId="89" xfId="3" applyNumberFormat="1" applyFont="1" applyFill="1" applyBorder="1" applyAlignment="1" applyProtection="1">
      <alignment horizontal="center" vertical="center"/>
      <protection hidden="1"/>
    </xf>
    <xf numFmtId="0" fontId="15" fillId="7" borderId="84" xfId="0" applyFont="1" applyFill="1" applyBorder="1" applyAlignment="1" applyProtection="1">
      <alignment horizontal="center" vertical="center"/>
      <protection hidden="1"/>
    </xf>
    <xf numFmtId="10" fontId="16" fillId="2" borderId="73" xfId="3" applyNumberFormat="1" applyFont="1" applyFill="1" applyBorder="1" applyAlignment="1" applyProtection="1">
      <alignment horizontal="center" vertical="center"/>
      <protection hidden="1"/>
    </xf>
    <xf numFmtId="0" fontId="15" fillId="2" borderId="0" xfId="0" applyFont="1" applyFill="1" applyProtection="1">
      <alignment vertical="center"/>
      <protection hidden="1"/>
    </xf>
    <xf numFmtId="10" fontId="16" fillId="2" borderId="90" xfId="3" applyNumberFormat="1" applyFont="1" applyFill="1" applyBorder="1" applyAlignment="1" applyProtection="1">
      <alignment horizontal="center" vertical="center"/>
      <protection hidden="1"/>
    </xf>
    <xf numFmtId="0" fontId="15" fillId="2" borderId="86" xfId="0" applyFont="1" applyFill="1" applyBorder="1" applyAlignment="1" applyProtection="1">
      <alignment horizontal="center" vertical="center"/>
      <protection hidden="1"/>
    </xf>
    <xf numFmtId="10" fontId="16" fillId="2" borderId="86" xfId="0" applyNumberFormat="1" applyFont="1" applyFill="1" applyBorder="1" applyAlignment="1" applyProtection="1">
      <alignment horizontal="center" vertical="center"/>
      <protection hidden="1"/>
    </xf>
    <xf numFmtId="0" fontId="15" fillId="2" borderId="76" xfId="0" applyFont="1" applyFill="1" applyBorder="1" applyAlignment="1" applyProtection="1">
      <alignment horizontal="center" vertical="center"/>
      <protection hidden="1"/>
    </xf>
    <xf numFmtId="10" fontId="16" fillId="2" borderId="76" xfId="3" applyNumberFormat="1" applyFont="1" applyFill="1" applyBorder="1" applyAlignment="1" applyProtection="1">
      <alignment horizontal="center" vertical="center"/>
      <protection hidden="1"/>
    </xf>
    <xf numFmtId="0" fontId="14" fillId="2" borderId="1" xfId="0" applyFont="1" applyFill="1" applyBorder="1" applyAlignment="1" applyProtection="1">
      <alignment horizontal="center" vertical="center"/>
      <protection hidden="1"/>
    </xf>
    <xf numFmtId="0" fontId="16" fillId="2" borderId="3" xfId="0" applyFont="1" applyFill="1" applyBorder="1" applyProtection="1">
      <alignment vertical="center"/>
      <protection hidden="1"/>
    </xf>
    <xf numFmtId="0" fontId="15" fillId="2" borderId="0" xfId="0" applyFont="1" applyFill="1" applyAlignment="1" applyProtection="1">
      <alignment horizontal="center" vertical="center"/>
      <protection hidden="1"/>
    </xf>
    <xf numFmtId="41" fontId="16" fillId="2" borderId="0" xfId="2" applyFont="1" applyFill="1" applyProtection="1">
      <alignment vertical="center"/>
      <protection hidden="1"/>
    </xf>
    <xf numFmtId="0" fontId="15" fillId="2" borderId="0" xfId="0" applyFont="1" applyFill="1" applyBorder="1" applyProtection="1">
      <alignment vertical="center"/>
      <protection hidden="1"/>
    </xf>
    <xf numFmtId="0" fontId="15" fillId="2" borderId="145" xfId="0" applyFont="1" applyFill="1" applyBorder="1" applyAlignment="1" applyProtection="1">
      <alignment horizontal="center" vertical="center"/>
      <protection hidden="1"/>
    </xf>
    <xf numFmtId="10" fontId="16" fillId="2" borderId="89" xfId="0" applyNumberFormat="1" applyFont="1" applyFill="1" applyBorder="1" applyAlignment="1" applyProtection="1">
      <alignment horizontal="center" vertical="center"/>
      <protection hidden="1"/>
    </xf>
    <xf numFmtId="10" fontId="16" fillId="2" borderId="90" xfId="0" applyNumberFormat="1" applyFont="1" applyFill="1" applyBorder="1" applyAlignment="1" applyProtection="1">
      <alignment horizontal="center" vertical="center"/>
      <protection hidden="1"/>
    </xf>
    <xf numFmtId="176" fontId="16" fillId="2" borderId="1" xfId="3" applyNumberFormat="1" applyFont="1" applyFill="1" applyBorder="1" applyAlignment="1" applyProtection="1">
      <alignment horizontal="center" vertical="center"/>
      <protection hidden="1"/>
    </xf>
    <xf numFmtId="41" fontId="16" fillId="2" borderId="105" xfId="2" applyFont="1" applyFill="1" applyBorder="1" applyProtection="1">
      <alignment vertical="center"/>
      <protection hidden="1"/>
    </xf>
    <xf numFmtId="10" fontId="16" fillId="2" borderId="44" xfId="3" applyNumberFormat="1" applyFont="1" applyFill="1" applyBorder="1" applyAlignment="1" applyProtection="1">
      <alignment horizontal="center" vertical="center"/>
      <protection hidden="1"/>
    </xf>
    <xf numFmtId="41" fontId="16" fillId="2" borderId="17" xfId="2" applyFont="1" applyFill="1" applyBorder="1" applyAlignment="1" applyProtection="1">
      <alignment vertical="center"/>
      <protection hidden="1"/>
    </xf>
    <xf numFmtId="0" fontId="14" fillId="7" borderId="141" xfId="0" applyFont="1" applyFill="1" applyBorder="1" applyAlignment="1" applyProtection="1">
      <alignment horizontal="center" vertical="center"/>
      <protection hidden="1"/>
    </xf>
    <xf numFmtId="0" fontId="15" fillId="2" borderId="142" xfId="0" applyFont="1" applyFill="1" applyBorder="1" applyAlignment="1" applyProtection="1">
      <alignment horizontal="center" vertical="center"/>
      <protection hidden="1"/>
    </xf>
    <xf numFmtId="10" fontId="16" fillId="2" borderId="144" xfId="3" applyNumberFormat="1" applyFont="1" applyFill="1" applyBorder="1" applyAlignment="1" applyProtection="1">
      <alignment horizontal="center" vertical="center"/>
      <protection hidden="1"/>
    </xf>
    <xf numFmtId="41" fontId="16" fillId="2" borderId="143" xfId="2" applyFont="1" applyFill="1" applyBorder="1" applyAlignment="1" applyProtection="1">
      <alignment vertical="center"/>
      <protection hidden="1"/>
    </xf>
    <xf numFmtId="10" fontId="16" fillId="2" borderId="144" xfId="2" applyNumberFormat="1" applyFont="1" applyFill="1" applyBorder="1" applyAlignment="1" applyProtection="1">
      <alignment horizontal="center" vertical="center"/>
      <protection hidden="1"/>
    </xf>
    <xf numFmtId="0" fontId="15" fillId="7" borderId="140" xfId="0" applyFont="1" applyFill="1" applyBorder="1" applyAlignment="1" applyProtection="1">
      <alignment horizontal="center" vertical="center"/>
      <protection hidden="1"/>
    </xf>
    <xf numFmtId="0" fontId="15" fillId="5" borderId="108" xfId="0" applyFont="1" applyFill="1" applyBorder="1" applyAlignment="1" applyProtection="1">
      <alignment horizontal="center" vertical="center"/>
      <protection hidden="1"/>
    </xf>
    <xf numFmtId="41" fontId="15" fillId="2" borderId="50" xfId="2" applyFont="1" applyFill="1" applyBorder="1" applyAlignment="1" applyProtection="1">
      <alignment vertical="center"/>
      <protection hidden="1"/>
    </xf>
    <xf numFmtId="0" fontId="15" fillId="2" borderId="82" xfId="0" applyFont="1" applyFill="1" applyBorder="1" applyAlignment="1" applyProtection="1">
      <alignment horizontal="center" vertical="center"/>
      <protection hidden="1"/>
    </xf>
    <xf numFmtId="0" fontId="15" fillId="2" borderId="83" xfId="0" applyFont="1" applyFill="1" applyBorder="1" applyAlignment="1" applyProtection="1">
      <alignment horizontal="center" vertical="center"/>
      <protection hidden="1"/>
    </xf>
    <xf numFmtId="10" fontId="16" fillId="2" borderId="0" xfId="3" applyNumberFormat="1" applyFont="1" applyFill="1" applyBorder="1" applyProtection="1">
      <alignment vertical="center"/>
      <protection hidden="1"/>
    </xf>
    <xf numFmtId="0" fontId="16" fillId="7" borderId="70" xfId="0" applyFont="1" applyFill="1" applyBorder="1" applyAlignment="1" applyProtection="1">
      <alignment horizontal="center" vertical="center"/>
      <protection hidden="1"/>
    </xf>
    <xf numFmtId="0" fontId="16" fillId="2" borderId="71" xfId="0" applyFont="1" applyFill="1" applyBorder="1" applyProtection="1">
      <alignment vertical="center"/>
      <protection hidden="1"/>
    </xf>
    <xf numFmtId="0" fontId="16" fillId="7" borderId="73" xfId="0" applyFont="1" applyFill="1" applyBorder="1" applyAlignment="1" applyProtection="1">
      <alignment horizontal="center" vertical="center"/>
      <protection hidden="1"/>
    </xf>
    <xf numFmtId="10" fontId="16" fillId="2" borderId="15" xfId="3" applyNumberFormat="1" applyFont="1" applyFill="1" applyBorder="1" applyAlignment="1" applyProtection="1">
      <alignment horizontal="center" vertical="center"/>
      <protection hidden="1"/>
    </xf>
    <xf numFmtId="0" fontId="16" fillId="7" borderId="76" xfId="0" applyFont="1" applyFill="1" applyBorder="1" applyAlignment="1" applyProtection="1">
      <alignment horizontal="center" vertical="center"/>
      <protection hidden="1"/>
    </xf>
    <xf numFmtId="10" fontId="16" fillId="2" borderId="77" xfId="3" applyNumberFormat="1" applyFont="1" applyFill="1" applyBorder="1" applyAlignment="1" applyProtection="1">
      <alignment horizontal="center" vertical="center"/>
      <protection hidden="1"/>
    </xf>
    <xf numFmtId="0" fontId="16" fillId="2" borderId="31" xfId="0" applyFont="1" applyFill="1" applyBorder="1" applyProtection="1">
      <alignment vertical="center"/>
      <protection hidden="1"/>
    </xf>
    <xf numFmtId="0" fontId="16" fillId="2" borderId="7" xfId="0" applyFont="1" applyFill="1" applyBorder="1" applyAlignment="1" applyProtection="1">
      <alignment horizontal="center" vertical="center"/>
      <protection hidden="1"/>
    </xf>
    <xf numFmtId="41" fontId="16" fillId="2" borderId="7" xfId="2" applyFont="1" applyFill="1" applyBorder="1" applyAlignment="1" applyProtection="1">
      <alignment horizontal="center" vertical="center"/>
      <protection hidden="1"/>
    </xf>
    <xf numFmtId="0" fontId="7" fillId="2" borderId="0" xfId="0" applyFont="1" applyFill="1" applyProtection="1">
      <alignment vertical="center"/>
      <protection hidden="1"/>
    </xf>
    <xf numFmtId="0" fontId="3" fillId="2" borderId="0" xfId="0" applyFont="1" applyFill="1" applyProtection="1">
      <alignment vertical="center"/>
      <protection hidden="1"/>
    </xf>
    <xf numFmtId="41" fontId="3" fillId="2" borderId="0" xfId="2" applyFont="1" applyFill="1" applyProtection="1">
      <alignment vertical="center"/>
      <protection hidden="1"/>
    </xf>
    <xf numFmtId="10" fontId="3" fillId="2" borderId="0" xfId="3" applyNumberFormat="1" applyFont="1" applyFill="1" applyProtection="1">
      <alignment vertical="center"/>
      <protection hidden="1"/>
    </xf>
    <xf numFmtId="0" fontId="3" fillId="2" borderId="0" xfId="0" applyFont="1" applyFill="1" applyBorder="1" applyProtection="1">
      <alignment vertical="center"/>
      <protection hidden="1"/>
    </xf>
    <xf numFmtId="0" fontId="7" fillId="7" borderId="82" xfId="0" applyFont="1" applyFill="1" applyBorder="1" applyAlignment="1" applyProtection="1">
      <alignment horizontal="center" vertical="center"/>
      <protection hidden="1"/>
    </xf>
    <xf numFmtId="0" fontId="7" fillId="7" borderId="83" xfId="0" applyFont="1" applyFill="1" applyBorder="1" applyAlignment="1" applyProtection="1">
      <alignment horizontal="center" vertical="center"/>
      <protection hidden="1"/>
    </xf>
    <xf numFmtId="0" fontId="7" fillId="2" borderId="0" xfId="0" applyFont="1" applyFill="1" applyBorder="1" applyAlignment="1" applyProtection="1">
      <alignment horizontal="center" vertical="center"/>
      <protection hidden="1"/>
    </xf>
    <xf numFmtId="41" fontId="3" fillId="2" borderId="0" xfId="2" applyFont="1" applyFill="1" applyBorder="1" applyProtection="1">
      <alignment vertical="center"/>
      <protection hidden="1"/>
    </xf>
    <xf numFmtId="0" fontId="7" fillId="7" borderId="51" xfId="0" applyFont="1" applyFill="1" applyBorder="1" applyAlignment="1" applyProtection="1">
      <alignment horizontal="center" vertical="center"/>
      <protection hidden="1"/>
    </xf>
    <xf numFmtId="10" fontId="3" fillId="2" borderId="108" xfId="3" applyNumberFormat="1" applyFont="1" applyFill="1" applyBorder="1" applyAlignment="1" applyProtection="1">
      <alignment horizontal="center" vertical="center"/>
      <protection hidden="1"/>
    </xf>
    <xf numFmtId="0" fontId="7" fillId="2" borderId="86" xfId="0" applyFont="1" applyFill="1" applyBorder="1" applyAlignment="1" applyProtection="1">
      <alignment horizontal="center" vertical="center"/>
      <protection hidden="1"/>
    </xf>
    <xf numFmtId="10" fontId="3" fillId="2" borderId="86" xfId="3" applyNumberFormat="1" applyFont="1" applyFill="1" applyBorder="1" applyAlignment="1" applyProtection="1">
      <alignment horizontal="center" vertical="center"/>
      <protection hidden="1"/>
    </xf>
    <xf numFmtId="0" fontId="7" fillId="2" borderId="76" xfId="0" applyFont="1" applyFill="1" applyBorder="1" applyAlignment="1" applyProtection="1">
      <alignment horizontal="center" vertical="center"/>
      <protection hidden="1"/>
    </xf>
    <xf numFmtId="10" fontId="3" fillId="2" borderId="76" xfId="3" applyNumberFormat="1" applyFont="1" applyFill="1" applyBorder="1" applyAlignment="1" applyProtection="1">
      <alignment horizontal="center" vertical="center"/>
      <protection hidden="1"/>
    </xf>
    <xf numFmtId="10" fontId="3" fillId="2" borderId="76" xfId="0" applyNumberFormat="1" applyFont="1" applyFill="1" applyBorder="1" applyAlignment="1" applyProtection="1">
      <alignment horizontal="center" vertical="center"/>
      <protection hidden="1"/>
    </xf>
    <xf numFmtId="0" fontId="7" fillId="2" borderId="1" xfId="0" applyFont="1" applyFill="1" applyBorder="1" applyAlignment="1" applyProtection="1">
      <alignment horizontal="center" vertical="center"/>
      <protection hidden="1"/>
    </xf>
    <xf numFmtId="0" fontId="3" fillId="2" borderId="3" xfId="0" applyFont="1" applyFill="1" applyBorder="1" applyProtection="1">
      <alignment vertical="center"/>
      <protection hidden="1"/>
    </xf>
    <xf numFmtId="0" fontId="7" fillId="2" borderId="0" xfId="0" applyFont="1" applyFill="1" applyBorder="1" applyProtection="1">
      <alignment vertical="center"/>
      <protection hidden="1"/>
    </xf>
    <xf numFmtId="0" fontId="7" fillId="5" borderId="13" xfId="0" applyFont="1" applyFill="1" applyBorder="1" applyAlignment="1" applyProtection="1">
      <alignment horizontal="center" vertical="center"/>
      <protection hidden="1"/>
    </xf>
    <xf numFmtId="10" fontId="3" fillId="2" borderId="89" xfId="0" applyNumberFormat="1" applyFont="1" applyFill="1" applyBorder="1" applyAlignment="1" applyProtection="1">
      <alignment horizontal="center" vertical="center"/>
      <protection hidden="1"/>
    </xf>
    <xf numFmtId="10" fontId="3" fillId="2" borderId="89" xfId="3" applyNumberFormat="1" applyFont="1" applyFill="1" applyBorder="1" applyAlignment="1" applyProtection="1">
      <alignment horizontal="center" vertical="center"/>
      <protection hidden="1"/>
    </xf>
    <xf numFmtId="0" fontId="7" fillId="2" borderId="0" xfId="0" applyFont="1" applyFill="1" applyAlignment="1" applyProtection="1">
      <alignment horizontal="center" vertical="center"/>
      <protection hidden="1"/>
    </xf>
    <xf numFmtId="10" fontId="3" fillId="2" borderId="90" xfId="0" applyNumberFormat="1" applyFont="1" applyFill="1" applyBorder="1" applyAlignment="1" applyProtection="1">
      <alignment horizontal="center" vertical="center"/>
      <protection hidden="1"/>
    </xf>
    <xf numFmtId="10" fontId="3" fillId="2" borderId="90" xfId="3" applyNumberFormat="1" applyFont="1" applyFill="1" applyBorder="1" applyAlignment="1" applyProtection="1">
      <alignment horizontal="center" vertical="center"/>
      <protection hidden="1"/>
    </xf>
    <xf numFmtId="0" fontId="7" fillId="7" borderId="70" xfId="0" applyFont="1" applyFill="1" applyBorder="1" applyAlignment="1" applyProtection="1">
      <alignment horizontal="center" vertical="center"/>
      <protection hidden="1"/>
    </xf>
    <xf numFmtId="0" fontId="3" fillId="2" borderId="31" xfId="0" applyFont="1" applyFill="1" applyBorder="1" applyAlignment="1" applyProtection="1">
      <alignment horizontal="center" vertical="center"/>
      <protection hidden="1"/>
    </xf>
    <xf numFmtId="10" fontId="3" fillId="2" borderId="150" xfId="3" applyNumberFormat="1" applyFont="1" applyFill="1" applyBorder="1" applyAlignment="1" applyProtection="1">
      <alignment horizontal="center" vertical="center"/>
      <protection hidden="1"/>
    </xf>
    <xf numFmtId="41" fontId="3" fillId="2" borderId="72" xfId="2" applyFont="1" applyFill="1" applyBorder="1" applyAlignment="1" applyProtection="1">
      <alignment vertical="center"/>
      <protection hidden="1"/>
    </xf>
    <xf numFmtId="176" fontId="3" fillId="2" borderId="1" xfId="3" applyNumberFormat="1" applyFont="1" applyFill="1" applyBorder="1" applyAlignment="1" applyProtection="1">
      <alignment horizontal="center" vertical="center"/>
      <protection hidden="1"/>
    </xf>
    <xf numFmtId="41" fontId="3" fillId="2" borderId="1" xfId="2" applyFont="1" applyFill="1" applyBorder="1" applyProtection="1">
      <alignment vertical="center"/>
      <protection hidden="1"/>
    </xf>
    <xf numFmtId="0" fontId="7" fillId="7" borderId="76" xfId="0" applyFont="1" applyFill="1" applyBorder="1" applyAlignment="1" applyProtection="1">
      <alignment horizontal="center" vertical="center"/>
      <protection hidden="1"/>
    </xf>
    <xf numFmtId="10" fontId="3" fillId="2" borderId="151" xfId="3" applyNumberFormat="1" applyFont="1" applyFill="1" applyBorder="1" applyAlignment="1" applyProtection="1">
      <alignment horizontal="center" vertical="center"/>
      <protection hidden="1"/>
    </xf>
    <xf numFmtId="41" fontId="3" fillId="2" borderId="78" xfId="2" applyFont="1" applyFill="1" applyBorder="1" applyAlignment="1" applyProtection="1">
      <alignment vertical="center"/>
      <protection hidden="1"/>
    </xf>
    <xf numFmtId="0" fontId="3" fillId="2" borderId="71" xfId="0" applyFont="1" applyFill="1" applyBorder="1" applyProtection="1">
      <alignment vertical="center"/>
      <protection hidden="1"/>
    </xf>
    <xf numFmtId="0" fontId="7" fillId="7" borderId="13" xfId="0" applyFont="1" applyFill="1" applyBorder="1" applyAlignment="1" applyProtection="1">
      <alignment horizontal="center" vertical="center"/>
      <protection hidden="1"/>
    </xf>
    <xf numFmtId="0" fontId="3" fillId="2" borderId="5" xfId="0" applyFont="1" applyFill="1" applyBorder="1" applyProtection="1">
      <alignment vertical="center"/>
      <protection hidden="1"/>
    </xf>
    <xf numFmtId="0" fontId="7" fillId="7" borderId="75" xfId="0" applyFont="1" applyFill="1" applyBorder="1" applyAlignment="1" applyProtection="1">
      <alignment horizontal="center" vertical="center"/>
      <protection hidden="1"/>
    </xf>
    <xf numFmtId="0" fontId="3" fillId="2" borderId="33" xfId="0" applyFont="1" applyFill="1" applyBorder="1" applyProtection="1">
      <alignment vertical="center"/>
      <protection hidden="1"/>
    </xf>
    <xf numFmtId="0" fontId="7" fillId="7" borderId="12" xfId="0" applyFont="1" applyFill="1" applyBorder="1" applyAlignment="1" applyProtection="1">
      <alignment horizontal="center" vertical="center"/>
      <protection hidden="1"/>
    </xf>
    <xf numFmtId="0" fontId="3" fillId="2" borderId="35" xfId="0" applyFont="1" applyFill="1" applyBorder="1" applyProtection="1">
      <alignment vertical="center"/>
      <protection hidden="1"/>
    </xf>
    <xf numFmtId="41" fontId="7" fillId="2" borderId="0" xfId="2" applyFont="1" applyFill="1" applyProtection="1">
      <alignment vertical="center"/>
      <protection hidden="1"/>
    </xf>
    <xf numFmtId="41" fontId="7" fillId="2" borderId="1" xfId="2" applyFont="1" applyFill="1" applyBorder="1" applyAlignment="1" applyProtection="1">
      <alignment horizontal="center" vertical="center"/>
      <protection hidden="1"/>
    </xf>
    <xf numFmtId="0" fontId="6" fillId="2" borderId="0" xfId="0" applyFont="1" applyFill="1" applyProtection="1">
      <alignment vertical="center"/>
      <protection hidden="1"/>
    </xf>
    <xf numFmtId="0" fontId="6" fillId="2" borderId="0" xfId="0" applyFont="1" applyFill="1" applyBorder="1" applyProtection="1">
      <alignment vertical="center"/>
      <protection hidden="1"/>
    </xf>
    <xf numFmtId="0" fontId="12" fillId="2" borderId="0" xfId="0" applyNumberFormat="1" applyFont="1" applyFill="1" applyAlignment="1" applyProtection="1">
      <alignment horizontal="left" vertical="center"/>
      <protection locked="0" hidden="1"/>
    </xf>
    <xf numFmtId="0" fontId="12" fillId="2" borderId="0" xfId="0" applyNumberFormat="1" applyFont="1" applyFill="1" applyProtection="1">
      <alignment vertical="center"/>
      <protection locked="0" hidden="1"/>
    </xf>
    <xf numFmtId="0" fontId="12" fillId="2" borderId="0" xfId="0" applyFont="1" applyFill="1" applyProtection="1">
      <alignment vertical="center"/>
      <protection locked="0" hidden="1"/>
    </xf>
    <xf numFmtId="0" fontId="12" fillId="2" borderId="0" xfId="2" applyNumberFormat="1" applyFont="1" applyFill="1" applyAlignment="1" applyProtection="1">
      <alignment horizontal="left" vertical="center"/>
      <protection locked="0" hidden="1"/>
    </xf>
    <xf numFmtId="0" fontId="12" fillId="2" borderId="0" xfId="2" applyNumberFormat="1" applyFont="1" applyFill="1" applyProtection="1">
      <alignment vertical="center"/>
      <protection locked="0" hidden="1"/>
    </xf>
    <xf numFmtId="0" fontId="37" fillId="2" borderId="0" xfId="0" applyFont="1" applyFill="1">
      <alignment vertical="center"/>
    </xf>
    <xf numFmtId="0" fontId="37" fillId="2" borderId="0" xfId="0" quotePrefix="1" applyFont="1" applyFill="1">
      <alignment vertical="center"/>
    </xf>
    <xf numFmtId="0" fontId="5" fillId="2" borderId="156" xfId="0" applyFont="1" applyFill="1" applyBorder="1" applyAlignment="1">
      <alignment horizontal="center" vertical="center"/>
    </xf>
    <xf numFmtId="0" fontId="5" fillId="2" borderId="66" xfId="0" applyFont="1" applyFill="1" applyBorder="1" applyAlignment="1">
      <alignment horizontal="center" vertical="center"/>
    </xf>
    <xf numFmtId="0" fontId="5" fillId="2" borderId="53" xfId="0" applyFont="1" applyFill="1" applyBorder="1">
      <alignment vertical="center"/>
    </xf>
    <xf numFmtId="0" fontId="5" fillId="2" borderId="157" xfId="0" applyFont="1" applyFill="1" applyBorder="1" applyAlignment="1">
      <alignment horizontal="center" vertical="center"/>
    </xf>
    <xf numFmtId="9" fontId="5" fillId="2" borderId="145" xfId="0" applyNumberFormat="1" applyFont="1" applyFill="1" applyBorder="1">
      <alignment vertical="center"/>
    </xf>
    <xf numFmtId="0" fontId="5" fillId="2" borderId="22" xfId="0" applyFont="1" applyFill="1" applyBorder="1">
      <alignment vertical="center"/>
    </xf>
    <xf numFmtId="0" fontId="5" fillId="2" borderId="57" xfId="0" applyFont="1" applyFill="1" applyBorder="1">
      <alignment vertical="center"/>
    </xf>
    <xf numFmtId="10" fontId="5" fillId="2" borderId="105" xfId="3" applyNumberFormat="1" applyFont="1" applyFill="1" applyBorder="1" applyAlignment="1">
      <alignment horizontal="center" vertical="center"/>
    </xf>
    <xf numFmtId="0" fontId="5" fillId="2" borderId="62" xfId="0" applyFont="1" applyFill="1" applyBorder="1">
      <alignment vertical="center"/>
    </xf>
    <xf numFmtId="0" fontId="5" fillId="2" borderId="61" xfId="0" applyFont="1" applyFill="1" applyBorder="1">
      <alignment vertical="center"/>
    </xf>
    <xf numFmtId="0" fontId="5" fillId="2" borderId="50" xfId="0" applyFont="1" applyFill="1" applyBorder="1" applyAlignment="1">
      <alignment horizontal="center" vertical="center"/>
    </xf>
    <xf numFmtId="0" fontId="5" fillId="2" borderId="62" xfId="0" applyFont="1" applyFill="1" applyBorder="1" applyAlignment="1">
      <alignment horizontal="center" vertical="center"/>
    </xf>
    <xf numFmtId="0" fontId="5" fillId="2" borderId="61" xfId="0" applyFont="1" applyFill="1" applyBorder="1" applyAlignment="1">
      <alignment horizontal="center" vertical="center"/>
    </xf>
    <xf numFmtId="176" fontId="5" fillId="2" borderId="62" xfId="3" applyNumberFormat="1" applyFont="1" applyFill="1" applyBorder="1" applyAlignment="1">
      <alignment horizontal="center" vertical="center"/>
    </xf>
    <xf numFmtId="176" fontId="5" fillId="2" borderId="61" xfId="3" applyNumberFormat="1" applyFont="1" applyFill="1" applyBorder="1" applyAlignment="1">
      <alignment horizontal="center" vertical="center"/>
    </xf>
    <xf numFmtId="0" fontId="5" fillId="2" borderId="93" xfId="0" applyFont="1" applyFill="1" applyBorder="1" applyAlignment="1">
      <alignment horizontal="center" vertical="center"/>
    </xf>
    <xf numFmtId="0" fontId="5" fillId="2" borderId="160" xfId="0" applyFont="1" applyFill="1" applyBorder="1" applyAlignment="1">
      <alignment horizontal="center" vertical="center"/>
    </xf>
    <xf numFmtId="0" fontId="5" fillId="2" borderId="161" xfId="0" applyFont="1" applyFill="1" applyBorder="1" applyAlignment="1">
      <alignment horizontal="center" vertical="center"/>
    </xf>
    <xf numFmtId="0" fontId="5" fillId="2" borderId="162" xfId="0" applyFont="1" applyFill="1" applyBorder="1" applyAlignment="1">
      <alignment horizontal="center" vertical="center"/>
    </xf>
    <xf numFmtId="0" fontId="5" fillId="2" borderId="163" xfId="0" applyFont="1" applyFill="1" applyBorder="1" applyAlignment="1">
      <alignment horizontal="center" vertical="center"/>
    </xf>
    <xf numFmtId="41" fontId="5" fillId="2" borderId="164" xfId="2" applyFont="1" applyFill="1" applyBorder="1">
      <alignment vertical="center"/>
    </xf>
    <xf numFmtId="41" fontId="5" fillId="2" borderId="165" xfId="2" applyFont="1" applyFill="1" applyBorder="1">
      <alignment vertical="center"/>
    </xf>
    <xf numFmtId="0" fontId="5" fillId="2" borderId="166" xfId="0" applyFont="1" applyFill="1" applyBorder="1" applyAlignment="1">
      <alignment horizontal="center" vertical="center"/>
    </xf>
    <xf numFmtId="41" fontId="5" fillId="2" borderId="167" xfId="2" applyFont="1" applyFill="1" applyBorder="1">
      <alignment vertical="center"/>
    </xf>
    <xf numFmtId="41" fontId="5" fillId="2" borderId="168" xfId="2" applyFont="1" applyFill="1" applyBorder="1">
      <alignment vertical="center"/>
    </xf>
    <xf numFmtId="176" fontId="5" fillId="2" borderId="163" xfId="3" applyNumberFormat="1" applyFont="1" applyFill="1" applyBorder="1" applyAlignment="1">
      <alignment horizontal="center" vertical="center"/>
    </xf>
    <xf numFmtId="176" fontId="5" fillId="2" borderId="164" xfId="3" applyNumberFormat="1" applyFont="1" applyFill="1" applyBorder="1" applyAlignment="1">
      <alignment horizontal="center" vertical="center"/>
    </xf>
    <xf numFmtId="176" fontId="5" fillId="2" borderId="165" xfId="3" applyNumberFormat="1" applyFont="1" applyFill="1" applyBorder="1" applyAlignment="1">
      <alignment horizontal="center" vertical="center"/>
    </xf>
    <xf numFmtId="176" fontId="5" fillId="2" borderId="166" xfId="3" applyNumberFormat="1" applyFont="1" applyFill="1" applyBorder="1" applyAlignment="1">
      <alignment horizontal="center" vertical="center"/>
    </xf>
    <xf numFmtId="176" fontId="5" fillId="2" borderId="167" xfId="3" applyNumberFormat="1" applyFont="1" applyFill="1" applyBorder="1" applyAlignment="1">
      <alignment horizontal="center" vertical="center"/>
    </xf>
    <xf numFmtId="176" fontId="5" fillId="2" borderId="168" xfId="3" applyNumberFormat="1" applyFont="1" applyFill="1" applyBorder="1" applyAlignment="1">
      <alignment horizontal="center" vertical="center"/>
    </xf>
    <xf numFmtId="9" fontId="5" fillId="2" borderId="163" xfId="3" applyFont="1" applyFill="1" applyBorder="1" applyAlignment="1">
      <alignment horizontal="center" vertical="center"/>
    </xf>
    <xf numFmtId="9" fontId="5" fillId="2" borderId="164" xfId="3" applyFont="1" applyFill="1" applyBorder="1" applyAlignment="1">
      <alignment horizontal="center" vertical="center"/>
    </xf>
    <xf numFmtId="9" fontId="5" fillId="2" borderId="165" xfId="3" applyFont="1" applyFill="1" applyBorder="1" applyAlignment="1">
      <alignment horizontal="center" vertical="center"/>
    </xf>
    <xf numFmtId="9" fontId="5" fillId="2" borderId="166" xfId="3" applyFont="1" applyFill="1" applyBorder="1" applyAlignment="1">
      <alignment horizontal="center" vertical="center"/>
    </xf>
    <xf numFmtId="9" fontId="5" fillId="2" borderId="167" xfId="3" applyFont="1" applyFill="1" applyBorder="1" applyAlignment="1">
      <alignment horizontal="center" vertical="center"/>
    </xf>
    <xf numFmtId="9" fontId="5" fillId="2" borderId="168" xfId="3" applyFont="1" applyFill="1" applyBorder="1" applyAlignment="1">
      <alignment horizontal="center" vertical="center"/>
    </xf>
    <xf numFmtId="0" fontId="5" fillId="2" borderId="169" xfId="0" applyFont="1" applyFill="1" applyBorder="1" applyAlignment="1">
      <alignment horizontal="center" vertical="center"/>
    </xf>
    <xf numFmtId="176" fontId="5" fillId="2" borderId="170" xfId="3" applyNumberFormat="1" applyFont="1" applyFill="1" applyBorder="1" applyAlignment="1">
      <alignment horizontal="center" vertical="center"/>
    </xf>
    <xf numFmtId="0" fontId="6" fillId="2" borderId="160" xfId="0" applyFont="1" applyFill="1" applyBorder="1" applyAlignment="1">
      <alignment horizontal="center" vertical="center" wrapText="1" shrinkToFit="1"/>
    </xf>
    <xf numFmtId="0" fontId="6" fillId="2" borderId="161" xfId="0" applyFont="1" applyFill="1" applyBorder="1" applyAlignment="1">
      <alignment horizontal="center" vertical="center" shrinkToFit="1"/>
    </xf>
    <xf numFmtId="0" fontId="6" fillId="2" borderId="161" xfId="0" applyFont="1" applyFill="1" applyBorder="1" applyAlignment="1">
      <alignment horizontal="center" vertical="center" wrapText="1" shrinkToFit="1"/>
    </xf>
    <xf numFmtId="0" fontId="6" fillId="2" borderId="162" xfId="0" applyFont="1" applyFill="1" applyBorder="1" applyAlignment="1">
      <alignment horizontal="center" vertical="center" wrapText="1" shrinkToFit="1"/>
    </xf>
    <xf numFmtId="0" fontId="5" fillId="2" borderId="171" xfId="0" applyFont="1" applyFill="1" applyBorder="1" applyAlignment="1">
      <alignment horizontal="center" vertical="center"/>
    </xf>
    <xf numFmtId="10" fontId="5" fillId="2" borderId="171" xfId="3" applyNumberFormat="1" applyFont="1" applyFill="1" applyBorder="1" applyAlignment="1">
      <alignment horizontal="center" vertical="center"/>
    </xf>
    <xf numFmtId="10" fontId="5" fillId="2" borderId="171" xfId="0" applyNumberFormat="1" applyFont="1" applyFill="1" applyBorder="1" applyAlignment="1">
      <alignment horizontal="center" vertical="center"/>
    </xf>
    <xf numFmtId="41" fontId="5" fillId="2" borderId="171" xfId="2" applyFont="1" applyFill="1" applyBorder="1" applyAlignment="1">
      <alignment horizontal="center" vertical="center"/>
    </xf>
    <xf numFmtId="0" fontId="5" fillId="2" borderId="170" xfId="0" applyFont="1" applyFill="1" applyBorder="1" applyAlignment="1">
      <alignment horizontal="center" vertical="center"/>
    </xf>
    <xf numFmtId="0" fontId="5" fillId="2" borderId="164" xfId="0" applyFont="1" applyFill="1" applyBorder="1" applyAlignment="1">
      <alignment horizontal="center" vertical="center"/>
    </xf>
    <xf numFmtId="10" fontId="5" fillId="2" borderId="164" xfId="3" applyNumberFormat="1" applyFont="1" applyFill="1" applyBorder="1" applyAlignment="1">
      <alignment horizontal="center" vertical="center"/>
    </xf>
    <xf numFmtId="10" fontId="5" fillId="2" borderId="164" xfId="0" applyNumberFormat="1" applyFont="1" applyFill="1" applyBorder="1" applyAlignment="1">
      <alignment horizontal="center" vertical="center"/>
    </xf>
    <xf numFmtId="41" fontId="5" fillId="2" borderId="164" xfId="2" applyFont="1" applyFill="1" applyBorder="1" applyAlignment="1">
      <alignment horizontal="center" vertical="center"/>
    </xf>
    <xf numFmtId="0" fontId="5" fillId="2" borderId="165" xfId="0" applyFont="1" applyFill="1" applyBorder="1" applyAlignment="1">
      <alignment horizontal="center" vertical="center"/>
    </xf>
    <xf numFmtId="0" fontId="5" fillId="2" borderId="167" xfId="0" applyFont="1" applyFill="1" applyBorder="1" applyAlignment="1">
      <alignment horizontal="center" vertical="center"/>
    </xf>
    <xf numFmtId="10" fontId="5" fillId="2" borderId="167" xfId="3" applyNumberFormat="1" applyFont="1" applyFill="1" applyBorder="1" applyAlignment="1">
      <alignment horizontal="center" vertical="center"/>
    </xf>
    <xf numFmtId="10" fontId="5" fillId="2" borderId="167" xfId="0" applyNumberFormat="1" applyFont="1" applyFill="1" applyBorder="1" applyAlignment="1">
      <alignment horizontal="center" vertical="center"/>
    </xf>
    <xf numFmtId="41" fontId="5" fillId="2" borderId="167" xfId="2" applyFont="1" applyFill="1" applyBorder="1" applyAlignment="1">
      <alignment horizontal="center" vertical="center"/>
    </xf>
    <xf numFmtId="0" fontId="5" fillId="2" borderId="168" xfId="0" applyFont="1" applyFill="1" applyBorder="1" applyAlignment="1">
      <alignment horizontal="center" vertical="center"/>
    </xf>
    <xf numFmtId="10" fontId="3" fillId="2" borderId="0" xfId="3" applyNumberFormat="1" applyFont="1" applyFill="1" applyAlignment="1">
      <alignment horizontal="center" vertical="center"/>
    </xf>
    <xf numFmtId="0" fontId="5" fillId="2" borderId="0" xfId="0" applyFont="1" applyFill="1" applyAlignment="1">
      <alignment horizontal="center" vertical="center"/>
    </xf>
    <xf numFmtId="0" fontId="15" fillId="2" borderId="1" xfId="0" applyFont="1" applyFill="1" applyBorder="1" applyAlignment="1" applyProtection="1">
      <alignment horizontal="center" vertical="center"/>
      <protection hidden="1"/>
    </xf>
    <xf numFmtId="0" fontId="38" fillId="2" borderId="0" xfId="0" applyFont="1" applyFill="1" applyBorder="1">
      <alignment vertical="center"/>
    </xf>
    <xf numFmtId="0" fontId="39" fillId="2" borderId="0" xfId="0" applyFont="1" applyFill="1">
      <alignment vertical="center"/>
    </xf>
    <xf numFmtId="0" fontId="39" fillId="2" borderId="0" xfId="0" quotePrefix="1" applyFont="1" applyFill="1">
      <alignment vertical="center"/>
    </xf>
    <xf numFmtId="176" fontId="3" fillId="0" borderId="0" xfId="3" applyNumberFormat="1" applyFont="1">
      <alignment vertical="center"/>
    </xf>
    <xf numFmtId="41" fontId="16" fillId="2" borderId="173" xfId="2" applyFont="1" applyFill="1" applyBorder="1" applyProtection="1">
      <alignment vertical="center"/>
      <protection hidden="1"/>
    </xf>
    <xf numFmtId="41" fontId="40" fillId="2" borderId="0" xfId="2" applyNumberFormat="1" applyFont="1" applyFill="1" applyAlignment="1" applyProtection="1">
      <alignment horizontal="left" vertical="center"/>
      <protection hidden="1"/>
    </xf>
    <xf numFmtId="0" fontId="38" fillId="2" borderId="0" xfId="0" applyFont="1" applyFill="1" applyProtection="1">
      <alignment vertical="center"/>
      <protection hidden="1"/>
    </xf>
    <xf numFmtId="0" fontId="5" fillId="2" borderId="0" xfId="0" applyFont="1" applyFill="1" applyAlignment="1" applyProtection="1">
      <alignment horizontal="right" vertical="center"/>
      <protection hidden="1"/>
    </xf>
    <xf numFmtId="0" fontId="5" fillId="2" borderId="1" xfId="0" applyFont="1" applyFill="1" applyBorder="1" applyAlignment="1" applyProtection="1">
      <alignment horizontal="center" vertical="center"/>
      <protection hidden="1"/>
    </xf>
    <xf numFmtId="0" fontId="5" fillId="2" borderId="1" xfId="0" applyFont="1" applyFill="1" applyBorder="1" applyAlignment="1" applyProtection="1">
      <alignment horizontal="center" vertical="center" wrapText="1"/>
      <protection hidden="1"/>
    </xf>
    <xf numFmtId="0" fontId="5" fillId="2" borderId="1" xfId="0" applyFont="1" applyFill="1" applyBorder="1" applyProtection="1">
      <alignment vertical="center"/>
      <protection hidden="1"/>
    </xf>
    <xf numFmtId="0" fontId="39" fillId="2" borderId="0" xfId="0" applyFont="1" applyFill="1" applyProtection="1">
      <alignment vertical="center"/>
      <protection hidden="1"/>
    </xf>
    <xf numFmtId="0" fontId="0" fillId="2" borderId="0" xfId="0" applyFill="1" applyProtection="1">
      <alignment vertical="center"/>
      <protection hidden="1"/>
    </xf>
    <xf numFmtId="0" fontId="43" fillId="2" borderId="0" xfId="0" applyFont="1" applyFill="1" applyAlignment="1" applyProtection="1">
      <alignment horizontal="center" vertical="center"/>
      <protection hidden="1"/>
    </xf>
    <xf numFmtId="0" fontId="0" fillId="2" borderId="0" xfId="0" applyFill="1" applyAlignment="1" applyProtection="1">
      <alignment vertical="center" wrapText="1"/>
      <protection hidden="1"/>
    </xf>
    <xf numFmtId="0" fontId="0" fillId="2" borderId="0" xfId="0" applyFill="1" applyAlignment="1" applyProtection="1">
      <alignment vertical="center"/>
      <protection hidden="1"/>
    </xf>
    <xf numFmtId="0" fontId="0" fillId="2" borderId="0" xfId="0" applyFill="1" applyAlignment="1" applyProtection="1">
      <alignment horizontal="left" vertical="center"/>
      <protection hidden="1"/>
    </xf>
    <xf numFmtId="0" fontId="50" fillId="2" borderId="0" xfId="0" applyFont="1" applyFill="1" applyBorder="1" applyAlignment="1" applyProtection="1">
      <alignment horizontal="left" vertical="center" wrapText="1"/>
      <protection hidden="1"/>
    </xf>
    <xf numFmtId="0" fontId="50" fillId="2" borderId="0" xfId="0" applyFont="1" applyFill="1" applyBorder="1" applyAlignment="1" applyProtection="1">
      <alignment horizontal="left" vertical="center"/>
      <protection hidden="1"/>
    </xf>
    <xf numFmtId="0" fontId="51" fillId="2" borderId="0" xfId="0" applyFont="1" applyFill="1" applyAlignment="1" applyProtection="1">
      <alignment horizontal="right" vertical="center"/>
      <protection hidden="1"/>
    </xf>
    <xf numFmtId="0" fontId="51" fillId="2" borderId="8" xfId="0" applyFont="1" applyFill="1" applyBorder="1" applyAlignment="1" applyProtection="1">
      <alignment horizontal="right" vertical="center"/>
      <protection hidden="1"/>
    </xf>
    <xf numFmtId="0" fontId="5" fillId="2" borderId="0" xfId="0" applyFont="1" applyFill="1" applyBorder="1" applyAlignment="1" applyProtection="1">
      <alignment horizontal="center" vertical="center"/>
      <protection hidden="1"/>
    </xf>
    <xf numFmtId="0" fontId="14" fillId="7" borderId="96" xfId="0" applyFont="1" applyFill="1" applyBorder="1" applyAlignment="1" applyProtection="1">
      <alignment horizontal="center" vertical="center"/>
      <protection hidden="1"/>
    </xf>
    <xf numFmtId="0" fontId="14" fillId="7" borderId="97" xfId="0" applyFont="1" applyFill="1" applyBorder="1" applyAlignment="1" applyProtection="1">
      <alignment horizontal="center" vertical="center"/>
      <protection hidden="1"/>
    </xf>
    <xf numFmtId="0" fontId="14" fillId="7" borderId="41" xfId="0" applyFont="1" applyFill="1" applyBorder="1" applyAlignment="1" applyProtection="1">
      <alignment horizontal="center" vertical="center"/>
      <protection hidden="1"/>
    </xf>
    <xf numFmtId="0" fontId="14" fillId="7" borderId="103" xfId="0" applyFont="1" applyFill="1" applyBorder="1" applyAlignment="1" applyProtection="1">
      <alignment horizontal="center" vertical="center"/>
      <protection hidden="1"/>
    </xf>
    <xf numFmtId="41" fontId="16" fillId="2" borderId="2" xfId="2" applyFont="1" applyFill="1" applyBorder="1" applyAlignment="1" applyProtection="1">
      <alignment horizontal="center" vertical="center"/>
      <protection hidden="1"/>
    </xf>
    <xf numFmtId="41" fontId="16" fillId="2" borderId="67" xfId="2" applyFont="1" applyFill="1" applyBorder="1" applyAlignment="1" applyProtection="1">
      <alignment horizontal="center" vertical="center"/>
      <protection hidden="1"/>
    </xf>
    <xf numFmtId="41" fontId="5" fillId="2" borderId="35" xfId="2" applyFont="1" applyFill="1" applyBorder="1" applyAlignment="1" applyProtection="1">
      <alignment horizontal="center" vertical="center"/>
      <protection hidden="1"/>
    </xf>
    <xf numFmtId="0" fontId="5" fillId="2" borderId="1" xfId="0" applyFont="1" applyFill="1" applyBorder="1" applyAlignment="1">
      <alignment horizontal="center" vertical="center"/>
    </xf>
    <xf numFmtId="0" fontId="5" fillId="2" borderId="51" xfId="0" applyFont="1" applyFill="1" applyBorder="1" applyAlignment="1">
      <alignment horizontal="center" vertical="center"/>
    </xf>
    <xf numFmtId="0" fontId="5" fillId="2" borderId="0" xfId="0" applyFont="1" applyFill="1" applyBorder="1" applyAlignment="1" applyProtection="1">
      <alignment horizontal="center" vertical="center"/>
      <protection hidden="1"/>
    </xf>
    <xf numFmtId="0" fontId="6" fillId="2" borderId="0" xfId="0" applyFont="1" applyFill="1" applyProtection="1">
      <alignment vertical="center"/>
      <protection locked="0" hidden="1"/>
    </xf>
    <xf numFmtId="0" fontId="31" fillId="2" borderId="0" xfId="0" applyFont="1" applyFill="1" applyProtection="1">
      <alignment vertical="center"/>
      <protection hidden="1"/>
    </xf>
    <xf numFmtId="0" fontId="3" fillId="2" borderId="152" xfId="0" applyFont="1" applyFill="1" applyBorder="1" applyAlignment="1">
      <alignment horizontal="center" vertical="center"/>
    </xf>
    <xf numFmtId="0" fontId="3" fillId="2" borderId="152" xfId="0" applyFont="1" applyFill="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57" fillId="2" borderId="0" xfId="0" applyFont="1" applyFill="1">
      <alignment vertical="center"/>
    </xf>
    <xf numFmtId="0" fontId="14" fillId="7" borderId="41" xfId="0" applyFont="1" applyFill="1" applyBorder="1" applyAlignment="1" applyProtection="1">
      <alignment horizontal="center" vertical="center"/>
      <protection hidden="1"/>
    </xf>
    <xf numFmtId="0" fontId="15" fillId="7" borderId="109" xfId="0" applyFont="1" applyFill="1" applyBorder="1" applyAlignment="1" applyProtection="1">
      <alignment horizontal="center" vertical="center"/>
      <protection hidden="1"/>
    </xf>
    <xf numFmtId="41" fontId="16" fillId="2" borderId="81" xfId="2" applyFont="1" applyFill="1" applyBorder="1" applyAlignment="1" applyProtection="1">
      <alignment horizontal="center" vertical="center"/>
      <protection hidden="1"/>
    </xf>
    <xf numFmtId="41" fontId="16" fillId="2" borderId="48" xfId="2" applyFont="1" applyFill="1" applyBorder="1" applyAlignment="1" applyProtection="1">
      <alignment horizontal="center" vertical="center"/>
      <protection hidden="1"/>
    </xf>
    <xf numFmtId="41" fontId="16" fillId="2" borderId="46" xfId="2" applyFont="1" applyFill="1" applyBorder="1" applyAlignment="1" applyProtection="1">
      <alignment horizontal="center" vertical="center"/>
      <protection hidden="1"/>
    </xf>
    <xf numFmtId="41" fontId="16" fillId="2" borderId="95" xfId="2" applyFont="1" applyFill="1" applyBorder="1" applyAlignment="1" applyProtection="1">
      <alignment horizontal="center" vertical="center"/>
      <protection hidden="1"/>
    </xf>
    <xf numFmtId="0" fontId="16" fillId="2" borderId="81" xfId="0" applyFont="1" applyFill="1" applyBorder="1" applyAlignment="1" applyProtection="1">
      <alignment horizontal="center" vertical="center"/>
      <protection hidden="1"/>
    </xf>
    <xf numFmtId="0" fontId="16" fillId="2" borderId="15" xfId="0" applyFont="1" applyFill="1" applyBorder="1" applyAlignment="1" applyProtection="1">
      <alignment horizontal="center" vertical="center"/>
      <protection hidden="1"/>
    </xf>
    <xf numFmtId="0" fontId="16" fillId="2" borderId="41" xfId="0" applyFont="1" applyFill="1" applyBorder="1" applyAlignment="1" applyProtection="1">
      <alignment horizontal="center" vertical="center"/>
      <protection hidden="1"/>
    </xf>
    <xf numFmtId="0" fontId="16" fillId="2" borderId="32" xfId="0" applyFont="1" applyFill="1" applyBorder="1" applyAlignment="1" applyProtection="1">
      <alignment horizontal="center" vertical="center"/>
      <protection hidden="1"/>
    </xf>
    <xf numFmtId="0" fontId="16" fillId="2" borderId="183" xfId="0" applyFont="1" applyFill="1" applyBorder="1" applyAlignment="1" applyProtection="1">
      <alignment horizontal="center" vertical="center"/>
      <protection hidden="1"/>
    </xf>
    <xf numFmtId="41" fontId="16" fillId="2" borderId="183" xfId="2" applyFont="1" applyFill="1" applyBorder="1" applyAlignment="1" applyProtection="1">
      <alignment horizontal="center" vertical="center"/>
      <protection hidden="1"/>
    </xf>
    <xf numFmtId="41" fontId="16" fillId="2" borderId="184" xfId="2" applyFont="1" applyFill="1" applyBorder="1" applyAlignment="1" applyProtection="1">
      <alignment vertical="center"/>
      <protection hidden="1"/>
    </xf>
    <xf numFmtId="41" fontId="16" fillId="2" borderId="173" xfId="0" applyNumberFormat="1" applyFont="1" applyFill="1" applyBorder="1" applyProtection="1">
      <alignment vertical="center"/>
      <protection hidden="1"/>
    </xf>
    <xf numFmtId="9" fontId="16" fillId="2" borderId="186" xfId="3" applyFont="1" applyFill="1" applyBorder="1" applyAlignment="1" applyProtection="1">
      <alignment horizontal="center" vertical="center"/>
      <protection hidden="1"/>
    </xf>
    <xf numFmtId="9" fontId="16" fillId="2" borderId="44" xfId="3" applyFont="1" applyFill="1" applyBorder="1" applyAlignment="1" applyProtection="1">
      <alignment horizontal="center" vertical="center"/>
      <protection hidden="1"/>
    </xf>
    <xf numFmtId="0" fontId="15" fillId="2" borderId="13" xfId="0" applyFont="1" applyFill="1" applyBorder="1" applyAlignment="1" applyProtection="1">
      <alignment horizontal="center" vertical="center"/>
      <protection hidden="1"/>
    </xf>
    <xf numFmtId="0" fontId="15" fillId="5" borderId="187" xfId="0" applyFont="1" applyFill="1" applyBorder="1" applyAlignment="1" applyProtection="1">
      <alignment horizontal="center" vertical="center"/>
      <protection hidden="1"/>
    </xf>
    <xf numFmtId="0" fontId="5" fillId="2" borderId="14" xfId="0" applyFont="1" applyFill="1" applyBorder="1" applyAlignment="1" applyProtection="1">
      <alignment horizontal="center" vertical="center"/>
      <protection hidden="1"/>
    </xf>
    <xf numFmtId="0" fontId="16" fillId="2" borderId="87" xfId="0" applyFont="1" applyFill="1" applyBorder="1" applyAlignment="1" applyProtection="1">
      <alignment horizontal="center" vertical="center"/>
      <protection hidden="1"/>
    </xf>
    <xf numFmtId="10" fontId="16" fillId="2" borderId="189" xfId="3" applyNumberFormat="1" applyFont="1" applyFill="1" applyBorder="1" applyAlignment="1" applyProtection="1">
      <alignment horizontal="center" vertical="center"/>
      <protection hidden="1"/>
    </xf>
    <xf numFmtId="41" fontId="16" fillId="2" borderId="43" xfId="2" applyFont="1" applyFill="1" applyBorder="1" applyAlignment="1" applyProtection="1">
      <alignment vertical="center"/>
      <protection hidden="1"/>
    </xf>
    <xf numFmtId="41" fontId="15" fillId="2" borderId="190" xfId="2" applyFont="1" applyFill="1" applyBorder="1" applyAlignment="1" applyProtection="1">
      <alignment horizontal="center" vertical="center"/>
      <protection hidden="1"/>
    </xf>
    <xf numFmtId="41" fontId="15" fillId="2" borderId="191" xfId="0" applyNumberFormat="1" applyFont="1" applyFill="1" applyBorder="1" applyProtection="1">
      <alignment vertical="center"/>
      <protection hidden="1"/>
    </xf>
    <xf numFmtId="41" fontId="16" fillId="2" borderId="43" xfId="2" applyFont="1" applyFill="1" applyBorder="1" applyProtection="1">
      <alignment vertical="center"/>
      <protection hidden="1"/>
    </xf>
    <xf numFmtId="184" fontId="17" fillId="2" borderId="0" xfId="2" applyNumberFormat="1" applyFont="1" applyFill="1" applyAlignment="1">
      <alignment horizontal="center" vertical="center"/>
    </xf>
    <xf numFmtId="10" fontId="17" fillId="2" borderId="1" xfId="3" applyNumberFormat="1" applyFont="1" applyFill="1" applyBorder="1" applyAlignment="1">
      <alignment horizontal="center" vertical="center" wrapText="1"/>
    </xf>
    <xf numFmtId="0" fontId="59" fillId="2" borderId="1" xfId="0" applyFont="1" applyFill="1" applyBorder="1">
      <alignment vertical="center"/>
    </xf>
    <xf numFmtId="9" fontId="6" fillId="2" borderId="0" xfId="2" applyNumberFormat="1" applyFont="1" applyFill="1" applyProtection="1">
      <alignment vertical="center"/>
      <protection hidden="1"/>
    </xf>
    <xf numFmtId="10" fontId="62" fillId="2" borderId="0" xfId="3" applyNumberFormat="1" applyFont="1" applyFill="1" applyProtection="1">
      <alignment vertical="center"/>
      <protection hidden="1"/>
    </xf>
    <xf numFmtId="0" fontId="54" fillId="6" borderId="2" xfId="0" applyFont="1" applyFill="1" applyBorder="1" applyAlignment="1">
      <alignment horizontal="center" vertical="center"/>
    </xf>
    <xf numFmtId="0" fontId="55" fillId="6" borderId="3" xfId="0" applyFont="1" applyFill="1" applyBorder="1" applyAlignment="1">
      <alignment horizontal="center" vertical="center"/>
    </xf>
    <xf numFmtId="0" fontId="55" fillId="6" borderId="4" xfId="0" applyFont="1" applyFill="1" applyBorder="1" applyAlignment="1">
      <alignment horizontal="center" vertical="center"/>
    </xf>
    <xf numFmtId="0" fontId="5" fillId="2" borderId="1" xfId="0" applyFont="1" applyFill="1" applyBorder="1" applyAlignment="1" applyProtection="1">
      <alignment horizontal="center" vertical="center"/>
      <protection hidden="1"/>
    </xf>
    <xf numFmtId="0" fontId="52" fillId="6" borderId="41" xfId="0" applyFont="1" applyFill="1" applyBorder="1" applyAlignment="1" applyProtection="1">
      <alignment horizontal="center" vertical="center"/>
      <protection hidden="1"/>
    </xf>
    <xf numFmtId="0" fontId="52" fillId="6" borderId="32" xfId="0" applyFont="1" applyFill="1" applyBorder="1" applyAlignment="1" applyProtection="1">
      <alignment horizontal="center" vertical="center"/>
      <protection hidden="1"/>
    </xf>
    <xf numFmtId="0" fontId="5" fillId="2" borderId="12" xfId="0" applyFont="1" applyFill="1" applyBorder="1" applyAlignment="1" applyProtection="1">
      <alignment horizontal="center" vertical="center"/>
      <protection hidden="1"/>
    </xf>
    <xf numFmtId="0" fontId="5" fillId="2" borderId="14" xfId="0" applyFont="1" applyFill="1" applyBorder="1" applyAlignment="1" applyProtection="1">
      <alignment horizontal="center" vertical="center"/>
      <protection hidden="1"/>
    </xf>
    <xf numFmtId="0" fontId="5" fillId="2" borderId="13" xfId="0" applyFont="1" applyFill="1" applyBorder="1" applyAlignment="1" applyProtection="1">
      <alignment horizontal="center" vertical="center"/>
      <protection hidden="1"/>
    </xf>
    <xf numFmtId="0" fontId="48" fillId="2" borderId="0" xfId="0" applyFont="1" applyFill="1" applyBorder="1" applyAlignment="1" applyProtection="1">
      <alignment horizontal="left" vertical="center" wrapText="1"/>
      <protection hidden="1"/>
    </xf>
    <xf numFmtId="0" fontId="46" fillId="2" borderId="0" xfId="0" applyFont="1" applyFill="1" applyAlignment="1" applyProtection="1">
      <alignment horizontal="center" vertical="center"/>
      <protection hidden="1"/>
    </xf>
    <xf numFmtId="0" fontId="41" fillId="2" borderId="0" xfId="0" applyFont="1" applyFill="1" applyAlignment="1" applyProtection="1">
      <alignment horizontal="center" vertical="center"/>
      <protection hidden="1"/>
    </xf>
    <xf numFmtId="0" fontId="44" fillId="2" borderId="0" xfId="0" applyFont="1" applyFill="1" applyAlignment="1" applyProtection="1">
      <alignment vertical="center" wrapText="1"/>
      <protection hidden="1"/>
    </xf>
    <xf numFmtId="0" fontId="44" fillId="2" borderId="0" xfId="0" applyFont="1" applyFill="1" applyAlignment="1" applyProtection="1">
      <alignment vertical="center"/>
      <protection hidden="1"/>
    </xf>
    <xf numFmtId="0" fontId="46" fillId="2" borderId="0" xfId="0" applyFont="1" applyFill="1" applyAlignment="1" applyProtection="1">
      <alignment vertical="center" wrapText="1"/>
      <protection hidden="1"/>
    </xf>
    <xf numFmtId="0" fontId="56" fillId="2" borderId="0" xfId="0" applyFont="1" applyFill="1" applyAlignment="1" applyProtection="1">
      <alignment horizontal="center" vertical="center"/>
      <protection hidden="1"/>
    </xf>
    <xf numFmtId="0" fontId="28" fillId="2" borderId="127" xfId="0" applyFont="1" applyFill="1" applyBorder="1" applyAlignment="1" applyProtection="1">
      <alignment horizontal="center" vertical="center"/>
      <protection hidden="1"/>
    </xf>
    <xf numFmtId="0" fontId="28" fillId="2" borderId="128" xfId="0" applyFont="1" applyFill="1" applyBorder="1" applyAlignment="1" applyProtection="1">
      <alignment horizontal="center" vertical="center"/>
      <protection hidden="1"/>
    </xf>
    <xf numFmtId="0" fontId="28" fillId="2" borderId="131" xfId="0" applyFont="1" applyFill="1" applyBorder="1" applyAlignment="1" applyProtection="1">
      <alignment horizontal="center" vertical="center"/>
      <protection hidden="1"/>
    </xf>
    <xf numFmtId="0" fontId="28" fillId="2" borderId="132" xfId="0" applyFont="1" applyFill="1" applyBorder="1" applyAlignment="1" applyProtection="1">
      <alignment horizontal="center" vertical="center"/>
      <protection hidden="1"/>
    </xf>
    <xf numFmtId="0" fontId="23" fillId="8" borderId="51" xfId="0" applyFont="1" applyFill="1" applyBorder="1" applyAlignment="1" applyProtection="1">
      <alignment horizontal="center" vertical="center"/>
      <protection hidden="1"/>
    </xf>
    <xf numFmtId="0" fontId="23" fillId="8" borderId="108" xfId="0" applyFont="1" applyFill="1" applyBorder="1" applyAlignment="1" applyProtection="1">
      <alignment horizontal="center" vertical="center"/>
      <protection hidden="1"/>
    </xf>
    <xf numFmtId="0" fontId="28" fillId="2" borderId="9" xfId="0" applyFont="1" applyFill="1" applyBorder="1" applyAlignment="1" applyProtection="1">
      <alignment horizontal="center" vertical="center"/>
      <protection hidden="1"/>
    </xf>
    <xf numFmtId="0" fontId="28" fillId="2" borderId="14" xfId="0" applyFont="1" applyFill="1" applyBorder="1" applyAlignment="1" applyProtection="1">
      <alignment horizontal="center" vertical="center"/>
      <protection hidden="1"/>
    </xf>
    <xf numFmtId="41" fontId="24" fillId="2" borderId="133" xfId="0" applyNumberFormat="1" applyFont="1" applyFill="1" applyBorder="1" applyAlignment="1" applyProtection="1">
      <alignment horizontal="center" vertical="center"/>
      <protection hidden="1"/>
    </xf>
    <xf numFmtId="41" fontId="24" fillId="2" borderId="134" xfId="0" applyNumberFormat="1" applyFont="1" applyFill="1" applyBorder="1" applyAlignment="1" applyProtection="1">
      <alignment horizontal="center" vertical="center"/>
      <protection hidden="1"/>
    </xf>
    <xf numFmtId="41" fontId="24" fillId="2" borderId="131" xfId="0" applyNumberFormat="1" applyFont="1" applyFill="1" applyBorder="1" applyAlignment="1" applyProtection="1">
      <alignment horizontal="center" vertical="center"/>
      <protection hidden="1"/>
    </xf>
    <xf numFmtId="180" fontId="28" fillId="2" borderId="7" xfId="0" applyNumberFormat="1" applyFont="1" applyFill="1" applyBorder="1" applyAlignment="1" applyProtection="1">
      <alignment horizontal="center" vertical="center"/>
      <protection hidden="1"/>
    </xf>
    <xf numFmtId="180" fontId="28" fillId="2" borderId="8" xfId="0" applyNumberFormat="1" applyFont="1" applyFill="1" applyBorder="1" applyAlignment="1" applyProtection="1">
      <alignment horizontal="center" vertical="center"/>
      <protection hidden="1"/>
    </xf>
    <xf numFmtId="180" fontId="28" fillId="2" borderId="9" xfId="0" applyNumberFormat="1" applyFont="1" applyFill="1" applyBorder="1" applyAlignment="1" applyProtection="1">
      <alignment horizontal="center" vertical="center"/>
      <protection hidden="1"/>
    </xf>
    <xf numFmtId="41" fontId="24" fillId="2" borderId="129" xfId="0" applyNumberFormat="1" applyFont="1" applyFill="1" applyBorder="1" applyAlignment="1" applyProtection="1">
      <alignment horizontal="center" vertical="center"/>
      <protection hidden="1"/>
    </xf>
    <xf numFmtId="41" fontId="24" fillId="2" borderId="130" xfId="0" applyNumberFormat="1" applyFont="1" applyFill="1" applyBorder="1" applyAlignment="1" applyProtection="1">
      <alignment horizontal="center" vertical="center"/>
      <protection hidden="1"/>
    </xf>
    <xf numFmtId="41" fontId="24" fillId="2" borderId="127" xfId="0" applyNumberFormat="1" applyFont="1" applyFill="1" applyBorder="1" applyAlignment="1" applyProtection="1">
      <alignment horizontal="center" vertical="center"/>
      <protection hidden="1"/>
    </xf>
    <xf numFmtId="41" fontId="24" fillId="2" borderId="145" xfId="0" applyNumberFormat="1" applyFont="1" applyFill="1" applyBorder="1" applyAlignment="1" applyProtection="1">
      <alignment horizontal="center" vertical="center"/>
      <protection hidden="1"/>
    </xf>
    <xf numFmtId="41" fontId="24" fillId="2" borderId="121" xfId="0" applyNumberFormat="1" applyFont="1" applyFill="1" applyBorder="1" applyAlignment="1" applyProtection="1">
      <alignment horizontal="center" vertical="center"/>
      <protection hidden="1"/>
    </xf>
    <xf numFmtId="41" fontId="24" fillId="2" borderId="122" xfId="0" applyNumberFormat="1" applyFont="1" applyFill="1" applyBorder="1" applyAlignment="1" applyProtection="1">
      <alignment horizontal="center" vertical="center"/>
      <protection hidden="1"/>
    </xf>
    <xf numFmtId="41" fontId="23" fillId="2" borderId="145" xfId="0" applyNumberFormat="1" applyFont="1" applyFill="1" applyBorder="1" applyAlignment="1" applyProtection="1">
      <alignment horizontal="center" vertical="center"/>
      <protection hidden="1"/>
    </xf>
    <xf numFmtId="41" fontId="23" fillId="2" borderId="85" xfId="0" applyNumberFormat="1" applyFont="1" applyFill="1" applyBorder="1" applyAlignment="1" applyProtection="1">
      <alignment horizontal="center" vertical="center"/>
      <protection hidden="1"/>
    </xf>
    <xf numFmtId="0" fontId="23" fillId="2" borderId="107" xfId="0" applyFont="1" applyFill="1" applyBorder="1" applyAlignment="1" applyProtection="1">
      <alignment horizontal="center" vertical="center"/>
      <protection hidden="1"/>
    </xf>
    <xf numFmtId="0" fontId="23" fillId="14" borderId="139" xfId="0" applyFont="1" applyFill="1" applyBorder="1" applyAlignment="1" applyProtection="1">
      <alignment horizontal="center" vertical="center"/>
      <protection hidden="1"/>
    </xf>
    <xf numFmtId="183" fontId="30" fillId="2" borderId="0" xfId="0" applyNumberFormat="1" applyFont="1" applyFill="1" applyAlignment="1" applyProtection="1">
      <alignment horizontal="right" vertical="center"/>
      <protection hidden="1"/>
    </xf>
    <xf numFmtId="0" fontId="19" fillId="2" borderId="0" xfId="0" applyFont="1" applyFill="1" applyAlignment="1" applyProtection="1">
      <alignment horizontal="center" vertical="center"/>
      <protection hidden="1"/>
    </xf>
    <xf numFmtId="0" fontId="18" fillId="2" borderId="0" xfId="0" applyFont="1" applyFill="1" applyAlignment="1" applyProtection="1">
      <alignment horizontal="center" vertical="center"/>
      <protection hidden="1"/>
    </xf>
    <xf numFmtId="41" fontId="24" fillId="2" borderId="119" xfId="2" applyFont="1" applyFill="1" applyBorder="1" applyAlignment="1" applyProtection="1">
      <alignment horizontal="center" vertical="center"/>
      <protection hidden="1"/>
    </xf>
    <xf numFmtId="10" fontId="24" fillId="2" borderId="137" xfId="3" applyNumberFormat="1" applyFont="1" applyFill="1" applyBorder="1" applyAlignment="1" applyProtection="1">
      <alignment horizontal="center" vertical="center"/>
      <protection hidden="1"/>
    </xf>
    <xf numFmtId="10" fontId="24" fillId="2" borderId="119" xfId="3" applyNumberFormat="1" applyFont="1" applyFill="1" applyBorder="1" applyAlignment="1" applyProtection="1">
      <alignment horizontal="center" vertical="center"/>
      <protection hidden="1"/>
    </xf>
    <xf numFmtId="41" fontId="23" fillId="8" borderId="104" xfId="2" applyFont="1" applyFill="1" applyBorder="1" applyAlignment="1" applyProtection="1">
      <alignment horizontal="center" vertical="center"/>
      <protection hidden="1"/>
    </xf>
    <xf numFmtId="41" fontId="23" fillId="8" borderId="35" xfId="2" applyFont="1" applyFill="1" applyBorder="1" applyAlignment="1" applyProtection="1">
      <alignment horizontal="center" vertical="center"/>
      <protection hidden="1"/>
    </xf>
    <xf numFmtId="41" fontId="23" fillId="8" borderId="103" xfId="2" applyFont="1" applyFill="1" applyBorder="1" applyAlignment="1" applyProtection="1">
      <alignment horizontal="center" vertical="center"/>
      <protection hidden="1"/>
    </xf>
    <xf numFmtId="41" fontId="23" fillId="8" borderId="32" xfId="2" applyFont="1" applyFill="1" applyBorder="1" applyAlignment="1" applyProtection="1">
      <alignment horizontal="center" vertical="center"/>
      <protection hidden="1"/>
    </xf>
    <xf numFmtId="41" fontId="24" fillId="2" borderId="125" xfId="0" applyNumberFormat="1" applyFont="1" applyFill="1" applyBorder="1" applyAlignment="1" applyProtection="1">
      <alignment horizontal="center" vertical="center"/>
      <protection hidden="1"/>
    </xf>
    <xf numFmtId="41" fontId="24" fillId="2" borderId="126" xfId="0" applyNumberFormat="1" applyFont="1" applyFill="1" applyBorder="1" applyAlignment="1" applyProtection="1">
      <alignment horizontal="center" vertical="center"/>
      <protection hidden="1"/>
    </xf>
    <xf numFmtId="0" fontId="23" fillId="14" borderId="111" xfId="0" applyFont="1" applyFill="1" applyBorder="1" applyAlignment="1" applyProtection="1">
      <alignment horizontal="center" vertical="center"/>
      <protection hidden="1"/>
    </xf>
    <xf numFmtId="0" fontId="23" fillId="14" borderId="107" xfId="0" applyFont="1" applyFill="1" applyBorder="1" applyAlignment="1" applyProtection="1">
      <alignment horizontal="center" vertical="center"/>
      <protection hidden="1"/>
    </xf>
    <xf numFmtId="0" fontId="24" fillId="14" borderId="120" xfId="0" applyFont="1" applyFill="1" applyBorder="1" applyAlignment="1" applyProtection="1">
      <alignment horizontal="center" vertical="center"/>
      <protection hidden="1"/>
    </xf>
    <xf numFmtId="0" fontId="24" fillId="14" borderId="121" xfId="0" applyFont="1" applyFill="1" applyBorder="1" applyAlignment="1" applyProtection="1">
      <alignment horizontal="center" vertical="center"/>
      <protection hidden="1"/>
    </xf>
    <xf numFmtId="0" fontId="24" fillId="14" borderId="102" xfId="0" applyFont="1" applyFill="1" applyBorder="1" applyAlignment="1" applyProtection="1">
      <alignment horizontal="center" vertical="center"/>
      <protection hidden="1"/>
    </xf>
    <xf numFmtId="0" fontId="24" fillId="14" borderId="145" xfId="0" applyFont="1" applyFill="1" applyBorder="1" applyAlignment="1" applyProtection="1">
      <alignment horizontal="center" vertical="center"/>
      <protection hidden="1"/>
    </xf>
    <xf numFmtId="0" fontId="23" fillId="14" borderId="147" xfId="0" applyFont="1" applyFill="1" applyBorder="1" applyAlignment="1" applyProtection="1">
      <alignment horizontal="center" vertical="center"/>
      <protection locked="0"/>
    </xf>
    <xf numFmtId="0" fontId="23" fillId="14" borderId="148" xfId="0" applyFont="1" applyFill="1" applyBorder="1" applyAlignment="1" applyProtection="1">
      <alignment horizontal="center" vertical="center"/>
      <protection locked="0"/>
    </xf>
    <xf numFmtId="0" fontId="24" fillId="14" borderId="146" xfId="0" applyFont="1" applyFill="1" applyBorder="1" applyAlignment="1" applyProtection="1">
      <alignment horizontal="center" vertical="center"/>
      <protection hidden="1"/>
    </xf>
    <xf numFmtId="0" fontId="24" fillId="14" borderId="147" xfId="0" applyFont="1" applyFill="1" applyBorder="1" applyAlignment="1" applyProtection="1">
      <alignment horizontal="center" vertical="center"/>
      <protection hidden="1"/>
    </xf>
    <xf numFmtId="41" fontId="23" fillId="2" borderId="14" xfId="2" applyFont="1" applyFill="1" applyBorder="1" applyAlignment="1" applyProtection="1">
      <alignment horizontal="center" vertical="center"/>
      <protection hidden="1"/>
    </xf>
    <xf numFmtId="41" fontId="23" fillId="2" borderId="7" xfId="2" applyFont="1" applyFill="1" applyBorder="1" applyAlignment="1" applyProtection="1">
      <alignment horizontal="center" vertical="center"/>
      <protection hidden="1"/>
    </xf>
    <xf numFmtId="181" fontId="23" fillId="2" borderId="2" xfId="0" applyNumberFormat="1" applyFont="1" applyFill="1" applyBorder="1" applyAlignment="1" applyProtection="1">
      <alignment horizontal="center" vertical="center"/>
      <protection hidden="1"/>
    </xf>
    <xf numFmtId="181" fontId="23" fillId="2" borderId="3" xfId="0" applyNumberFormat="1" applyFont="1" applyFill="1" applyBorder="1" applyAlignment="1" applyProtection="1">
      <alignment horizontal="center" vertical="center"/>
      <protection hidden="1"/>
    </xf>
    <xf numFmtId="181" fontId="23" fillId="2" borderId="4" xfId="0" applyNumberFormat="1" applyFont="1" applyFill="1" applyBorder="1" applyAlignment="1" applyProtection="1">
      <alignment horizontal="center" vertical="center"/>
      <protection hidden="1"/>
    </xf>
    <xf numFmtId="0" fontId="28" fillId="2" borderId="4" xfId="0" applyFont="1" applyFill="1" applyBorder="1" applyAlignment="1" applyProtection="1">
      <alignment horizontal="center" vertical="center"/>
      <protection hidden="1"/>
    </xf>
    <xf numFmtId="0" fontId="28" fillId="2" borderId="1" xfId="0" applyFont="1" applyFill="1" applyBorder="1" applyAlignment="1" applyProtection="1">
      <alignment horizontal="center" vertical="center"/>
      <protection hidden="1"/>
    </xf>
    <xf numFmtId="0" fontId="24" fillId="14" borderId="97" xfId="0" applyFont="1" applyFill="1" applyBorder="1" applyAlignment="1" applyProtection="1">
      <alignment horizontal="center" vertical="center"/>
      <protection hidden="1"/>
    </xf>
    <xf numFmtId="0" fontId="24" fillId="14" borderId="138" xfId="0" applyFont="1" applyFill="1" applyBorder="1" applyAlignment="1" applyProtection="1">
      <alignment horizontal="center" vertical="center"/>
      <protection hidden="1"/>
    </xf>
    <xf numFmtId="0" fontId="24" fillId="14" borderId="6" xfId="0" applyFont="1" applyFill="1" applyBorder="1" applyAlignment="1" applyProtection="1">
      <alignment horizontal="center" vertical="center"/>
      <protection hidden="1"/>
    </xf>
    <xf numFmtId="0" fontId="24" fillId="14" borderId="13" xfId="0" applyFont="1" applyFill="1" applyBorder="1" applyAlignment="1" applyProtection="1">
      <alignment horizontal="center" vertical="center"/>
      <protection hidden="1"/>
    </xf>
    <xf numFmtId="41" fontId="24" fillId="2" borderId="138" xfId="0" applyNumberFormat="1" applyFont="1" applyFill="1" applyBorder="1" applyAlignment="1" applyProtection="1">
      <alignment horizontal="center" vertical="center"/>
      <protection hidden="1"/>
    </xf>
    <xf numFmtId="41" fontId="24" fillId="2" borderId="98" xfId="0" applyNumberFormat="1" applyFont="1" applyFill="1" applyBorder="1" applyAlignment="1" applyProtection="1">
      <alignment horizontal="center" vertical="center"/>
      <protection hidden="1"/>
    </xf>
    <xf numFmtId="41" fontId="24" fillId="2" borderId="13" xfId="0" applyNumberFormat="1" applyFont="1" applyFill="1" applyBorder="1" applyAlignment="1" applyProtection="1">
      <alignment horizontal="center" vertical="center"/>
      <protection hidden="1"/>
    </xf>
    <xf numFmtId="41" fontId="24" fillId="2" borderId="31" xfId="0" applyNumberFormat="1" applyFont="1" applyFill="1" applyBorder="1" applyAlignment="1" applyProtection="1">
      <alignment horizontal="center" vertical="center"/>
      <protection hidden="1"/>
    </xf>
    <xf numFmtId="0" fontId="28" fillId="2" borderId="47" xfId="0" applyFont="1" applyFill="1" applyBorder="1" applyAlignment="1" applyProtection="1">
      <alignment horizontal="center" vertical="center"/>
      <protection hidden="1"/>
    </xf>
    <xf numFmtId="0" fontId="28" fillId="2" borderId="139" xfId="0" applyFont="1" applyFill="1" applyBorder="1" applyAlignment="1" applyProtection="1">
      <alignment horizontal="center" vertical="center"/>
      <protection hidden="1"/>
    </xf>
    <xf numFmtId="41" fontId="23" fillId="2" borderId="139" xfId="0" applyNumberFormat="1" applyFont="1" applyFill="1" applyBorder="1" applyAlignment="1" applyProtection="1">
      <alignment horizontal="center" vertical="center"/>
      <protection hidden="1"/>
    </xf>
    <xf numFmtId="41" fontId="23" fillId="2" borderId="48" xfId="0" applyNumberFormat="1" applyFont="1" applyFill="1" applyBorder="1" applyAlignment="1" applyProtection="1">
      <alignment horizontal="center" vertical="center"/>
      <protection hidden="1"/>
    </xf>
    <xf numFmtId="41" fontId="23" fillId="8" borderId="115" xfId="0" applyNumberFormat="1" applyFont="1" applyFill="1" applyBorder="1" applyAlignment="1" applyProtection="1">
      <alignment horizontal="center" vertical="center"/>
      <protection hidden="1"/>
    </xf>
    <xf numFmtId="41" fontId="23" fillId="8" borderId="116" xfId="0" applyNumberFormat="1" applyFont="1" applyFill="1" applyBorder="1" applyAlignment="1" applyProtection="1">
      <alignment horizontal="center" vertical="center"/>
      <protection hidden="1"/>
    </xf>
    <xf numFmtId="41" fontId="23" fillId="8" borderId="117" xfId="0" applyNumberFormat="1" applyFont="1" applyFill="1" applyBorder="1" applyAlignment="1" applyProtection="1">
      <alignment horizontal="center" vertical="center"/>
      <protection hidden="1"/>
    </xf>
    <xf numFmtId="41" fontId="23" fillId="8" borderId="118" xfId="0" applyNumberFormat="1" applyFont="1" applyFill="1" applyBorder="1" applyAlignment="1" applyProtection="1">
      <alignment horizontal="center" vertical="center"/>
      <protection hidden="1"/>
    </xf>
    <xf numFmtId="0" fontId="20" fillId="2" borderId="0" xfId="0" applyFont="1" applyFill="1" applyAlignment="1" applyProtection="1">
      <alignment horizontal="right" vertical="center"/>
      <protection hidden="1"/>
    </xf>
    <xf numFmtId="41" fontId="24" fillId="2" borderId="71" xfId="2" applyFont="1" applyFill="1" applyBorder="1" applyAlignment="1" applyProtection="1">
      <alignment horizontal="center" vertical="center"/>
      <protection hidden="1"/>
    </xf>
    <xf numFmtId="41" fontId="24" fillId="2" borderId="72" xfId="2" applyFont="1" applyFill="1" applyBorder="1" applyAlignment="1" applyProtection="1">
      <alignment horizontal="center" vertical="center"/>
      <protection hidden="1"/>
    </xf>
    <xf numFmtId="41" fontId="24" fillId="2" borderId="33" xfId="2" applyFont="1" applyFill="1" applyBorder="1" applyAlignment="1" applyProtection="1">
      <alignment horizontal="center" vertical="center"/>
      <protection hidden="1"/>
    </xf>
    <xf numFmtId="41" fontId="24" fillId="2" borderId="24" xfId="2" applyFont="1" applyFill="1" applyBorder="1" applyAlignment="1" applyProtection="1">
      <alignment horizontal="center" vertical="center"/>
      <protection hidden="1"/>
    </xf>
    <xf numFmtId="10" fontId="24" fillId="2" borderId="79" xfId="3" applyNumberFormat="1" applyFont="1" applyFill="1" applyBorder="1" applyAlignment="1" applyProtection="1">
      <alignment horizontal="center" vertical="center"/>
      <protection hidden="1"/>
    </xf>
    <xf numFmtId="10" fontId="24" fillId="2" borderId="71" xfId="3" applyNumberFormat="1" applyFont="1" applyFill="1" applyBorder="1" applyAlignment="1" applyProtection="1">
      <alignment horizontal="center" vertical="center"/>
      <protection hidden="1"/>
    </xf>
    <xf numFmtId="10" fontId="24" fillId="2" borderId="23" xfId="3" applyNumberFormat="1" applyFont="1" applyFill="1" applyBorder="1" applyAlignment="1" applyProtection="1">
      <alignment horizontal="center" vertical="center"/>
      <protection hidden="1"/>
    </xf>
    <xf numFmtId="10" fontId="24" fillId="2" borderId="33" xfId="3" applyNumberFormat="1" applyFont="1" applyFill="1" applyBorder="1" applyAlignment="1" applyProtection="1">
      <alignment horizontal="center" vertical="center"/>
      <protection hidden="1"/>
    </xf>
    <xf numFmtId="182" fontId="28" fillId="2" borderId="16" xfId="0" applyNumberFormat="1" applyFont="1" applyFill="1" applyBorder="1" applyAlignment="1" applyProtection="1">
      <alignment horizontal="center" vertical="center"/>
      <protection hidden="1"/>
    </xf>
    <xf numFmtId="0" fontId="23" fillId="2" borderId="16" xfId="0" applyFont="1" applyFill="1" applyBorder="1" applyAlignment="1" applyProtection="1">
      <alignment horizontal="center" vertical="center"/>
      <protection hidden="1"/>
    </xf>
    <xf numFmtId="0" fontId="23" fillId="14" borderId="145" xfId="0" applyFont="1" applyFill="1" applyBorder="1" applyAlignment="1" applyProtection="1">
      <alignment horizontal="center" vertical="center"/>
      <protection hidden="1"/>
    </xf>
    <xf numFmtId="41" fontId="24" fillId="2" borderId="123" xfId="0" applyNumberFormat="1" applyFont="1" applyFill="1" applyBorder="1" applyAlignment="1" applyProtection="1">
      <alignment horizontal="center" vertical="center"/>
      <protection hidden="1"/>
    </xf>
    <xf numFmtId="0" fontId="28" fillId="2" borderId="2" xfId="0" applyFont="1" applyFill="1" applyBorder="1" applyAlignment="1" applyProtection="1">
      <alignment horizontal="center" vertical="center"/>
      <protection hidden="1"/>
    </xf>
    <xf numFmtId="0" fontId="28" fillId="2" borderId="3" xfId="0" applyFont="1" applyFill="1" applyBorder="1" applyAlignment="1" applyProtection="1">
      <alignment horizontal="center" vertical="center"/>
      <protection hidden="1"/>
    </xf>
    <xf numFmtId="41" fontId="28" fillId="2" borderId="85" xfId="0" applyNumberFormat="1" applyFont="1" applyFill="1" applyBorder="1" applyAlignment="1" applyProtection="1">
      <alignment horizontal="center" vertical="center"/>
      <protection hidden="1"/>
    </xf>
    <xf numFmtId="41" fontId="28" fillId="2" borderId="49" xfId="0" applyNumberFormat="1" applyFont="1" applyFill="1" applyBorder="1" applyAlignment="1" applyProtection="1">
      <alignment horizontal="center" vertical="center"/>
      <protection hidden="1"/>
    </xf>
    <xf numFmtId="41" fontId="28" fillId="2" borderId="102" xfId="0" applyNumberFormat="1" applyFont="1" applyFill="1" applyBorder="1" applyAlignment="1" applyProtection="1">
      <alignment horizontal="center" vertical="center"/>
      <protection hidden="1"/>
    </xf>
    <xf numFmtId="0" fontId="28" fillId="2" borderId="72" xfId="0" applyFont="1" applyFill="1" applyBorder="1" applyAlignment="1" applyProtection="1">
      <alignment horizontal="center" vertical="center"/>
      <protection hidden="1"/>
    </xf>
    <xf numFmtId="0" fontId="28" fillId="2" borderId="70"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2" borderId="75" xfId="0" applyFont="1" applyFill="1" applyBorder="1" applyAlignment="1" applyProtection="1">
      <alignment horizontal="center" vertical="center"/>
      <protection hidden="1"/>
    </xf>
    <xf numFmtId="0" fontId="28" fillId="2" borderId="135" xfId="0" applyFont="1" applyFill="1" applyBorder="1" applyAlignment="1" applyProtection="1">
      <alignment horizontal="center" vertical="center"/>
      <protection hidden="1"/>
    </xf>
    <xf numFmtId="0" fontId="28" fillId="2" borderId="136" xfId="0" applyFont="1" applyFill="1" applyBorder="1" applyAlignment="1" applyProtection="1">
      <alignment horizontal="center" vertical="center"/>
      <protection hidden="1"/>
    </xf>
    <xf numFmtId="0" fontId="23" fillId="8" borderId="113" xfId="0" applyFont="1" applyFill="1" applyBorder="1" applyAlignment="1" applyProtection="1">
      <alignment horizontal="center" vertical="center"/>
      <protection hidden="1"/>
    </xf>
    <xf numFmtId="0" fontId="23" fillId="8" borderId="114" xfId="0" applyFont="1" applyFill="1" applyBorder="1" applyAlignment="1" applyProtection="1">
      <alignment horizontal="center" vertical="center"/>
      <protection hidden="1"/>
    </xf>
    <xf numFmtId="0" fontId="28" fillId="2" borderId="123" xfId="0" applyFont="1" applyFill="1" applyBorder="1" applyAlignment="1" applyProtection="1">
      <alignment horizontal="center" vertical="center"/>
      <protection hidden="1"/>
    </xf>
    <xf numFmtId="0" fontId="28" fillId="2" borderId="124" xfId="0" applyFont="1" applyFill="1" applyBorder="1" applyAlignment="1" applyProtection="1">
      <alignment horizontal="center" vertical="center"/>
      <protection hidden="1"/>
    </xf>
    <xf numFmtId="41" fontId="24" fillId="2" borderId="135" xfId="2" applyFont="1" applyFill="1" applyBorder="1" applyAlignment="1" applyProtection="1">
      <alignment horizontal="center" vertical="center"/>
      <protection hidden="1"/>
    </xf>
    <xf numFmtId="0" fontId="27" fillId="2" borderId="102" xfId="0" applyFont="1" applyFill="1" applyBorder="1" applyAlignment="1" applyProtection="1">
      <alignment horizontal="center" vertical="center"/>
      <protection hidden="1"/>
    </xf>
    <xf numFmtId="0" fontId="27" fillId="2" borderId="145" xfId="0" applyFont="1" applyFill="1" applyBorder="1" applyAlignment="1" applyProtection="1">
      <alignment horizontal="center" vertical="center"/>
      <protection hidden="1"/>
    </xf>
    <xf numFmtId="0" fontId="33" fillId="2" borderId="16" xfId="0" applyFont="1" applyFill="1" applyBorder="1" applyAlignment="1" applyProtection="1">
      <alignment horizontal="left" vertical="center"/>
      <protection hidden="1"/>
    </xf>
    <xf numFmtId="0" fontId="33" fillId="2" borderId="0" xfId="0" applyFont="1" applyFill="1" applyBorder="1" applyAlignment="1" applyProtection="1">
      <alignment horizontal="left" vertical="center"/>
      <protection hidden="1"/>
    </xf>
    <xf numFmtId="0" fontId="33" fillId="2" borderId="22" xfId="0" applyFont="1" applyFill="1" applyBorder="1" applyAlignment="1" applyProtection="1">
      <alignment horizontal="left" vertical="center"/>
      <protection hidden="1"/>
    </xf>
    <xf numFmtId="0" fontId="34" fillId="13" borderId="0" xfId="0" applyFont="1" applyFill="1" applyBorder="1" applyAlignment="1" applyProtection="1">
      <alignment horizontal="left" vertical="center"/>
      <protection hidden="1"/>
    </xf>
    <xf numFmtId="10" fontId="22" fillId="2" borderId="27" xfId="3" applyNumberFormat="1" applyFont="1" applyFill="1" applyBorder="1" applyAlignment="1" applyProtection="1">
      <alignment horizontal="center" vertical="center"/>
      <protection hidden="1"/>
    </xf>
    <xf numFmtId="10" fontId="22" fillId="2" borderId="29" xfId="3" applyNumberFormat="1" applyFont="1" applyFill="1" applyBorder="1" applyAlignment="1" applyProtection="1">
      <alignment horizontal="center" vertical="center"/>
      <protection hidden="1"/>
    </xf>
    <xf numFmtId="41" fontId="22" fillId="2" borderId="29" xfId="2" applyFont="1" applyFill="1" applyBorder="1" applyAlignment="1" applyProtection="1">
      <alignment horizontal="center" vertical="center"/>
      <protection hidden="1"/>
    </xf>
    <xf numFmtId="41" fontId="22" fillId="2" borderId="28" xfId="2" applyFont="1" applyFill="1" applyBorder="1" applyAlignment="1" applyProtection="1">
      <alignment horizontal="center" vertical="center"/>
      <protection hidden="1"/>
    </xf>
    <xf numFmtId="0" fontId="28" fillId="2" borderId="103" xfId="0" applyFont="1" applyFill="1" applyBorder="1" applyAlignment="1" applyProtection="1">
      <alignment horizontal="center" vertical="center"/>
      <protection hidden="1"/>
    </xf>
    <xf numFmtId="0" fontId="28" fillId="2" borderId="108" xfId="0" applyFont="1" applyFill="1" applyBorder="1" applyAlignment="1" applyProtection="1">
      <alignment horizontal="center" vertical="center"/>
      <protection hidden="1"/>
    </xf>
    <xf numFmtId="0" fontId="22" fillId="2" borderId="29" xfId="0" applyFont="1" applyFill="1" applyBorder="1" applyAlignment="1" applyProtection="1">
      <alignment horizontal="center" vertical="center"/>
      <protection hidden="1"/>
    </xf>
    <xf numFmtId="0" fontId="22" fillId="2" borderId="28" xfId="0" applyFont="1" applyFill="1" applyBorder="1" applyAlignment="1" applyProtection="1">
      <alignment horizontal="center" vertical="center"/>
      <protection hidden="1"/>
    </xf>
    <xf numFmtId="180" fontId="28" fillId="2" borderId="104" xfId="0" applyNumberFormat="1" applyFont="1" applyFill="1" applyBorder="1" applyAlignment="1" applyProtection="1">
      <alignment horizontal="center" vertical="center"/>
      <protection locked="0"/>
    </xf>
    <xf numFmtId="180" fontId="28" fillId="2" borderId="35" xfId="0" applyNumberFormat="1" applyFont="1" applyFill="1" applyBorder="1" applyAlignment="1" applyProtection="1">
      <alignment horizontal="center" vertical="center"/>
      <protection locked="0"/>
    </xf>
    <xf numFmtId="0" fontId="29" fillId="2" borderId="0" xfId="0" applyFont="1" applyFill="1" applyBorder="1" applyAlignment="1" applyProtection="1">
      <alignment horizontal="center" vertical="center"/>
      <protection hidden="1"/>
    </xf>
    <xf numFmtId="0" fontId="27" fillId="2" borderId="0" xfId="0" applyFont="1" applyFill="1" applyAlignment="1" applyProtection="1">
      <alignment horizontal="right"/>
      <protection hidden="1"/>
    </xf>
    <xf numFmtId="0" fontId="32" fillId="2" borderId="0" xfId="0" applyFont="1" applyFill="1" applyBorder="1" applyAlignment="1" applyProtection="1">
      <alignment horizontal="left"/>
      <protection hidden="1"/>
    </xf>
    <xf numFmtId="41" fontId="22" fillId="2" borderId="26" xfId="2" applyFont="1" applyFill="1" applyBorder="1" applyAlignment="1" applyProtection="1">
      <alignment horizontal="center" vertical="center"/>
      <protection hidden="1"/>
    </xf>
    <xf numFmtId="10" fontId="22" fillId="2" borderId="81" xfId="3" applyNumberFormat="1" applyFont="1" applyFill="1" applyBorder="1" applyAlignment="1" applyProtection="1">
      <alignment horizontal="center" vertical="center"/>
      <protection hidden="1"/>
    </xf>
    <xf numFmtId="10" fontId="22" fillId="2" borderId="15" xfId="3" applyNumberFormat="1" applyFont="1" applyFill="1" applyBorder="1" applyAlignment="1" applyProtection="1">
      <alignment horizontal="center" vertical="center"/>
      <protection hidden="1"/>
    </xf>
    <xf numFmtId="41" fontId="22" fillId="2" borderId="15" xfId="2" applyFont="1" applyFill="1" applyBorder="1" applyAlignment="1" applyProtection="1">
      <alignment horizontal="center" vertical="center"/>
      <protection hidden="1"/>
    </xf>
    <xf numFmtId="0" fontId="22" fillId="2" borderId="26" xfId="0" applyFont="1" applyFill="1" applyBorder="1" applyAlignment="1" applyProtection="1">
      <alignment horizontal="center" vertical="center"/>
      <protection hidden="1"/>
    </xf>
    <xf numFmtId="0" fontId="22" fillId="2" borderId="19" xfId="0" applyFont="1" applyFill="1" applyBorder="1" applyAlignment="1" applyProtection="1">
      <alignment horizontal="center" vertical="center"/>
      <protection hidden="1"/>
    </xf>
    <xf numFmtId="0" fontId="22" fillId="2" borderId="15" xfId="0" applyFont="1" applyFill="1" applyBorder="1" applyAlignment="1" applyProtection="1">
      <alignment horizontal="center" vertical="center"/>
      <protection hidden="1"/>
    </xf>
    <xf numFmtId="0" fontId="22" fillId="2" borderId="74" xfId="0" applyFont="1" applyFill="1" applyBorder="1" applyAlignment="1" applyProtection="1">
      <alignment horizontal="center" vertical="center"/>
      <protection hidden="1"/>
    </xf>
    <xf numFmtId="10" fontId="22" fillId="2" borderId="25" xfId="3" applyNumberFormat="1" applyFont="1" applyFill="1" applyBorder="1" applyAlignment="1" applyProtection="1">
      <alignment horizontal="center" vertical="center"/>
      <protection hidden="1"/>
    </xf>
    <xf numFmtId="10" fontId="22" fillId="2" borderId="26" xfId="3" applyNumberFormat="1" applyFont="1" applyFill="1" applyBorder="1" applyAlignment="1" applyProtection="1">
      <alignment horizontal="center" vertical="center"/>
      <protection hidden="1"/>
    </xf>
    <xf numFmtId="6" fontId="22" fillId="2" borderId="26" xfId="2" applyNumberFormat="1" applyFont="1" applyFill="1" applyBorder="1" applyAlignment="1" applyProtection="1">
      <alignment horizontal="center" vertical="center"/>
      <protection hidden="1"/>
    </xf>
    <xf numFmtId="41" fontId="22" fillId="2" borderId="19" xfId="2" applyFont="1" applyFill="1" applyBorder="1" applyAlignment="1" applyProtection="1">
      <alignment horizontal="center" vertical="center"/>
      <protection hidden="1"/>
    </xf>
    <xf numFmtId="41" fontId="22" fillId="2" borderId="74" xfId="2" applyFont="1" applyFill="1" applyBorder="1" applyAlignment="1" applyProtection="1">
      <alignment horizontal="center" vertical="center"/>
      <protection hidden="1"/>
    </xf>
    <xf numFmtId="41" fontId="5" fillId="2" borderId="45" xfId="2" applyFont="1" applyFill="1" applyBorder="1" applyAlignment="1" applyProtection="1">
      <alignment horizontal="center" vertical="center"/>
      <protection hidden="1"/>
    </xf>
    <xf numFmtId="41" fontId="5" fillId="2" borderId="17" xfId="2" applyFont="1" applyFill="1" applyBorder="1" applyAlignment="1" applyProtection="1">
      <alignment horizontal="center" vertical="center"/>
      <protection hidden="1"/>
    </xf>
    <xf numFmtId="0" fontId="7" fillId="14" borderId="54" xfId="0" applyFont="1" applyFill="1" applyBorder="1" applyAlignment="1" applyProtection="1">
      <alignment horizontal="right" vertical="center"/>
      <protection hidden="1"/>
    </xf>
    <xf numFmtId="0" fontId="7" fillId="14" borderId="55" xfId="0" applyFont="1" applyFill="1" applyBorder="1" applyAlignment="1" applyProtection="1">
      <alignment horizontal="right" vertical="center"/>
      <protection hidden="1"/>
    </xf>
    <xf numFmtId="0" fontId="7" fillId="14" borderId="34" xfId="0" applyFont="1" applyFill="1" applyBorder="1" applyAlignment="1" applyProtection="1">
      <alignment horizontal="left" vertical="center"/>
      <protection hidden="1"/>
    </xf>
    <xf numFmtId="0" fontId="7" fillId="14" borderId="43" xfId="0" applyFont="1" applyFill="1" applyBorder="1" applyAlignment="1" applyProtection="1">
      <alignment horizontal="left" vertical="center"/>
      <protection hidden="1"/>
    </xf>
    <xf numFmtId="41" fontId="7" fillId="8" borderId="41" xfId="2" applyFont="1" applyFill="1" applyBorder="1" applyAlignment="1" applyProtection="1">
      <alignment horizontal="center" vertical="center"/>
      <protection hidden="1"/>
    </xf>
    <xf numFmtId="41" fontId="7" fillId="8" borderId="35" xfId="2" applyFont="1" applyFill="1" applyBorder="1" applyAlignment="1" applyProtection="1">
      <alignment horizontal="center" vertical="center"/>
      <protection hidden="1"/>
    </xf>
    <xf numFmtId="41" fontId="7" fillId="8" borderId="32" xfId="2" applyFont="1" applyFill="1" applyBorder="1" applyAlignment="1" applyProtection="1">
      <alignment horizontal="center" vertical="center"/>
      <protection hidden="1"/>
    </xf>
    <xf numFmtId="41" fontId="9" fillId="8" borderId="41" xfId="2" applyFont="1" applyFill="1" applyBorder="1" applyAlignment="1" applyProtection="1">
      <alignment horizontal="center" vertical="center"/>
      <protection hidden="1"/>
    </xf>
    <xf numFmtId="41" fontId="9" fillId="8" borderId="35" xfId="2" applyFont="1" applyFill="1" applyBorder="1" applyAlignment="1" applyProtection="1">
      <alignment horizontal="center" vertical="center"/>
      <protection hidden="1"/>
    </xf>
    <xf numFmtId="41" fontId="9" fillId="8" borderId="32" xfId="2" applyFont="1" applyFill="1" applyBorder="1" applyAlignment="1" applyProtection="1">
      <alignment horizontal="center" vertical="center"/>
      <protection hidden="1"/>
    </xf>
    <xf numFmtId="0" fontId="7" fillId="8" borderId="41" xfId="0" applyFont="1" applyFill="1" applyBorder="1" applyAlignment="1" applyProtection="1">
      <alignment horizontal="center" vertical="center"/>
      <protection hidden="1"/>
    </xf>
    <xf numFmtId="0" fontId="7" fillId="8" borderId="32" xfId="0" applyFont="1" applyFill="1" applyBorder="1" applyAlignment="1" applyProtection="1">
      <alignment horizontal="center" vertical="center"/>
      <protection hidden="1"/>
    </xf>
    <xf numFmtId="0" fontId="7" fillId="16" borderId="174" xfId="0" applyFont="1" applyFill="1" applyBorder="1" applyAlignment="1" applyProtection="1">
      <alignment horizontal="center" vertical="center"/>
      <protection hidden="1"/>
    </xf>
    <xf numFmtId="0" fontId="7" fillId="16" borderId="175" xfId="0" applyFont="1" applyFill="1" applyBorder="1" applyAlignment="1" applyProtection="1">
      <alignment horizontal="center" vertical="center"/>
      <protection hidden="1"/>
    </xf>
    <xf numFmtId="0" fontId="7" fillId="16" borderId="176" xfId="0" applyFont="1" applyFill="1" applyBorder="1" applyAlignment="1" applyProtection="1">
      <alignment horizontal="center" vertical="center"/>
      <protection locked="0" hidden="1"/>
    </xf>
    <xf numFmtId="0" fontId="7" fillId="16" borderId="177" xfId="0" applyFont="1" applyFill="1" applyBorder="1" applyAlignment="1" applyProtection="1">
      <alignment horizontal="center" vertical="center"/>
      <protection locked="0" hidden="1"/>
    </xf>
    <xf numFmtId="0" fontId="7" fillId="16" borderId="178" xfId="0" applyFont="1" applyFill="1" applyBorder="1" applyAlignment="1" applyProtection="1">
      <alignment horizontal="center" vertical="center"/>
      <protection locked="0" hidden="1"/>
    </xf>
    <xf numFmtId="0" fontId="61" fillId="2" borderId="35" xfId="0" applyFont="1" applyFill="1" applyBorder="1" applyAlignment="1" applyProtection="1">
      <alignment horizontal="center" vertical="center"/>
      <protection hidden="1"/>
    </xf>
    <xf numFmtId="0" fontId="7" fillId="14" borderId="18" xfId="0" applyFont="1" applyFill="1" applyBorder="1" applyAlignment="1" applyProtection="1">
      <alignment horizontal="center" vertical="center"/>
      <protection hidden="1"/>
    </xf>
    <xf numFmtId="0" fontId="7" fillId="14" borderId="20" xfId="0" applyFont="1" applyFill="1" applyBorder="1" applyAlignment="1" applyProtection="1">
      <alignment horizontal="center" vertical="center"/>
      <protection hidden="1"/>
    </xf>
    <xf numFmtId="41" fontId="7" fillId="4" borderId="18" xfId="2" applyFont="1" applyFill="1" applyBorder="1" applyAlignment="1" applyProtection="1">
      <alignment horizontal="center" vertical="center"/>
      <protection locked="0" hidden="1"/>
    </xf>
    <xf numFmtId="41" fontId="7" fillId="4" borderId="26" xfId="2" applyFont="1" applyFill="1" applyBorder="1" applyAlignment="1" applyProtection="1">
      <alignment horizontal="center" vertical="center"/>
      <protection locked="0" hidden="1"/>
    </xf>
    <xf numFmtId="41" fontId="7" fillId="4" borderId="20" xfId="2" applyFont="1" applyFill="1" applyBorder="1" applyAlignment="1" applyProtection="1">
      <alignment horizontal="center" vertical="center"/>
      <protection locked="0" hidden="1"/>
    </xf>
    <xf numFmtId="41" fontId="7" fillId="4" borderId="21" xfId="2" applyFont="1" applyFill="1" applyBorder="1" applyAlignment="1" applyProtection="1">
      <alignment horizontal="center" vertical="center"/>
      <protection locked="0" hidden="1"/>
    </xf>
    <xf numFmtId="41" fontId="7" fillId="4" borderId="15" xfId="2" applyFont="1" applyFill="1" applyBorder="1" applyAlignment="1" applyProtection="1">
      <alignment horizontal="center" vertical="center"/>
      <protection locked="0" hidden="1"/>
    </xf>
    <xf numFmtId="41" fontId="7" fillId="4" borderId="17" xfId="2" applyFont="1" applyFill="1" applyBorder="1" applyAlignment="1" applyProtection="1">
      <alignment horizontal="center" vertical="center"/>
      <protection locked="0" hidden="1"/>
    </xf>
    <xf numFmtId="0" fontId="60" fillId="2" borderId="35" xfId="0" applyFont="1" applyFill="1" applyBorder="1" applyAlignment="1" applyProtection="1">
      <alignment horizontal="center" vertical="center"/>
      <protection hidden="1"/>
    </xf>
    <xf numFmtId="0" fontId="7" fillId="4" borderId="54" xfId="0" applyFont="1" applyFill="1" applyBorder="1" applyAlignment="1" applyProtection="1">
      <alignment horizontal="center" vertical="center"/>
      <protection locked="0" hidden="1"/>
    </xf>
    <xf numFmtId="0" fontId="7" fillId="4" borderId="33" xfId="0" applyFont="1" applyFill="1" applyBorder="1" applyAlignment="1" applyProtection="1">
      <alignment horizontal="center" vertical="center"/>
      <protection locked="0" hidden="1"/>
    </xf>
    <xf numFmtId="0" fontId="7" fillId="4" borderId="34" xfId="0" applyFont="1" applyFill="1" applyBorder="1" applyAlignment="1" applyProtection="1">
      <alignment horizontal="center" vertical="center"/>
      <protection locked="0" hidden="1"/>
    </xf>
    <xf numFmtId="0" fontId="7" fillId="14" borderId="54" xfId="0" applyFont="1" applyFill="1" applyBorder="1" applyAlignment="1" applyProtection="1">
      <alignment horizontal="center" vertical="center"/>
      <protection hidden="1"/>
    </xf>
    <xf numFmtId="0" fontId="7" fillId="14" borderId="34" xfId="0" applyFont="1" applyFill="1" applyBorder="1" applyAlignment="1" applyProtection="1">
      <alignment horizontal="center" vertical="center"/>
      <protection hidden="1"/>
    </xf>
    <xf numFmtId="0" fontId="7" fillId="14" borderId="21" xfId="0" applyFont="1" applyFill="1" applyBorder="1" applyAlignment="1" applyProtection="1">
      <alignment horizontal="center" vertical="center"/>
      <protection hidden="1"/>
    </xf>
    <xf numFmtId="0" fontId="7" fillId="14" borderId="17" xfId="0" applyFont="1" applyFill="1" applyBorder="1" applyAlignment="1" applyProtection="1">
      <alignment horizontal="center" vertical="center"/>
      <protection hidden="1"/>
    </xf>
    <xf numFmtId="0" fontId="7" fillId="4" borderId="21" xfId="0" applyFont="1" applyFill="1" applyBorder="1" applyAlignment="1" applyProtection="1">
      <alignment horizontal="center" vertical="center"/>
      <protection locked="0" hidden="1"/>
    </xf>
    <xf numFmtId="0" fontId="7" fillId="4" borderId="15" xfId="0" applyFont="1" applyFill="1" applyBorder="1" applyAlignment="1" applyProtection="1">
      <alignment horizontal="center" vertical="center"/>
      <protection locked="0" hidden="1"/>
    </xf>
    <xf numFmtId="0" fontId="7" fillId="4" borderId="17" xfId="0" applyFont="1" applyFill="1" applyBorder="1" applyAlignment="1" applyProtection="1">
      <alignment horizontal="center" vertical="center"/>
      <protection locked="0" hidden="1"/>
    </xf>
    <xf numFmtId="41" fontId="5" fillId="2" borderId="38" xfId="2" applyFont="1" applyFill="1" applyBorder="1" applyAlignment="1" applyProtection="1">
      <alignment horizontal="center" vertical="center"/>
      <protection hidden="1"/>
    </xf>
    <xf numFmtId="41" fontId="5" fillId="2" borderId="40" xfId="2" applyFont="1" applyFill="1" applyBorder="1" applyAlignment="1" applyProtection="1">
      <alignment horizontal="center" vertical="center"/>
      <protection hidden="1"/>
    </xf>
    <xf numFmtId="41" fontId="5" fillId="2" borderId="64" xfId="2" applyFont="1" applyFill="1" applyBorder="1" applyAlignment="1" applyProtection="1">
      <alignment horizontal="center" vertical="center"/>
      <protection hidden="1"/>
    </xf>
    <xf numFmtId="41" fontId="5" fillId="4" borderId="41" xfId="2" applyFont="1" applyFill="1" applyBorder="1" applyAlignment="1" applyProtection="1">
      <alignment horizontal="center" vertical="center"/>
      <protection locked="0" hidden="1"/>
    </xf>
    <xf numFmtId="41" fontId="5" fillId="4" borderId="35" xfId="2" applyFont="1" applyFill="1" applyBorder="1" applyAlignment="1" applyProtection="1">
      <alignment horizontal="center" vertical="center"/>
      <protection locked="0" hidden="1"/>
    </xf>
    <xf numFmtId="41" fontId="5" fillId="4" borderId="32" xfId="2" applyFont="1" applyFill="1" applyBorder="1" applyAlignment="1" applyProtection="1">
      <alignment horizontal="center" vertical="center"/>
      <protection locked="0" hidden="1"/>
    </xf>
    <xf numFmtId="10" fontId="11" fillId="2" borderId="29" xfId="0" applyNumberFormat="1" applyFont="1" applyFill="1" applyBorder="1" applyAlignment="1" applyProtection="1">
      <alignment horizontal="center" vertical="center"/>
      <protection hidden="1"/>
    </xf>
    <xf numFmtId="10" fontId="11" fillId="2" borderId="28" xfId="0" applyNumberFormat="1" applyFont="1" applyFill="1" applyBorder="1" applyAlignment="1" applyProtection="1">
      <alignment horizontal="center" vertical="center"/>
      <protection hidden="1"/>
    </xf>
    <xf numFmtId="41" fontId="5" fillId="2" borderId="27" xfId="2" applyFont="1" applyFill="1" applyBorder="1" applyAlignment="1" applyProtection="1">
      <alignment horizontal="center" vertical="center"/>
      <protection hidden="1"/>
    </xf>
    <xf numFmtId="41" fontId="5" fillId="2" borderId="29" xfId="2" applyFont="1" applyFill="1" applyBorder="1" applyAlignment="1" applyProtection="1">
      <alignment horizontal="center" vertical="center"/>
      <protection hidden="1"/>
    </xf>
    <xf numFmtId="41" fontId="5" fillId="2" borderId="30" xfId="2" applyFont="1" applyFill="1" applyBorder="1" applyAlignment="1" applyProtection="1">
      <alignment horizontal="center" vertical="center"/>
      <protection hidden="1"/>
    </xf>
    <xf numFmtId="41" fontId="5" fillId="2" borderId="25" xfId="2" applyFont="1" applyFill="1" applyBorder="1" applyAlignment="1" applyProtection="1">
      <alignment horizontal="center" vertical="center"/>
      <protection hidden="1"/>
    </xf>
    <xf numFmtId="41" fontId="5" fillId="2" borderId="26" xfId="2" applyFont="1" applyFill="1" applyBorder="1" applyAlignment="1" applyProtection="1">
      <alignment horizontal="center" vertical="center"/>
      <protection hidden="1"/>
    </xf>
    <xf numFmtId="41" fontId="5" fillId="2" borderId="20" xfId="2" applyFont="1" applyFill="1" applyBorder="1" applyAlignment="1" applyProtection="1">
      <alignment horizontal="center" vertical="center"/>
      <protection hidden="1"/>
    </xf>
    <xf numFmtId="41" fontId="5" fillId="4" borderId="41" xfId="0" applyNumberFormat="1" applyFont="1" applyFill="1" applyBorder="1" applyAlignment="1" applyProtection="1">
      <alignment horizontal="center" vertical="center"/>
      <protection locked="0" hidden="1"/>
    </xf>
    <xf numFmtId="41" fontId="5" fillId="4" borderId="35" xfId="0" applyNumberFormat="1" applyFont="1" applyFill="1" applyBorder="1" applyAlignment="1" applyProtection="1">
      <alignment horizontal="center" vertical="center"/>
      <protection locked="0" hidden="1"/>
    </xf>
    <xf numFmtId="41" fontId="5" fillId="4" borderId="32" xfId="0" applyNumberFormat="1" applyFont="1" applyFill="1" applyBorder="1" applyAlignment="1" applyProtection="1">
      <alignment horizontal="center" vertical="center"/>
      <protection locked="0" hidden="1"/>
    </xf>
    <xf numFmtId="41" fontId="5" fillId="2" borderId="148" xfId="0" applyNumberFormat="1" applyFont="1" applyFill="1" applyBorder="1" applyAlignment="1" applyProtection="1">
      <alignment horizontal="center" vertical="center"/>
      <protection hidden="1"/>
    </xf>
    <xf numFmtId="41" fontId="5" fillId="2" borderId="180" xfId="0" applyNumberFormat="1" applyFont="1" applyFill="1" applyBorder="1" applyAlignment="1" applyProtection="1">
      <alignment horizontal="center" vertical="center"/>
      <protection hidden="1"/>
    </xf>
    <xf numFmtId="41" fontId="5" fillId="2" borderId="181" xfId="0" applyNumberFormat="1" applyFont="1" applyFill="1" applyBorder="1" applyAlignment="1" applyProtection="1">
      <alignment horizontal="center" vertical="center"/>
      <protection hidden="1"/>
    </xf>
    <xf numFmtId="41" fontId="7" fillId="2" borderId="27" xfId="2" applyFont="1" applyFill="1" applyBorder="1" applyAlignment="1" applyProtection="1">
      <alignment horizontal="center" vertical="center"/>
      <protection locked="0" hidden="1"/>
    </xf>
    <xf numFmtId="41" fontId="7" fillId="2" borderId="29" xfId="2" applyFont="1" applyFill="1" applyBorder="1" applyAlignment="1" applyProtection="1">
      <alignment horizontal="center" vertical="center"/>
      <protection locked="0" hidden="1"/>
    </xf>
    <xf numFmtId="41" fontId="7" fillId="2" borderId="30" xfId="2" applyFont="1" applyFill="1" applyBorder="1" applyAlignment="1" applyProtection="1">
      <alignment horizontal="center" vertical="center"/>
      <protection locked="0" hidden="1"/>
    </xf>
    <xf numFmtId="9" fontId="7" fillId="4" borderId="179" xfId="0" applyNumberFormat="1" applyFont="1" applyFill="1" applyBorder="1" applyAlignment="1" applyProtection="1">
      <alignment horizontal="center" vertical="center"/>
      <protection locked="0" hidden="1"/>
    </xf>
    <xf numFmtId="9" fontId="7" fillId="4" borderId="146" xfId="0" applyNumberFormat="1" applyFont="1" applyFill="1" applyBorder="1" applyAlignment="1" applyProtection="1">
      <alignment horizontal="center" vertical="center"/>
      <protection locked="0" hidden="1"/>
    </xf>
    <xf numFmtId="10" fontId="7" fillId="2" borderId="18" xfId="3" applyNumberFormat="1" applyFont="1" applyFill="1" applyBorder="1" applyAlignment="1" applyProtection="1">
      <alignment horizontal="center" vertical="center"/>
      <protection locked="0" hidden="1"/>
    </xf>
    <xf numFmtId="10" fontId="7" fillId="2" borderId="19" xfId="3" applyNumberFormat="1" applyFont="1" applyFill="1" applyBorder="1" applyAlignment="1" applyProtection="1">
      <alignment horizontal="center" vertical="center"/>
      <protection locked="0" hidden="1"/>
    </xf>
    <xf numFmtId="10" fontId="5" fillId="2" borderId="42" xfId="3" applyNumberFormat="1" applyFont="1" applyFill="1" applyBorder="1" applyAlignment="1" applyProtection="1">
      <alignment horizontal="center" vertical="center"/>
      <protection hidden="1"/>
    </xf>
    <xf numFmtId="10" fontId="5" fillId="2" borderId="28" xfId="3" applyNumberFormat="1" applyFont="1" applyFill="1" applyBorder="1" applyAlignment="1" applyProtection="1">
      <alignment horizontal="center" vertical="center"/>
      <protection hidden="1"/>
    </xf>
    <xf numFmtId="41" fontId="5" fillId="2" borderId="18" xfId="2" applyFont="1" applyFill="1" applyBorder="1" applyAlignment="1" applyProtection="1">
      <alignment horizontal="center" vertical="center"/>
      <protection hidden="1"/>
    </xf>
    <xf numFmtId="0" fontId="7" fillId="4" borderId="45" xfId="0" applyFont="1" applyFill="1" applyBorder="1" applyAlignment="1" applyProtection="1">
      <alignment horizontal="center" vertical="center"/>
      <protection locked="0" hidden="1"/>
    </xf>
    <xf numFmtId="0" fontId="7" fillId="4" borderId="41" xfId="0" applyFont="1" applyFill="1" applyBorder="1" applyAlignment="1" applyProtection="1">
      <alignment horizontal="center" vertical="center"/>
      <protection hidden="1"/>
    </xf>
    <xf numFmtId="0" fontId="7" fillId="4" borderId="32" xfId="0" applyFont="1" applyFill="1" applyBorder="1" applyAlignment="1" applyProtection="1">
      <alignment horizontal="center" vertical="center"/>
      <protection hidden="1"/>
    </xf>
    <xf numFmtId="0" fontId="7" fillId="4" borderId="26" xfId="0" applyFont="1" applyFill="1" applyBorder="1" applyAlignment="1" applyProtection="1">
      <alignment horizontal="center" vertical="center"/>
      <protection locked="0" hidden="1"/>
    </xf>
    <xf numFmtId="0" fontId="7" fillId="4" borderId="20" xfId="0" applyFont="1" applyFill="1" applyBorder="1" applyAlignment="1" applyProtection="1">
      <alignment horizontal="center" vertical="center"/>
      <protection locked="0" hidden="1"/>
    </xf>
    <xf numFmtId="0" fontId="7" fillId="4" borderId="18" xfId="0" applyFont="1" applyFill="1" applyBorder="1" applyAlignment="1" applyProtection="1">
      <alignment horizontal="center" vertical="center"/>
      <protection locked="0" hidden="1"/>
    </xf>
    <xf numFmtId="0" fontId="8" fillId="6" borderId="51" xfId="0" applyFont="1" applyFill="1" applyBorder="1" applyAlignment="1" applyProtection="1">
      <alignment horizontal="center" vertical="center"/>
      <protection hidden="1"/>
    </xf>
    <xf numFmtId="0" fontId="8" fillId="6" borderId="52" xfId="0" applyFont="1" applyFill="1" applyBorder="1" applyAlignment="1" applyProtection="1">
      <alignment horizontal="center" vertical="center"/>
      <protection hidden="1"/>
    </xf>
    <xf numFmtId="0" fontId="7" fillId="2" borderId="41" xfId="0" applyFont="1" applyFill="1" applyBorder="1" applyAlignment="1" applyProtection="1">
      <alignment horizontal="center" vertical="center"/>
      <protection hidden="1"/>
    </xf>
    <xf numFmtId="0" fontId="7" fillId="2" borderId="35" xfId="0" applyFont="1" applyFill="1" applyBorder="1" applyAlignment="1" applyProtection="1">
      <alignment horizontal="center" vertical="center"/>
      <protection hidden="1"/>
    </xf>
    <xf numFmtId="10" fontId="7" fillId="2" borderId="0" xfId="0" applyNumberFormat="1" applyFont="1" applyFill="1" applyBorder="1" applyAlignment="1" applyProtection="1">
      <alignment horizontal="center" vertical="center"/>
      <protection hidden="1"/>
    </xf>
    <xf numFmtId="0" fontId="7" fillId="2" borderId="0" xfId="0" applyFont="1" applyFill="1" applyBorder="1" applyAlignment="1" applyProtection="1">
      <alignment horizontal="center" vertical="center"/>
      <protection hidden="1"/>
    </xf>
    <xf numFmtId="41" fontId="5" fillId="2" borderId="0" xfId="0" applyNumberFormat="1" applyFont="1" applyFill="1" applyBorder="1" applyAlignment="1" applyProtection="1">
      <alignment horizontal="center" vertical="center"/>
      <protection hidden="1"/>
    </xf>
    <xf numFmtId="0" fontId="5" fillId="2" borderId="0" xfId="0" applyFont="1" applyFill="1" applyBorder="1" applyAlignment="1" applyProtection="1">
      <alignment horizontal="center" vertical="center"/>
      <protection hidden="1"/>
    </xf>
    <xf numFmtId="0" fontId="7" fillId="4" borderId="35" xfId="0" applyFont="1" applyFill="1" applyBorder="1" applyAlignment="1" applyProtection="1">
      <alignment horizontal="center" vertical="center"/>
      <protection hidden="1"/>
    </xf>
    <xf numFmtId="0" fontId="8" fillId="6" borderId="41" xfId="0" applyFont="1" applyFill="1" applyBorder="1" applyAlignment="1" applyProtection="1">
      <alignment horizontal="center" vertical="center"/>
      <protection hidden="1"/>
    </xf>
    <xf numFmtId="0" fontId="8" fillId="6" borderId="35" xfId="0" applyFont="1" applyFill="1" applyBorder="1" applyAlignment="1" applyProtection="1">
      <alignment horizontal="center" vertical="center"/>
      <protection hidden="1"/>
    </xf>
    <xf numFmtId="0" fontId="8" fillId="6" borderId="32" xfId="0" applyFont="1" applyFill="1" applyBorder="1" applyAlignment="1" applyProtection="1">
      <alignment horizontal="center" vertical="center"/>
      <protection hidden="1"/>
    </xf>
    <xf numFmtId="180" fontId="7" fillId="4" borderId="22" xfId="0" applyNumberFormat="1" applyFont="1" applyFill="1" applyBorder="1" applyAlignment="1" applyProtection="1">
      <alignment horizontal="center" vertical="center"/>
      <protection locked="0" hidden="1"/>
    </xf>
    <xf numFmtId="180" fontId="7" fillId="4" borderId="57" xfId="0" applyNumberFormat="1" applyFont="1" applyFill="1" applyBorder="1" applyAlignment="1" applyProtection="1">
      <alignment horizontal="center" vertical="center"/>
      <protection locked="0" hidden="1"/>
    </xf>
    <xf numFmtId="180" fontId="7" fillId="4" borderId="42" xfId="0" applyNumberFormat="1" applyFont="1" applyFill="1" applyBorder="1" applyAlignment="1" applyProtection="1">
      <alignment horizontal="center" vertical="center"/>
      <protection locked="0" hidden="1"/>
    </xf>
    <xf numFmtId="180" fontId="7" fillId="4" borderId="29" xfId="0" applyNumberFormat="1" applyFont="1" applyFill="1" applyBorder="1" applyAlignment="1" applyProtection="1">
      <alignment horizontal="center" vertical="center"/>
      <protection locked="0" hidden="1"/>
    </xf>
    <xf numFmtId="180" fontId="7" fillId="4" borderId="30" xfId="0" applyNumberFormat="1" applyFont="1" applyFill="1" applyBorder="1" applyAlignment="1" applyProtection="1">
      <alignment horizontal="center" vertical="center"/>
      <protection locked="0" hidden="1"/>
    </xf>
    <xf numFmtId="0" fontId="8" fillId="17" borderId="41" xfId="0" applyFont="1" applyFill="1" applyBorder="1" applyAlignment="1" applyProtection="1">
      <alignment horizontal="center" vertical="center"/>
      <protection hidden="1"/>
    </xf>
    <xf numFmtId="0" fontId="8" fillId="17" borderId="35" xfId="0" applyFont="1" applyFill="1" applyBorder="1" applyAlignment="1" applyProtection="1">
      <alignment horizontal="center" vertical="center"/>
      <protection hidden="1"/>
    </xf>
    <xf numFmtId="0" fontId="8" fillId="17" borderId="32" xfId="0" applyFont="1" applyFill="1" applyBorder="1" applyAlignment="1" applyProtection="1">
      <alignment horizontal="center" vertical="center"/>
      <protection hidden="1"/>
    </xf>
    <xf numFmtId="177" fontId="5" fillId="2" borderId="41" xfId="3" applyNumberFormat="1" applyFont="1" applyFill="1" applyBorder="1" applyAlignment="1" applyProtection="1">
      <alignment horizontal="center" vertical="center"/>
      <protection hidden="1"/>
    </xf>
    <xf numFmtId="177" fontId="5" fillId="2" borderId="35" xfId="3" applyNumberFormat="1" applyFont="1" applyFill="1" applyBorder="1" applyAlignment="1" applyProtection="1">
      <alignment horizontal="center" vertical="center"/>
      <protection hidden="1"/>
    </xf>
    <xf numFmtId="177" fontId="5" fillId="2" borderId="32" xfId="3" applyNumberFormat="1" applyFont="1" applyFill="1" applyBorder="1" applyAlignment="1" applyProtection="1">
      <alignment horizontal="center" vertical="center"/>
      <protection hidden="1"/>
    </xf>
    <xf numFmtId="41" fontId="5" fillId="2" borderId="21" xfId="2" applyFont="1" applyFill="1" applyBorder="1" applyAlignment="1" applyProtection="1">
      <alignment horizontal="center" vertical="center"/>
      <protection hidden="1"/>
    </xf>
    <xf numFmtId="41" fontId="5" fillId="2" borderId="15" xfId="2" applyFont="1" applyFill="1" applyBorder="1" applyAlignment="1" applyProtection="1">
      <alignment horizontal="center" vertical="center"/>
      <protection hidden="1"/>
    </xf>
    <xf numFmtId="41" fontId="5" fillId="2" borderId="42" xfId="2" applyFont="1" applyFill="1" applyBorder="1" applyAlignment="1" applyProtection="1">
      <alignment horizontal="center" vertical="center"/>
      <protection hidden="1"/>
    </xf>
    <xf numFmtId="41" fontId="5" fillId="2" borderId="42" xfId="0" applyNumberFormat="1" applyFont="1" applyFill="1" applyBorder="1" applyAlignment="1" applyProtection="1">
      <alignment horizontal="center" vertical="center"/>
      <protection hidden="1"/>
    </xf>
    <xf numFmtId="41" fontId="5" fillId="2" borderId="29" xfId="0" applyNumberFormat="1" applyFont="1" applyFill="1" applyBorder="1" applyAlignment="1" applyProtection="1">
      <alignment horizontal="center" vertical="center"/>
      <protection hidden="1"/>
    </xf>
    <xf numFmtId="41" fontId="5" fillId="2" borderId="30" xfId="0" applyNumberFormat="1" applyFont="1" applyFill="1" applyBorder="1" applyAlignment="1" applyProtection="1">
      <alignment horizontal="center" vertical="center"/>
      <protection hidden="1"/>
    </xf>
    <xf numFmtId="0" fontId="7" fillId="14" borderId="42" xfId="0" applyFont="1" applyFill="1" applyBorder="1" applyAlignment="1" applyProtection="1">
      <alignment horizontal="center" vertical="center"/>
      <protection hidden="1"/>
    </xf>
    <xf numFmtId="0" fontId="7" fillId="14" borderId="30" xfId="0" applyFont="1" applyFill="1" applyBorder="1" applyAlignment="1" applyProtection="1">
      <alignment horizontal="center" vertical="center"/>
      <protection hidden="1"/>
    </xf>
    <xf numFmtId="0" fontId="7" fillId="14" borderId="41" xfId="0" applyFont="1" applyFill="1" applyBorder="1" applyAlignment="1" applyProtection="1">
      <alignment horizontal="center" vertical="center"/>
      <protection hidden="1"/>
    </xf>
    <xf numFmtId="0" fontId="7" fillId="14" borderId="32" xfId="0" applyFont="1" applyFill="1" applyBorder="1" applyAlignment="1" applyProtection="1">
      <alignment horizontal="center" vertical="center"/>
      <protection hidden="1"/>
    </xf>
    <xf numFmtId="41" fontId="7" fillId="4" borderId="42" xfId="2" applyFont="1" applyFill="1" applyBorder="1" applyAlignment="1" applyProtection="1">
      <alignment horizontal="center" vertical="center"/>
      <protection locked="0" hidden="1"/>
    </xf>
    <xf numFmtId="41" fontId="7" fillId="4" borderId="29" xfId="2" applyFont="1" applyFill="1" applyBorder="1" applyAlignment="1" applyProtection="1">
      <alignment horizontal="center" vertical="center"/>
      <protection locked="0" hidden="1"/>
    </xf>
    <xf numFmtId="41" fontId="7" fillId="4" borderId="30" xfId="2" applyFont="1" applyFill="1" applyBorder="1" applyAlignment="1" applyProtection="1">
      <alignment horizontal="center" vertical="center"/>
      <protection locked="0" hidden="1"/>
    </xf>
    <xf numFmtId="10" fontId="10" fillId="2" borderId="182" xfId="0" applyNumberFormat="1" applyFont="1" applyFill="1" applyBorder="1" applyAlignment="1" applyProtection="1">
      <alignment horizontal="center" vertical="center"/>
      <protection hidden="1"/>
    </xf>
    <xf numFmtId="10" fontId="10" fillId="2" borderId="39" xfId="0" applyNumberFormat="1" applyFont="1" applyFill="1" applyBorder="1" applyAlignment="1" applyProtection="1">
      <alignment horizontal="center" vertical="center"/>
      <protection hidden="1"/>
    </xf>
    <xf numFmtId="0" fontId="7" fillId="4" borderId="41" xfId="0" applyFont="1" applyFill="1" applyBorder="1" applyAlignment="1" applyProtection="1">
      <alignment horizontal="center" vertical="center"/>
      <protection locked="0" hidden="1"/>
    </xf>
    <xf numFmtId="0" fontId="7" fillId="4" borderId="35" xfId="0" applyFont="1" applyFill="1" applyBorder="1" applyAlignment="1" applyProtection="1">
      <alignment horizontal="center" vertical="center"/>
      <protection locked="0" hidden="1"/>
    </xf>
    <xf numFmtId="0" fontId="7" fillId="4" borderId="32" xfId="0" applyFont="1" applyFill="1" applyBorder="1" applyAlignment="1" applyProtection="1">
      <alignment horizontal="center" vertical="center"/>
      <protection locked="0" hidden="1"/>
    </xf>
    <xf numFmtId="0" fontId="13" fillId="15" borderId="58" xfId="0" applyFont="1" applyFill="1" applyBorder="1" applyAlignment="1" applyProtection="1">
      <alignment horizontal="center" vertical="center"/>
      <protection hidden="1"/>
    </xf>
    <xf numFmtId="0" fontId="13" fillId="15" borderId="16" xfId="0" applyFont="1" applyFill="1" applyBorder="1" applyAlignment="1" applyProtection="1">
      <alignment horizontal="center" vertical="center"/>
      <protection hidden="1"/>
    </xf>
    <xf numFmtId="0" fontId="13" fillId="15" borderId="59" xfId="0" applyFont="1" applyFill="1" applyBorder="1" applyAlignment="1" applyProtection="1">
      <alignment horizontal="center" vertical="center"/>
      <protection hidden="1"/>
    </xf>
    <xf numFmtId="0" fontId="13" fillId="15" borderId="56" xfId="0" applyFont="1" applyFill="1" applyBorder="1" applyAlignment="1" applyProtection="1">
      <alignment horizontal="center" vertical="center"/>
      <protection hidden="1"/>
    </xf>
    <xf numFmtId="0" fontId="13" fillId="15" borderId="22" xfId="0" applyFont="1" applyFill="1" applyBorder="1" applyAlignment="1" applyProtection="1">
      <alignment horizontal="center" vertical="center"/>
      <protection hidden="1"/>
    </xf>
    <xf numFmtId="0" fontId="13" fillId="15" borderId="57" xfId="0" applyFont="1" applyFill="1" applyBorder="1" applyAlignment="1" applyProtection="1">
      <alignment horizontal="center" vertical="center"/>
      <protection hidden="1"/>
    </xf>
    <xf numFmtId="10" fontId="7" fillId="4" borderId="18" xfId="3" applyNumberFormat="1" applyFont="1" applyFill="1" applyBorder="1" applyAlignment="1" applyProtection="1">
      <alignment horizontal="center" vertical="center"/>
      <protection locked="0" hidden="1"/>
    </xf>
    <xf numFmtId="10" fontId="7" fillId="4" borderId="19" xfId="3" applyNumberFormat="1" applyFont="1" applyFill="1" applyBorder="1" applyAlignment="1" applyProtection="1">
      <alignment horizontal="center" vertical="center"/>
      <protection locked="0" hidden="1"/>
    </xf>
    <xf numFmtId="10" fontId="7" fillId="4" borderId="42" xfId="3" applyNumberFormat="1" applyFont="1" applyFill="1" applyBorder="1" applyAlignment="1" applyProtection="1">
      <alignment horizontal="center" vertical="center"/>
      <protection locked="0" hidden="1"/>
    </xf>
    <xf numFmtId="10" fontId="7" fillId="4" borderId="28" xfId="3" applyNumberFormat="1" applyFont="1" applyFill="1" applyBorder="1" applyAlignment="1" applyProtection="1">
      <alignment horizontal="center" vertical="center"/>
      <protection locked="0" hidden="1"/>
    </xf>
    <xf numFmtId="10" fontId="9" fillId="2" borderId="41" xfId="0" applyNumberFormat="1" applyFont="1" applyFill="1" applyBorder="1" applyAlignment="1" applyProtection="1">
      <alignment horizontal="center" vertical="center"/>
      <protection hidden="1"/>
    </xf>
    <xf numFmtId="10" fontId="9" fillId="2" borderId="35" xfId="0" applyNumberFormat="1" applyFont="1" applyFill="1" applyBorder="1" applyAlignment="1" applyProtection="1">
      <alignment horizontal="center" vertical="center"/>
      <protection hidden="1"/>
    </xf>
    <xf numFmtId="10" fontId="9" fillId="2" borderId="32" xfId="0" applyNumberFormat="1" applyFont="1" applyFill="1" applyBorder="1" applyAlignment="1" applyProtection="1">
      <alignment horizontal="center" vertical="center"/>
      <protection hidden="1"/>
    </xf>
    <xf numFmtId="10" fontId="9" fillId="4" borderId="18" xfId="3" applyNumberFormat="1" applyFont="1" applyFill="1" applyBorder="1" applyAlignment="1" applyProtection="1">
      <alignment horizontal="center" vertical="center"/>
      <protection locked="0" hidden="1"/>
    </xf>
    <xf numFmtId="10" fontId="9" fillId="4" borderId="19" xfId="3" applyNumberFormat="1" applyFont="1" applyFill="1" applyBorder="1" applyAlignment="1" applyProtection="1">
      <alignment horizontal="center" vertical="center"/>
      <protection locked="0" hidden="1"/>
    </xf>
    <xf numFmtId="10" fontId="9" fillId="4" borderId="42" xfId="3" applyNumberFormat="1" applyFont="1" applyFill="1" applyBorder="1" applyAlignment="1" applyProtection="1">
      <alignment horizontal="center" vertical="center"/>
      <protection locked="0" hidden="1"/>
    </xf>
    <xf numFmtId="10" fontId="9" fillId="4" borderId="28" xfId="3" applyNumberFormat="1" applyFont="1" applyFill="1" applyBorder="1" applyAlignment="1" applyProtection="1">
      <alignment horizontal="center" vertical="center"/>
      <protection locked="0" hidden="1"/>
    </xf>
    <xf numFmtId="41" fontId="16" fillId="2" borderId="5" xfId="2" applyFont="1" applyFill="1" applyBorder="1" applyAlignment="1" applyProtection="1">
      <alignment horizontal="center" vertical="center"/>
      <protection hidden="1"/>
    </xf>
    <xf numFmtId="41" fontId="16" fillId="2" borderId="6" xfId="2" applyFont="1" applyFill="1" applyBorder="1" applyAlignment="1" applyProtection="1">
      <alignment horizontal="center" vertical="center"/>
      <protection hidden="1"/>
    </xf>
    <xf numFmtId="41" fontId="16" fillId="2" borderId="8" xfId="2" applyFont="1" applyFill="1" applyBorder="1" applyAlignment="1" applyProtection="1">
      <alignment horizontal="center" vertical="center"/>
      <protection hidden="1"/>
    </xf>
    <xf numFmtId="41" fontId="16" fillId="2" borderId="9" xfId="2" applyFont="1" applyFill="1" applyBorder="1" applyAlignment="1" applyProtection="1">
      <alignment horizontal="center" vertical="center"/>
      <protection hidden="1"/>
    </xf>
    <xf numFmtId="41" fontId="16" fillId="2" borderId="27" xfId="2" applyFont="1" applyFill="1" applyBorder="1" applyAlignment="1" applyProtection="1">
      <alignment horizontal="center" vertical="center"/>
      <protection hidden="1"/>
    </xf>
    <xf numFmtId="41" fontId="16" fillId="2" borderId="30" xfId="2" applyFont="1" applyFill="1" applyBorder="1" applyAlignment="1" applyProtection="1">
      <alignment horizontal="center" vertical="center"/>
      <protection hidden="1"/>
    </xf>
    <xf numFmtId="41" fontId="58" fillId="2" borderId="10" xfId="2" applyFont="1" applyFill="1" applyBorder="1" applyAlignment="1" applyProtection="1">
      <alignment horizontal="center" vertical="center"/>
      <protection hidden="1"/>
    </xf>
    <xf numFmtId="41" fontId="58" fillId="2" borderId="0" xfId="2" applyFont="1" applyFill="1" applyBorder="1" applyAlignment="1" applyProtection="1">
      <alignment horizontal="center" vertical="center"/>
      <protection hidden="1"/>
    </xf>
    <xf numFmtId="41" fontId="58" fillId="2" borderId="11" xfId="2" applyFont="1" applyFill="1" applyBorder="1" applyAlignment="1" applyProtection="1">
      <alignment horizontal="center" vertical="center"/>
      <protection hidden="1"/>
    </xf>
    <xf numFmtId="0" fontId="58" fillId="2" borderId="104" xfId="0" applyFont="1" applyFill="1" applyBorder="1" applyAlignment="1" applyProtection="1">
      <alignment horizontal="center" vertical="center"/>
      <protection hidden="1"/>
    </xf>
    <xf numFmtId="0" fontId="58" fillId="2" borderId="35" xfId="0" applyFont="1" applyFill="1" applyBorder="1" applyAlignment="1" applyProtection="1">
      <alignment horizontal="center" vertical="center"/>
      <protection hidden="1"/>
    </xf>
    <xf numFmtId="0" fontId="58" fillId="2" borderId="103" xfId="0" applyFont="1" applyFill="1" applyBorder="1" applyAlignment="1" applyProtection="1">
      <alignment horizontal="center" vertical="center"/>
      <protection hidden="1"/>
    </xf>
    <xf numFmtId="6" fontId="16" fillId="2" borderId="79" xfId="2" applyNumberFormat="1" applyFont="1" applyFill="1" applyBorder="1" applyAlignment="1" applyProtection="1">
      <alignment horizontal="center" vertical="center"/>
      <protection hidden="1"/>
    </xf>
    <xf numFmtId="41" fontId="16" fillId="2" borderId="72" xfId="2" applyFont="1" applyFill="1" applyBorder="1" applyAlignment="1" applyProtection="1">
      <alignment horizontal="center" vertical="center"/>
      <protection hidden="1"/>
    </xf>
    <xf numFmtId="41" fontId="16" fillId="2" borderId="81" xfId="2" applyFont="1" applyFill="1" applyBorder="1" applyAlignment="1" applyProtection="1">
      <alignment horizontal="center" vertical="center"/>
      <protection hidden="1"/>
    </xf>
    <xf numFmtId="41" fontId="16" fillId="2" borderId="74" xfId="2" applyFont="1" applyFill="1" applyBorder="1" applyAlignment="1" applyProtection="1">
      <alignment horizontal="center" vertical="center"/>
      <protection hidden="1"/>
    </xf>
    <xf numFmtId="41" fontId="16" fillId="2" borderId="80" xfId="2" applyFont="1" applyFill="1" applyBorder="1" applyAlignment="1" applyProtection="1">
      <alignment horizontal="center" vertical="center"/>
      <protection hidden="1"/>
    </xf>
    <xf numFmtId="41" fontId="16" fillId="2" borderId="78" xfId="2" applyFont="1" applyFill="1" applyBorder="1" applyAlignment="1" applyProtection="1">
      <alignment horizontal="center" vertical="center"/>
      <protection hidden="1"/>
    </xf>
    <xf numFmtId="41" fontId="16" fillId="2" borderId="25" xfId="0" applyNumberFormat="1" applyFont="1" applyFill="1" applyBorder="1" applyAlignment="1" applyProtection="1">
      <alignment horizontal="center" vertical="center"/>
      <protection hidden="1"/>
    </xf>
    <xf numFmtId="41" fontId="16" fillId="2" borderId="26" xfId="0" applyNumberFormat="1" applyFont="1" applyFill="1" applyBorder="1" applyAlignment="1" applyProtection="1">
      <alignment horizontal="center" vertical="center"/>
      <protection hidden="1"/>
    </xf>
    <xf numFmtId="41" fontId="16" fillId="2" borderId="20" xfId="0" applyNumberFormat="1" applyFont="1" applyFill="1" applyBorder="1" applyAlignment="1" applyProtection="1">
      <alignment horizontal="center" vertical="center"/>
      <protection hidden="1"/>
    </xf>
    <xf numFmtId="41" fontId="16" fillId="2" borderId="15" xfId="2" applyFont="1" applyFill="1" applyBorder="1" applyAlignment="1" applyProtection="1">
      <alignment horizontal="center" vertical="center"/>
      <protection hidden="1"/>
    </xf>
    <xf numFmtId="41" fontId="16" fillId="2" borderId="17" xfId="2" applyFont="1" applyFill="1" applyBorder="1" applyAlignment="1" applyProtection="1">
      <alignment horizontal="center" vertical="center"/>
      <protection hidden="1"/>
    </xf>
    <xf numFmtId="41" fontId="16" fillId="2" borderId="29" xfId="2" applyFont="1" applyFill="1" applyBorder="1" applyAlignment="1" applyProtection="1">
      <alignment horizontal="center" vertical="center"/>
      <protection hidden="1"/>
    </xf>
    <xf numFmtId="177" fontId="15" fillId="2" borderId="25" xfId="3" applyNumberFormat="1" applyFont="1" applyFill="1" applyBorder="1" applyAlignment="1" applyProtection="1">
      <alignment horizontal="center" vertical="center"/>
      <protection hidden="1"/>
    </xf>
    <xf numFmtId="177" fontId="15" fillId="2" borderId="26" xfId="3" applyNumberFormat="1" applyFont="1" applyFill="1" applyBorder="1" applyAlignment="1" applyProtection="1">
      <alignment horizontal="center" vertical="center"/>
      <protection hidden="1"/>
    </xf>
    <xf numFmtId="177" fontId="15" fillId="2" borderId="20" xfId="3" applyNumberFormat="1" applyFont="1" applyFill="1" applyBorder="1" applyAlignment="1" applyProtection="1">
      <alignment horizontal="center" vertical="center"/>
      <protection hidden="1"/>
    </xf>
    <xf numFmtId="177" fontId="15" fillId="2" borderId="27" xfId="3" applyNumberFormat="1" applyFont="1" applyFill="1" applyBorder="1" applyAlignment="1" applyProtection="1">
      <alignment horizontal="center" vertical="center"/>
      <protection hidden="1"/>
    </xf>
    <xf numFmtId="177" fontId="15" fillId="2" borderId="29" xfId="3" applyNumberFormat="1" applyFont="1" applyFill="1" applyBorder="1" applyAlignment="1" applyProtection="1">
      <alignment horizontal="center" vertical="center"/>
      <protection hidden="1"/>
    </xf>
    <xf numFmtId="177" fontId="15" fillId="2" borderId="30" xfId="3" applyNumberFormat="1" applyFont="1" applyFill="1" applyBorder="1" applyAlignment="1" applyProtection="1">
      <alignment horizontal="center" vertical="center"/>
      <protection hidden="1"/>
    </xf>
    <xf numFmtId="10" fontId="15" fillId="5" borderId="104" xfId="3" applyNumberFormat="1" applyFont="1" applyFill="1" applyBorder="1" applyAlignment="1" applyProtection="1">
      <alignment horizontal="center" vertical="center"/>
      <protection hidden="1"/>
    </xf>
    <xf numFmtId="10" fontId="15" fillId="5" borderId="103" xfId="3" applyNumberFormat="1" applyFont="1" applyFill="1" applyBorder="1" applyAlignment="1" applyProtection="1">
      <alignment horizontal="center" vertical="center"/>
      <protection hidden="1"/>
    </xf>
    <xf numFmtId="0" fontId="15" fillId="7" borderId="58" xfId="0" applyFont="1" applyFill="1" applyBorder="1" applyAlignment="1" applyProtection="1">
      <alignment horizontal="center" vertical="center"/>
      <protection hidden="1"/>
    </xf>
    <xf numFmtId="0" fontId="15" fillId="7" borderId="185" xfId="0" applyFont="1" applyFill="1" applyBorder="1" applyAlignment="1" applyProtection="1">
      <alignment horizontal="center" vertical="center"/>
      <protection hidden="1"/>
    </xf>
    <xf numFmtId="0" fontId="15" fillId="7" borderId="56" xfId="0" applyFont="1" applyFill="1" applyBorder="1" applyAlignment="1" applyProtection="1">
      <alignment horizontal="center" vertical="center"/>
      <protection hidden="1"/>
    </xf>
    <xf numFmtId="9" fontId="16" fillId="2" borderId="149" xfId="3" applyFont="1" applyFill="1" applyBorder="1" applyAlignment="1" applyProtection="1">
      <alignment horizontal="center" vertical="center"/>
      <protection hidden="1"/>
    </xf>
    <xf numFmtId="9" fontId="16" fillId="2" borderId="10" xfId="3" applyFont="1" applyFill="1" applyBorder="1" applyAlignment="1" applyProtection="1">
      <alignment horizontal="center" vertical="center"/>
      <protection hidden="1"/>
    </xf>
    <xf numFmtId="9" fontId="16" fillId="2" borderId="36" xfId="3" applyFont="1" applyFill="1" applyBorder="1" applyAlignment="1" applyProtection="1">
      <alignment horizontal="center" vertical="center"/>
      <protection hidden="1"/>
    </xf>
    <xf numFmtId="0" fontId="14" fillId="7" borderId="96" xfId="0" applyFont="1" applyFill="1" applyBorder="1" applyAlignment="1" applyProtection="1">
      <alignment horizontal="center" vertical="center"/>
      <protection hidden="1"/>
    </xf>
    <xf numFmtId="0" fontId="14" fillId="7" borderId="97" xfId="0" applyFont="1" applyFill="1" applyBorder="1" applyAlignment="1" applyProtection="1">
      <alignment horizontal="center" vertical="center"/>
      <protection hidden="1"/>
    </xf>
    <xf numFmtId="0" fontId="14" fillId="7" borderId="100" xfId="0" applyFont="1" applyFill="1" applyBorder="1" applyAlignment="1" applyProtection="1">
      <alignment horizontal="center" vertical="center"/>
      <protection hidden="1"/>
    </xf>
    <xf numFmtId="0" fontId="14" fillId="7" borderId="4" xfId="0" applyFont="1" applyFill="1" applyBorder="1" applyAlignment="1" applyProtection="1">
      <alignment horizontal="center" vertical="center"/>
      <protection hidden="1"/>
    </xf>
    <xf numFmtId="0" fontId="14" fillId="2" borderId="31" xfId="0" applyFont="1" applyFill="1" applyBorder="1" applyAlignment="1" applyProtection="1">
      <alignment horizontal="center" vertical="center"/>
      <protection hidden="1"/>
    </xf>
    <xf numFmtId="0" fontId="15" fillId="2" borderId="5" xfId="0" applyFont="1" applyFill="1" applyBorder="1" applyAlignment="1" applyProtection="1">
      <alignment horizontal="center" vertical="center"/>
      <protection hidden="1"/>
    </xf>
    <xf numFmtId="0" fontId="14" fillId="2" borderId="6" xfId="0" applyFont="1" applyFill="1" applyBorder="1" applyAlignment="1" applyProtection="1">
      <alignment horizontal="center" vertical="center"/>
      <protection hidden="1"/>
    </xf>
    <xf numFmtId="0" fontId="16" fillId="2" borderId="25" xfId="0" applyFont="1" applyFill="1" applyBorder="1" applyAlignment="1" applyProtection="1">
      <alignment horizontal="center" vertical="center"/>
      <protection hidden="1"/>
    </xf>
    <xf numFmtId="0" fontId="16" fillId="2" borderId="26" xfId="0" applyFont="1" applyFill="1" applyBorder="1" applyAlignment="1" applyProtection="1">
      <alignment horizontal="center" vertical="center"/>
      <protection hidden="1"/>
    </xf>
    <xf numFmtId="0" fontId="16" fillId="2" borderId="20" xfId="0" applyFont="1" applyFill="1" applyBorder="1" applyAlignment="1" applyProtection="1">
      <alignment horizontal="center" vertical="center"/>
      <protection hidden="1"/>
    </xf>
    <xf numFmtId="179" fontId="16" fillId="2" borderId="27" xfId="0" applyNumberFormat="1" applyFont="1" applyFill="1" applyBorder="1" applyAlignment="1" applyProtection="1">
      <alignment horizontal="center" vertical="center"/>
      <protection hidden="1"/>
    </xf>
    <xf numFmtId="179" fontId="16" fillId="2" borderId="29" xfId="0" applyNumberFormat="1" applyFont="1" applyFill="1" applyBorder="1" applyAlignment="1" applyProtection="1">
      <alignment horizontal="center" vertical="center"/>
      <protection hidden="1"/>
    </xf>
    <xf numFmtId="179" fontId="16" fillId="2" borderId="30" xfId="0" applyNumberFormat="1" applyFont="1" applyFill="1" applyBorder="1" applyAlignment="1" applyProtection="1">
      <alignment horizontal="center" vertical="center"/>
      <protection hidden="1"/>
    </xf>
    <xf numFmtId="41" fontId="16" fillId="2" borderId="26" xfId="2" applyFont="1" applyFill="1" applyBorder="1" applyAlignment="1" applyProtection="1">
      <alignment horizontal="center" vertical="center"/>
      <protection hidden="1"/>
    </xf>
    <xf numFmtId="41" fontId="16" fillId="2" borderId="20" xfId="2" applyFont="1" applyFill="1" applyBorder="1" applyAlignment="1" applyProtection="1">
      <alignment horizontal="center" vertical="center"/>
      <protection hidden="1"/>
    </xf>
    <xf numFmtId="0" fontId="15" fillId="2" borderId="98" xfId="0" applyFont="1" applyFill="1" applyBorder="1" applyAlignment="1" applyProtection="1">
      <alignment horizontal="center" vertical="center"/>
      <protection hidden="1"/>
    </xf>
    <xf numFmtId="0" fontId="15" fillId="2" borderId="99" xfId="0" applyFont="1" applyFill="1" applyBorder="1" applyAlignment="1" applyProtection="1">
      <alignment horizontal="center" vertical="center"/>
      <protection hidden="1"/>
    </xf>
    <xf numFmtId="0" fontId="15" fillId="2" borderId="2" xfId="0" applyFont="1" applyFill="1" applyBorder="1" applyAlignment="1" applyProtection="1">
      <alignment horizontal="center" vertical="center"/>
      <protection hidden="1"/>
    </xf>
    <xf numFmtId="0" fontId="15" fillId="2" borderId="67" xfId="0" applyFont="1" applyFill="1" applyBorder="1" applyAlignment="1" applyProtection="1">
      <alignment horizontal="center" vertical="center"/>
      <protection hidden="1"/>
    </xf>
    <xf numFmtId="41" fontId="16" fillId="2" borderId="87" xfId="2" applyFont="1" applyFill="1" applyBorder="1" applyAlignment="1" applyProtection="1">
      <alignment horizontal="center" vertical="center"/>
      <protection hidden="1"/>
    </xf>
    <xf numFmtId="41" fontId="16" fillId="2" borderId="88" xfId="2" applyFont="1" applyFill="1" applyBorder="1" applyAlignment="1" applyProtection="1">
      <alignment horizontal="center" vertical="center"/>
      <protection hidden="1"/>
    </xf>
    <xf numFmtId="41" fontId="16" fillId="2" borderId="77" xfId="2" applyFont="1" applyFill="1" applyBorder="1" applyAlignment="1" applyProtection="1">
      <alignment horizontal="center" vertical="center"/>
      <protection hidden="1"/>
    </xf>
    <xf numFmtId="41" fontId="16" fillId="2" borderId="1" xfId="0" applyNumberFormat="1" applyFont="1" applyFill="1" applyBorder="1" applyAlignment="1" applyProtection="1">
      <alignment horizontal="center" vertical="center"/>
      <protection hidden="1"/>
    </xf>
    <xf numFmtId="0" fontId="16" fillId="2" borderId="1" xfId="0" applyFont="1" applyFill="1" applyBorder="1" applyAlignment="1" applyProtection="1">
      <alignment horizontal="center" vertical="center"/>
      <protection hidden="1"/>
    </xf>
    <xf numFmtId="41" fontId="16" fillId="2" borderId="3" xfId="2" applyFont="1" applyFill="1" applyBorder="1" applyAlignment="1" applyProtection="1">
      <alignment horizontal="center" vertical="center"/>
      <protection hidden="1"/>
    </xf>
    <xf numFmtId="41" fontId="16" fillId="2" borderId="4" xfId="2" applyFont="1" applyFill="1" applyBorder="1" applyAlignment="1" applyProtection="1">
      <alignment horizontal="center" vertical="center"/>
      <protection hidden="1"/>
    </xf>
    <xf numFmtId="10" fontId="15" fillId="2" borderId="31" xfId="3" applyNumberFormat="1" applyFont="1" applyFill="1" applyBorder="1" applyAlignment="1" applyProtection="1">
      <alignment horizontal="center" vertical="center"/>
      <protection hidden="1"/>
    </xf>
    <xf numFmtId="10" fontId="15" fillId="2" borderId="6" xfId="3" applyNumberFormat="1" applyFont="1" applyFill="1" applyBorder="1" applyAlignment="1" applyProtection="1">
      <alignment horizontal="center" vertical="center"/>
      <protection hidden="1"/>
    </xf>
    <xf numFmtId="41" fontId="16" fillId="2" borderId="3" xfId="0" applyNumberFormat="1" applyFont="1" applyFill="1" applyBorder="1" applyAlignment="1" applyProtection="1">
      <alignment horizontal="center" vertical="center"/>
      <protection hidden="1"/>
    </xf>
    <xf numFmtId="41" fontId="16" fillId="2" borderId="4" xfId="0" applyNumberFormat="1" applyFont="1" applyFill="1" applyBorder="1" applyAlignment="1" applyProtection="1">
      <alignment horizontal="center" vertical="center"/>
      <protection hidden="1"/>
    </xf>
    <xf numFmtId="10" fontId="15" fillId="2" borderId="85" xfId="3" applyNumberFormat="1" applyFont="1" applyFill="1" applyBorder="1" applyAlignment="1" applyProtection="1">
      <alignment horizontal="center" vertical="center"/>
      <protection hidden="1"/>
    </xf>
    <xf numFmtId="10" fontId="15" fillId="2" borderId="102" xfId="3" applyNumberFormat="1" applyFont="1" applyFill="1" applyBorder="1" applyAlignment="1" applyProtection="1">
      <alignment horizontal="center" vertical="center"/>
      <protection hidden="1"/>
    </xf>
    <xf numFmtId="41" fontId="16" fillId="2" borderId="25" xfId="2" applyFont="1" applyFill="1" applyBorder="1" applyAlignment="1" applyProtection="1">
      <alignment horizontal="center" vertical="center"/>
      <protection hidden="1"/>
    </xf>
    <xf numFmtId="41" fontId="15" fillId="2" borderId="104" xfId="2" applyFont="1" applyFill="1" applyBorder="1" applyAlignment="1" applyProtection="1">
      <alignment horizontal="center" vertical="center"/>
      <protection hidden="1"/>
    </xf>
    <xf numFmtId="41" fontId="15" fillId="2" borderId="32" xfId="2" applyFont="1" applyFill="1" applyBorder="1" applyAlignment="1" applyProtection="1">
      <alignment horizontal="center" vertical="center"/>
      <protection hidden="1"/>
    </xf>
    <xf numFmtId="0" fontId="14" fillId="7" borderId="41" xfId="0" applyFont="1" applyFill="1" applyBorder="1" applyAlignment="1" applyProtection="1">
      <alignment horizontal="center" vertical="center"/>
      <protection hidden="1"/>
    </xf>
    <xf numFmtId="0" fontId="14" fillId="7" borderId="103" xfId="0" applyFont="1" applyFill="1" applyBorder="1" applyAlignment="1" applyProtection="1">
      <alignment horizontal="center" vertical="center"/>
      <protection hidden="1"/>
    </xf>
    <xf numFmtId="0" fontId="53" fillId="2" borderId="0" xfId="0" applyFont="1" applyFill="1" applyBorder="1" applyAlignment="1" applyProtection="1">
      <alignment horizontal="center" vertical="center"/>
      <protection hidden="1"/>
    </xf>
    <xf numFmtId="41" fontId="16" fillId="2" borderId="2" xfId="2" applyFont="1" applyFill="1" applyBorder="1" applyAlignment="1" applyProtection="1">
      <alignment horizontal="center" vertical="center"/>
      <protection hidden="1"/>
    </xf>
    <xf numFmtId="41" fontId="16" fillId="2" borderId="85" xfId="2" applyFont="1" applyFill="1" applyBorder="1" applyAlignment="1" applyProtection="1">
      <alignment horizontal="center" vertical="center"/>
      <protection hidden="1"/>
    </xf>
    <xf numFmtId="41" fontId="16" fillId="2" borderId="102" xfId="2" applyFont="1" applyFill="1" applyBorder="1" applyAlignment="1" applyProtection="1">
      <alignment horizontal="center" vertical="center"/>
      <protection hidden="1"/>
    </xf>
    <xf numFmtId="41" fontId="16" fillId="2" borderId="98" xfId="2" applyFont="1" applyFill="1" applyBorder="1" applyAlignment="1" applyProtection="1">
      <alignment horizontal="center" vertical="center"/>
      <protection hidden="1"/>
    </xf>
    <xf numFmtId="41" fontId="16" fillId="2" borderId="99" xfId="2" applyFont="1" applyFill="1" applyBorder="1" applyAlignment="1" applyProtection="1">
      <alignment horizontal="center" vertical="center"/>
      <protection hidden="1"/>
    </xf>
    <xf numFmtId="0" fontId="16" fillId="2" borderId="2" xfId="0" applyFont="1" applyFill="1" applyBorder="1" applyAlignment="1" applyProtection="1">
      <alignment horizontal="center" vertical="center"/>
      <protection hidden="1"/>
    </xf>
    <xf numFmtId="0" fontId="16" fillId="2" borderId="67" xfId="0" applyFont="1" applyFill="1" applyBorder="1" applyAlignment="1" applyProtection="1">
      <alignment horizontal="center" vertical="center"/>
      <protection hidden="1"/>
    </xf>
    <xf numFmtId="0" fontId="15" fillId="7" borderId="106" xfId="0" applyFont="1" applyFill="1" applyBorder="1" applyAlignment="1" applyProtection="1">
      <alignment horizontal="center" vertical="center"/>
      <protection hidden="1"/>
    </xf>
    <xf numFmtId="0" fontId="15" fillId="7" borderId="6" xfId="0" applyFont="1" applyFill="1" applyBorder="1" applyAlignment="1" applyProtection="1">
      <alignment horizontal="center" vertical="center"/>
      <protection hidden="1"/>
    </xf>
    <xf numFmtId="0" fontId="15" fillId="7" borderId="112" xfId="0" applyFont="1" applyFill="1" applyBorder="1" applyAlignment="1" applyProtection="1">
      <alignment horizontal="center" vertical="center"/>
      <protection hidden="1"/>
    </xf>
    <xf numFmtId="0" fontId="15" fillId="7" borderId="9" xfId="0" applyFont="1" applyFill="1" applyBorder="1" applyAlignment="1" applyProtection="1">
      <alignment horizontal="center" vertical="center"/>
      <protection hidden="1"/>
    </xf>
    <xf numFmtId="41" fontId="16" fillId="2" borderId="68" xfId="2" applyFont="1" applyFill="1" applyBorder="1" applyAlignment="1" applyProtection="1">
      <alignment horizontal="center" vertical="center"/>
      <protection hidden="1"/>
    </xf>
    <xf numFmtId="0" fontId="14" fillId="7" borderId="101" xfId="0" applyFont="1" applyFill="1" applyBorder="1" applyAlignment="1" applyProtection="1">
      <alignment horizontal="center" vertical="center"/>
      <protection hidden="1"/>
    </xf>
    <xf numFmtId="0" fontId="14" fillId="7" borderId="102" xfId="0" applyFont="1" applyFill="1" applyBorder="1" applyAlignment="1" applyProtection="1">
      <alignment horizontal="center" vertical="center"/>
      <protection hidden="1"/>
    </xf>
    <xf numFmtId="41" fontId="15" fillId="2" borderId="85" xfId="2" applyFont="1" applyFill="1" applyBorder="1" applyAlignment="1" applyProtection="1">
      <alignment horizontal="center" vertical="center"/>
      <protection hidden="1"/>
    </xf>
    <xf numFmtId="41" fontId="15" fillId="2" borderId="68" xfId="2" applyFont="1" applyFill="1" applyBorder="1" applyAlignment="1" applyProtection="1">
      <alignment horizontal="center" vertical="center"/>
      <protection hidden="1"/>
    </xf>
    <xf numFmtId="0" fontId="14" fillId="7" borderId="2" xfId="0" applyFont="1" applyFill="1" applyBorder="1" applyAlignment="1" applyProtection="1">
      <alignment horizontal="center" vertical="center"/>
      <protection hidden="1"/>
    </xf>
    <xf numFmtId="0" fontId="14" fillId="7" borderId="85" xfId="0" applyFont="1" applyFill="1" applyBorder="1" applyAlignment="1" applyProtection="1">
      <alignment horizontal="center" vertical="center"/>
      <protection hidden="1"/>
    </xf>
    <xf numFmtId="0" fontId="15" fillId="7" borderId="188" xfId="0" applyFont="1" applyFill="1" applyBorder="1" applyAlignment="1" applyProtection="1">
      <alignment horizontal="center" vertical="center"/>
      <protection hidden="1"/>
    </xf>
    <xf numFmtId="0" fontId="15" fillId="7" borderId="172" xfId="0" applyFont="1" applyFill="1" applyBorder="1" applyAlignment="1" applyProtection="1">
      <alignment horizontal="center" vertical="center"/>
      <protection hidden="1"/>
    </xf>
    <xf numFmtId="10" fontId="15" fillId="5" borderId="36" xfId="3" applyNumberFormat="1" applyFont="1" applyFill="1" applyBorder="1" applyAlignment="1" applyProtection="1">
      <alignment horizontal="center" vertical="center"/>
      <protection hidden="1"/>
    </xf>
    <xf numFmtId="10" fontId="15" fillId="5" borderId="37" xfId="3" applyNumberFormat="1" applyFont="1" applyFill="1" applyBorder="1" applyAlignment="1" applyProtection="1">
      <alignment horizontal="center" vertical="center"/>
      <protection hidden="1"/>
    </xf>
    <xf numFmtId="180" fontId="28" fillId="2" borderId="104" xfId="0" applyNumberFormat="1" applyFont="1" applyFill="1" applyBorder="1" applyAlignment="1" applyProtection="1">
      <alignment horizontal="center" vertical="center"/>
      <protection hidden="1"/>
    </xf>
    <xf numFmtId="180" fontId="28" fillId="2" borderId="35" xfId="0" applyNumberFormat="1" applyFont="1" applyFill="1" applyBorder="1" applyAlignment="1" applyProtection="1">
      <alignment horizontal="center" vertical="center"/>
      <protection hidden="1"/>
    </xf>
    <xf numFmtId="0" fontId="28" fillId="2" borderId="120" xfId="0" applyFont="1" applyFill="1" applyBorder="1" applyAlignment="1" applyProtection="1">
      <alignment horizontal="center" vertical="center"/>
      <protection hidden="1"/>
    </xf>
    <xf numFmtId="0" fontId="28" fillId="2" borderId="121" xfId="0" applyFont="1" applyFill="1" applyBorder="1" applyAlignment="1" applyProtection="1">
      <alignment horizontal="center" vertical="center"/>
      <protection hidden="1"/>
    </xf>
    <xf numFmtId="41" fontId="23" fillId="2" borderId="121" xfId="2" applyFont="1" applyFill="1" applyBorder="1" applyAlignment="1" applyProtection="1">
      <alignment vertical="center"/>
      <protection hidden="1"/>
    </xf>
    <xf numFmtId="41" fontId="23" fillId="2" borderId="121" xfId="2" applyFont="1" applyFill="1" applyBorder="1" applyAlignment="1" applyProtection="1">
      <alignment horizontal="center" vertical="center"/>
      <protection hidden="1"/>
    </xf>
    <xf numFmtId="41" fontId="23" fillId="2" borderId="122" xfId="2" applyFont="1" applyFill="1" applyBorder="1" applyAlignment="1" applyProtection="1">
      <alignment horizontal="center" vertical="center"/>
      <protection hidden="1"/>
    </xf>
    <xf numFmtId="0" fontId="24" fillId="14" borderId="111" xfId="0" applyFont="1" applyFill="1" applyBorder="1" applyAlignment="1" applyProtection="1">
      <alignment horizontal="center" vertical="center"/>
      <protection hidden="1"/>
    </xf>
    <xf numFmtId="0" fontId="24" fillId="14" borderId="107" xfId="0" applyFont="1" applyFill="1" applyBorder="1" applyAlignment="1" applyProtection="1">
      <alignment horizontal="center" vertical="center"/>
      <protection hidden="1"/>
    </xf>
    <xf numFmtId="0" fontId="23" fillId="14" borderId="149" xfId="0" applyFont="1" applyFill="1" applyBorder="1" applyAlignment="1" applyProtection="1">
      <alignment horizontal="center" vertical="center"/>
      <protection hidden="1"/>
    </xf>
    <xf numFmtId="41" fontId="24" fillId="2" borderId="2" xfId="0" applyNumberFormat="1" applyFont="1" applyFill="1" applyBorder="1" applyAlignment="1" applyProtection="1">
      <alignment horizontal="center" vertical="center"/>
      <protection hidden="1"/>
    </xf>
    <xf numFmtId="41" fontId="24" fillId="2" borderId="3" xfId="0" applyNumberFormat="1" applyFont="1" applyFill="1" applyBorder="1" applyAlignment="1" applyProtection="1">
      <alignment horizontal="center" vertical="center"/>
      <protection hidden="1"/>
    </xf>
    <xf numFmtId="0" fontId="24" fillId="8" borderId="113" xfId="0" applyFont="1" applyFill="1" applyBorder="1" applyAlignment="1" applyProtection="1">
      <alignment horizontal="center" vertical="center"/>
      <protection hidden="1"/>
    </xf>
    <xf numFmtId="0" fontId="24" fillId="8" borderId="114" xfId="0" applyFont="1" applyFill="1" applyBorder="1" applyAlignment="1" applyProtection="1">
      <alignment horizontal="center" vertical="center"/>
      <protection hidden="1"/>
    </xf>
    <xf numFmtId="41" fontId="24" fillId="2" borderId="7" xfId="0" applyNumberFormat="1" applyFont="1" applyFill="1" applyBorder="1" applyAlignment="1" applyProtection="1">
      <alignment horizontal="center" vertical="center"/>
      <protection hidden="1"/>
    </xf>
    <xf numFmtId="41" fontId="24" fillId="2" borderId="8" xfId="0" applyNumberFormat="1" applyFont="1" applyFill="1" applyBorder="1" applyAlignment="1" applyProtection="1">
      <alignment horizontal="center" vertical="center"/>
      <protection hidden="1"/>
    </xf>
    <xf numFmtId="41" fontId="24" fillId="2" borderId="9" xfId="0" applyNumberFormat="1" applyFont="1" applyFill="1" applyBorder="1" applyAlignment="1" applyProtection="1">
      <alignment horizontal="center" vertical="center"/>
      <protection hidden="1"/>
    </xf>
    <xf numFmtId="41" fontId="24" fillId="2" borderId="4" xfId="0" applyNumberFormat="1" applyFont="1" applyFill="1" applyBorder="1" applyAlignment="1" applyProtection="1">
      <alignment horizontal="center" vertical="center"/>
      <protection hidden="1"/>
    </xf>
    <xf numFmtId="0" fontId="28" fillId="2" borderId="97" xfId="0" applyFont="1" applyFill="1" applyBorder="1" applyAlignment="1" applyProtection="1">
      <alignment horizontal="center" vertical="center"/>
      <protection hidden="1"/>
    </xf>
    <xf numFmtId="0" fontId="28" fillId="2" borderId="138" xfId="0" applyFont="1" applyFill="1" applyBorder="1" applyAlignment="1" applyProtection="1">
      <alignment horizontal="center" vertical="center"/>
      <protection hidden="1"/>
    </xf>
    <xf numFmtId="10" fontId="24" fillId="2" borderId="85" xfId="3" applyNumberFormat="1" applyFont="1" applyFill="1" applyBorder="1" applyAlignment="1" applyProtection="1">
      <alignment horizontal="center" vertical="center"/>
      <protection hidden="1"/>
    </xf>
    <xf numFmtId="10" fontId="24" fillId="2" borderId="49" xfId="3" applyNumberFormat="1" applyFont="1" applyFill="1" applyBorder="1" applyAlignment="1" applyProtection="1">
      <alignment horizontal="center" vertical="center"/>
      <protection hidden="1"/>
    </xf>
    <xf numFmtId="41" fontId="24" fillId="2" borderId="49" xfId="2" applyFont="1" applyFill="1" applyBorder="1" applyAlignment="1" applyProtection="1">
      <alignment horizontal="center" vertical="center"/>
      <protection hidden="1"/>
    </xf>
    <xf numFmtId="41" fontId="24" fillId="2" borderId="102" xfId="2" applyFont="1" applyFill="1" applyBorder="1" applyAlignment="1" applyProtection="1">
      <alignment horizontal="center" vertical="center"/>
      <protection hidden="1"/>
    </xf>
    <xf numFmtId="0" fontId="29" fillId="2" borderId="0" xfId="0" applyFont="1" applyFill="1" applyBorder="1" applyAlignment="1" applyProtection="1">
      <alignment horizontal="center"/>
      <protection hidden="1"/>
    </xf>
    <xf numFmtId="0" fontId="28" fillId="2" borderId="102" xfId="0" applyFont="1" applyFill="1" applyBorder="1" applyAlignment="1" applyProtection="1">
      <alignment horizontal="center" vertical="center"/>
      <protection hidden="1"/>
    </xf>
    <xf numFmtId="0" fontId="28" fillId="2" borderId="145" xfId="0" applyFont="1" applyFill="1" applyBorder="1" applyAlignment="1" applyProtection="1">
      <alignment horizontal="center" vertical="center"/>
      <protection hidden="1"/>
    </xf>
    <xf numFmtId="10" fontId="24" fillId="2" borderId="98" xfId="3" applyNumberFormat="1" applyFont="1" applyFill="1" applyBorder="1" applyAlignment="1" applyProtection="1">
      <alignment horizontal="center" vertical="center"/>
      <protection hidden="1"/>
    </xf>
    <xf numFmtId="10" fontId="24" fillId="2" borderId="110" xfId="3" applyNumberFormat="1" applyFont="1" applyFill="1" applyBorder="1" applyAlignment="1" applyProtection="1">
      <alignment horizontal="center" vertical="center"/>
      <protection hidden="1"/>
    </xf>
    <xf numFmtId="10" fontId="24" fillId="2" borderId="97" xfId="3" applyNumberFormat="1" applyFont="1" applyFill="1" applyBorder="1" applyAlignment="1" applyProtection="1">
      <alignment horizontal="center" vertical="center"/>
      <protection hidden="1"/>
    </xf>
    <xf numFmtId="0" fontId="24" fillId="8" borderId="51" xfId="0" applyFont="1" applyFill="1" applyBorder="1" applyAlignment="1" applyProtection="1">
      <alignment horizontal="center" vertical="center"/>
      <protection hidden="1"/>
    </xf>
    <xf numFmtId="0" fontId="24" fillId="8" borderId="108" xfId="0" applyFont="1" applyFill="1" applyBorder="1" applyAlignment="1" applyProtection="1">
      <alignment horizontal="center" vertical="center"/>
      <protection hidden="1"/>
    </xf>
    <xf numFmtId="0" fontId="7" fillId="14" borderId="55" xfId="0" applyFont="1" applyFill="1" applyBorder="1" applyAlignment="1" applyProtection="1">
      <alignment horizontal="center" vertical="center"/>
      <protection hidden="1"/>
    </xf>
    <xf numFmtId="0" fontId="7" fillId="14" borderId="43" xfId="0" applyFont="1" applyFill="1" applyBorder="1" applyAlignment="1" applyProtection="1">
      <alignment horizontal="center" vertical="center"/>
      <protection hidden="1"/>
    </xf>
    <xf numFmtId="10" fontId="10" fillId="2" borderId="46" xfId="0" applyNumberFormat="1" applyFont="1" applyFill="1" applyBorder="1" applyAlignment="1" applyProtection="1">
      <alignment horizontal="center" vertical="center"/>
      <protection hidden="1"/>
    </xf>
    <xf numFmtId="41" fontId="5" fillId="2" borderId="48" xfId="2" applyFont="1" applyFill="1" applyBorder="1" applyAlignment="1" applyProtection="1">
      <alignment horizontal="center" vertical="center"/>
      <protection hidden="1"/>
    </xf>
    <xf numFmtId="41" fontId="5" fillId="2" borderId="46" xfId="2" applyFont="1" applyFill="1" applyBorder="1" applyAlignment="1" applyProtection="1">
      <alignment horizontal="center" vertical="center"/>
      <protection hidden="1"/>
    </xf>
    <xf numFmtId="41" fontId="5" fillId="2" borderId="95" xfId="2" applyFont="1" applyFill="1" applyBorder="1" applyAlignment="1" applyProtection="1">
      <alignment horizontal="center" vertical="center"/>
      <protection hidden="1"/>
    </xf>
    <xf numFmtId="10" fontId="10" fillId="2" borderId="47" xfId="0" applyNumberFormat="1" applyFont="1" applyFill="1" applyBorder="1" applyAlignment="1" applyProtection="1">
      <alignment horizontal="center" vertical="center"/>
      <protection hidden="1"/>
    </xf>
    <xf numFmtId="10" fontId="7" fillId="2" borderId="26" xfId="3" applyNumberFormat="1" applyFont="1" applyFill="1" applyBorder="1" applyAlignment="1" applyProtection="1">
      <alignment horizontal="center" vertical="center"/>
      <protection hidden="1"/>
    </xf>
    <xf numFmtId="10" fontId="7" fillId="2" borderId="19" xfId="3" applyNumberFormat="1" applyFont="1" applyFill="1" applyBorder="1" applyAlignment="1" applyProtection="1">
      <alignment horizontal="center" vertical="center"/>
      <protection hidden="1"/>
    </xf>
    <xf numFmtId="10" fontId="5" fillId="2" borderId="22" xfId="3" applyNumberFormat="1" applyFont="1" applyFill="1" applyBorder="1" applyAlignment="1" applyProtection="1">
      <alignment horizontal="center" vertical="center"/>
      <protection hidden="1"/>
    </xf>
    <xf numFmtId="41" fontId="7" fillId="2" borderId="36" xfId="2" applyFont="1" applyFill="1" applyBorder="1" applyAlignment="1" applyProtection="1">
      <alignment horizontal="center" vertical="center"/>
      <protection hidden="1"/>
    </xf>
    <xf numFmtId="41" fontId="7" fillId="2" borderId="22" xfId="2" applyFont="1" applyFill="1" applyBorder="1" applyAlignment="1" applyProtection="1">
      <alignment horizontal="center" vertical="center"/>
      <protection hidden="1"/>
    </xf>
    <xf numFmtId="41" fontId="7" fillId="2" borderId="57" xfId="2" applyFont="1" applyFill="1" applyBorder="1" applyAlignment="1" applyProtection="1">
      <alignment horizontal="center" vertical="center"/>
      <protection hidden="1"/>
    </xf>
    <xf numFmtId="10" fontId="5" fillId="2" borderId="37" xfId="3" applyNumberFormat="1" applyFont="1" applyFill="1" applyBorder="1" applyAlignment="1" applyProtection="1">
      <alignment horizontal="center" vertical="center"/>
      <protection hidden="1"/>
    </xf>
    <xf numFmtId="10" fontId="5" fillId="2" borderId="29" xfId="3" applyNumberFormat="1" applyFont="1" applyFill="1" applyBorder="1" applyAlignment="1" applyProtection="1">
      <alignment horizontal="center" vertical="center"/>
      <protection hidden="1"/>
    </xf>
    <xf numFmtId="0" fontId="8" fillId="6" borderId="91" xfId="0" applyFont="1" applyFill="1" applyBorder="1" applyAlignment="1" applyProtection="1">
      <alignment horizontal="center" vertical="center"/>
      <protection hidden="1"/>
    </xf>
    <xf numFmtId="0" fontId="8" fillId="6" borderId="92" xfId="0" applyFont="1" applyFill="1" applyBorder="1" applyAlignment="1" applyProtection="1">
      <alignment horizontal="center" vertical="center"/>
      <protection hidden="1"/>
    </xf>
    <xf numFmtId="0" fontId="8" fillId="2" borderId="0" xfId="0" applyFont="1" applyFill="1" applyBorder="1" applyAlignment="1" applyProtection="1">
      <alignment horizontal="center" vertical="center"/>
      <protection hidden="1"/>
    </xf>
    <xf numFmtId="14" fontId="7" fillId="2" borderId="0" xfId="0" applyNumberFormat="1" applyFont="1" applyFill="1" applyBorder="1" applyAlignment="1" applyProtection="1">
      <alignment horizontal="center" vertical="center"/>
      <protection hidden="1"/>
    </xf>
    <xf numFmtId="0" fontId="7" fillId="2" borderId="58" xfId="0" applyFont="1" applyFill="1" applyBorder="1" applyAlignment="1" applyProtection="1">
      <alignment horizontal="center" vertical="center"/>
      <protection hidden="1"/>
    </xf>
    <xf numFmtId="0" fontId="7" fillId="2" borderId="59" xfId="0" applyFont="1" applyFill="1" applyBorder="1" applyAlignment="1" applyProtection="1">
      <alignment horizontal="center" vertical="center"/>
      <protection hidden="1"/>
    </xf>
    <xf numFmtId="3" fontId="7" fillId="8" borderId="35" xfId="2" applyNumberFormat="1" applyFont="1" applyFill="1" applyBorder="1" applyAlignment="1" applyProtection="1">
      <alignment horizontal="center" vertical="center"/>
      <protection hidden="1"/>
    </xf>
    <xf numFmtId="3" fontId="7" fillId="8" borderId="32" xfId="2" applyNumberFormat="1" applyFont="1" applyFill="1" applyBorder="1" applyAlignment="1" applyProtection="1">
      <alignment horizontal="center" vertical="center"/>
      <protection hidden="1"/>
    </xf>
    <xf numFmtId="41" fontId="7" fillId="2" borderId="27" xfId="2" applyFont="1" applyFill="1" applyBorder="1" applyAlignment="1" applyProtection="1">
      <alignment horizontal="center" vertical="center"/>
      <protection hidden="1"/>
    </xf>
    <xf numFmtId="41" fontId="7" fillId="2" borderId="29" xfId="2" applyFont="1" applyFill="1" applyBorder="1" applyAlignment="1" applyProtection="1">
      <alignment horizontal="center" vertical="center"/>
      <protection hidden="1"/>
    </xf>
    <xf numFmtId="41" fontId="7" fillId="2" borderId="30" xfId="2" applyFont="1" applyFill="1" applyBorder="1" applyAlignment="1" applyProtection="1">
      <alignment horizontal="center" vertical="center"/>
      <protection hidden="1"/>
    </xf>
    <xf numFmtId="10" fontId="9" fillId="2" borderId="41" xfId="3" applyNumberFormat="1" applyFont="1" applyFill="1" applyBorder="1" applyAlignment="1" applyProtection="1">
      <alignment horizontal="center" vertical="center"/>
      <protection hidden="1"/>
    </xf>
    <xf numFmtId="10" fontId="9" fillId="2" borderId="35" xfId="3" applyNumberFormat="1" applyFont="1" applyFill="1" applyBorder="1" applyAlignment="1" applyProtection="1">
      <alignment horizontal="center" vertical="center"/>
      <protection hidden="1"/>
    </xf>
    <xf numFmtId="10" fontId="9" fillId="2" borderId="32" xfId="3" applyNumberFormat="1" applyFont="1" applyFill="1" applyBorder="1" applyAlignment="1" applyProtection="1">
      <alignment horizontal="center" vertical="center"/>
      <protection hidden="1"/>
    </xf>
    <xf numFmtId="10" fontId="7" fillId="2" borderId="41" xfId="0" applyNumberFormat="1" applyFont="1" applyFill="1" applyBorder="1" applyAlignment="1" applyProtection="1">
      <alignment horizontal="center" vertical="center"/>
      <protection hidden="1"/>
    </xf>
    <xf numFmtId="10" fontId="7" fillId="2" borderId="35" xfId="0" applyNumberFormat="1" applyFont="1" applyFill="1" applyBorder="1" applyAlignment="1" applyProtection="1">
      <alignment horizontal="center" vertical="center"/>
      <protection hidden="1"/>
    </xf>
    <xf numFmtId="10" fontId="7" fillId="2" borderId="32" xfId="0" applyNumberFormat="1" applyFont="1" applyFill="1" applyBorder="1" applyAlignment="1" applyProtection="1">
      <alignment horizontal="center" vertical="center"/>
      <protection hidden="1"/>
    </xf>
    <xf numFmtId="6" fontId="3" fillId="2" borderId="2" xfId="2" applyNumberFormat="1" applyFont="1" applyFill="1" applyBorder="1" applyAlignment="1" applyProtection="1">
      <alignment horizontal="center" vertical="center"/>
      <protection hidden="1"/>
    </xf>
    <xf numFmtId="41" fontId="3" fillId="2" borderId="3" xfId="2" applyFont="1" applyFill="1" applyBorder="1" applyAlignment="1" applyProtection="1">
      <alignment horizontal="center" vertical="center"/>
      <protection hidden="1"/>
    </xf>
    <xf numFmtId="41" fontId="3" fillId="2" borderId="4" xfId="2" applyFont="1" applyFill="1" applyBorder="1" applyAlignment="1" applyProtection="1">
      <alignment horizontal="center" vertical="center"/>
      <protection hidden="1"/>
    </xf>
    <xf numFmtId="41" fontId="3" fillId="2" borderId="35" xfId="2" applyFont="1" applyFill="1" applyBorder="1" applyAlignment="1" applyProtection="1">
      <alignment horizontal="center" vertical="center"/>
      <protection hidden="1"/>
    </xf>
    <xf numFmtId="41" fontId="3" fillId="2" borderId="32" xfId="2" applyFont="1" applyFill="1" applyBorder="1" applyAlignment="1" applyProtection="1">
      <alignment horizontal="center" vertical="center"/>
      <protection hidden="1"/>
    </xf>
    <xf numFmtId="177" fontId="3" fillId="2" borderId="35" xfId="3" applyNumberFormat="1" applyFont="1" applyFill="1" applyBorder="1" applyAlignment="1" applyProtection="1">
      <alignment horizontal="center" vertical="center"/>
      <protection hidden="1"/>
    </xf>
    <xf numFmtId="177" fontId="3" fillId="2" borderId="32" xfId="3" applyNumberFormat="1" applyFont="1" applyFill="1" applyBorder="1" applyAlignment="1" applyProtection="1">
      <alignment horizontal="center" vertical="center"/>
      <protection hidden="1"/>
    </xf>
    <xf numFmtId="177" fontId="3" fillId="2" borderId="104" xfId="3" applyNumberFormat="1" applyFont="1" applyFill="1" applyBorder="1" applyAlignment="1" applyProtection="1">
      <alignment horizontal="center" vertical="center"/>
      <protection hidden="1"/>
    </xf>
    <xf numFmtId="0" fontId="7" fillId="7" borderId="2" xfId="0" applyFont="1" applyFill="1" applyBorder="1" applyAlignment="1" applyProtection="1">
      <alignment horizontal="center" vertical="center"/>
      <protection hidden="1"/>
    </xf>
    <xf numFmtId="0" fontId="7" fillId="7" borderId="4" xfId="0" applyFont="1" applyFill="1" applyBorder="1" applyAlignment="1" applyProtection="1">
      <alignment horizontal="center" vertical="center"/>
      <protection hidden="1"/>
    </xf>
    <xf numFmtId="41" fontId="3" fillId="2" borderId="2" xfId="2" applyFont="1" applyFill="1" applyBorder="1" applyAlignment="1" applyProtection="1">
      <alignment horizontal="center" vertical="center"/>
      <protection hidden="1"/>
    </xf>
    <xf numFmtId="41" fontId="3" fillId="2" borderId="3" xfId="0" applyNumberFormat="1" applyFont="1" applyFill="1" applyBorder="1" applyAlignment="1" applyProtection="1">
      <alignment horizontal="center" vertical="center"/>
      <protection hidden="1"/>
    </xf>
    <xf numFmtId="41" fontId="3" fillId="2" borderId="4" xfId="0" applyNumberFormat="1" applyFont="1" applyFill="1" applyBorder="1" applyAlignment="1" applyProtection="1">
      <alignment horizontal="center" vertical="center"/>
      <protection hidden="1"/>
    </xf>
    <xf numFmtId="41" fontId="3" fillId="2" borderId="71" xfId="2" applyFont="1" applyFill="1" applyBorder="1" applyAlignment="1" applyProtection="1">
      <alignment horizontal="center" vertical="center"/>
      <protection hidden="1"/>
    </xf>
    <xf numFmtId="41" fontId="3" fillId="2" borderId="72" xfId="2" applyFont="1" applyFill="1" applyBorder="1" applyAlignment="1" applyProtection="1">
      <alignment horizontal="center" vertical="center"/>
      <protection hidden="1"/>
    </xf>
    <xf numFmtId="41" fontId="3" fillId="2" borderId="5" xfId="2" applyFont="1" applyFill="1" applyBorder="1" applyAlignment="1" applyProtection="1">
      <alignment horizontal="center" vertical="center"/>
      <protection hidden="1"/>
    </xf>
    <xf numFmtId="41" fontId="3" fillId="2" borderId="6" xfId="2" applyFont="1" applyFill="1" applyBorder="1" applyAlignment="1" applyProtection="1">
      <alignment horizontal="center" vertical="center"/>
      <protection hidden="1"/>
    </xf>
    <xf numFmtId="6" fontId="3" fillId="2" borderId="71" xfId="2" applyNumberFormat="1" applyFont="1" applyFill="1" applyBorder="1" applyAlignment="1" applyProtection="1">
      <alignment horizontal="center" vertical="center"/>
      <protection hidden="1"/>
    </xf>
    <xf numFmtId="41" fontId="3" fillId="2" borderId="26" xfId="2" applyFont="1" applyFill="1" applyBorder="1" applyAlignment="1" applyProtection="1">
      <alignment horizontal="center" vertical="center"/>
      <protection hidden="1"/>
    </xf>
    <xf numFmtId="41" fontId="3" fillId="2" borderId="20" xfId="2" applyFont="1" applyFill="1" applyBorder="1" applyAlignment="1" applyProtection="1">
      <alignment horizontal="center" vertical="center"/>
      <protection hidden="1"/>
    </xf>
    <xf numFmtId="41" fontId="3" fillId="2" borderId="29" xfId="2" applyFont="1" applyFill="1" applyBorder="1" applyAlignment="1" applyProtection="1">
      <alignment horizontal="center" vertical="center"/>
      <protection hidden="1"/>
    </xf>
    <xf numFmtId="41" fontId="3" fillId="2" borderId="30" xfId="2" applyFont="1" applyFill="1" applyBorder="1" applyAlignment="1" applyProtection="1">
      <alignment horizontal="center" vertical="center"/>
      <protection hidden="1"/>
    </xf>
    <xf numFmtId="41" fontId="3" fillId="2" borderId="77" xfId="2" applyFont="1" applyFill="1" applyBorder="1" applyAlignment="1" applyProtection="1">
      <alignment horizontal="center" vertical="center"/>
      <protection hidden="1"/>
    </xf>
    <xf numFmtId="41" fontId="3" fillId="2" borderId="78" xfId="2" applyFont="1" applyFill="1" applyBorder="1" applyAlignment="1" applyProtection="1">
      <alignment horizontal="center" vertical="center"/>
      <protection hidden="1"/>
    </xf>
    <xf numFmtId="10" fontId="7" fillId="5" borderId="145" xfId="3" applyNumberFormat="1" applyFont="1" applyFill="1" applyBorder="1" applyAlignment="1" applyProtection="1">
      <alignment horizontal="center" vertical="center"/>
      <protection hidden="1"/>
    </xf>
    <xf numFmtId="41" fontId="3" fillId="2" borderId="80" xfId="2" applyFont="1" applyFill="1" applyBorder="1" applyAlignment="1" applyProtection="1">
      <alignment horizontal="center" vertical="center"/>
      <protection hidden="1"/>
    </xf>
    <xf numFmtId="41" fontId="3" fillId="2" borderId="25" xfId="2" applyFont="1" applyFill="1" applyBorder="1" applyAlignment="1" applyProtection="1">
      <alignment horizontal="center" vertical="center"/>
      <protection hidden="1"/>
    </xf>
    <xf numFmtId="41" fontId="3" fillId="2" borderId="19" xfId="2" applyFont="1" applyFill="1" applyBorder="1" applyAlignment="1" applyProtection="1">
      <alignment horizontal="center" vertical="center"/>
      <protection hidden="1"/>
    </xf>
    <xf numFmtId="0" fontId="3" fillId="2" borderId="31" xfId="0" applyFont="1" applyFill="1" applyBorder="1" applyAlignment="1" applyProtection="1">
      <alignment horizontal="center" vertical="center"/>
      <protection hidden="1"/>
    </xf>
    <xf numFmtId="0" fontId="3" fillId="2" borderId="5" xfId="0" applyFont="1" applyFill="1" applyBorder="1" applyAlignment="1" applyProtection="1">
      <alignment horizontal="center" vertical="center"/>
      <protection hidden="1"/>
    </xf>
    <xf numFmtId="0" fontId="3" fillId="2" borderId="6" xfId="0" applyFont="1" applyFill="1" applyBorder="1" applyAlignment="1" applyProtection="1">
      <alignment horizontal="center" vertical="center"/>
      <protection hidden="1"/>
    </xf>
    <xf numFmtId="0" fontId="3" fillId="2" borderId="2" xfId="0" applyFont="1" applyFill="1" applyBorder="1" applyAlignment="1" applyProtection="1">
      <alignment horizontal="center" vertical="center"/>
      <protection hidden="1"/>
    </xf>
    <xf numFmtId="0" fontId="3" fillId="2" borderId="4" xfId="0" applyFont="1" applyFill="1" applyBorder="1" applyAlignment="1" applyProtection="1">
      <alignment horizontal="center" vertical="center"/>
      <protection hidden="1"/>
    </xf>
    <xf numFmtId="0" fontId="3" fillId="2" borderId="26" xfId="0" applyFont="1" applyFill="1" applyBorder="1" applyAlignment="1" applyProtection="1">
      <alignment horizontal="center" vertical="center"/>
      <protection hidden="1"/>
    </xf>
    <xf numFmtId="0" fontId="3" fillId="2" borderId="20" xfId="0" applyFont="1" applyFill="1" applyBorder="1" applyAlignment="1" applyProtection="1">
      <alignment horizontal="center" vertical="center"/>
      <protection hidden="1"/>
    </xf>
    <xf numFmtId="178" fontId="3" fillId="2" borderId="27" xfId="2" applyNumberFormat="1" applyFont="1" applyFill="1" applyBorder="1" applyAlignment="1" applyProtection="1">
      <alignment horizontal="center" vertical="center"/>
      <protection hidden="1"/>
    </xf>
    <xf numFmtId="178" fontId="3" fillId="2" borderId="29" xfId="2" applyNumberFormat="1" applyFont="1" applyFill="1" applyBorder="1" applyAlignment="1" applyProtection="1">
      <alignment horizontal="center" vertical="center"/>
      <protection hidden="1"/>
    </xf>
    <xf numFmtId="178" fontId="3" fillId="2" borderId="30" xfId="2" applyNumberFormat="1" applyFont="1" applyFill="1" applyBorder="1" applyAlignment="1" applyProtection="1">
      <alignment horizontal="center" vertical="center"/>
      <protection hidden="1"/>
    </xf>
    <xf numFmtId="0" fontId="15" fillId="2" borderId="31" xfId="0" applyFont="1" applyFill="1" applyBorder="1" applyAlignment="1" applyProtection="1">
      <alignment horizontal="center" vertical="center"/>
      <protection hidden="1"/>
    </xf>
    <xf numFmtId="0" fontId="15" fillId="2" borderId="6" xfId="0" applyFont="1" applyFill="1" applyBorder="1" applyAlignment="1" applyProtection="1">
      <alignment horizontal="center" vertical="center"/>
      <protection hidden="1"/>
    </xf>
    <xf numFmtId="41" fontId="3" fillId="2" borderId="0" xfId="2" applyFont="1" applyFill="1" applyBorder="1" applyAlignment="1" applyProtection="1">
      <alignment horizontal="center" vertical="center"/>
      <protection hidden="1"/>
    </xf>
    <xf numFmtId="41" fontId="3" fillId="2" borderId="11" xfId="2" applyFont="1" applyFill="1" applyBorder="1" applyAlignment="1" applyProtection="1">
      <alignment horizontal="center" vertical="center"/>
      <protection hidden="1"/>
    </xf>
    <xf numFmtId="41" fontId="3" fillId="2" borderId="33" xfId="2" applyFont="1" applyFill="1" applyBorder="1" applyAlignment="1" applyProtection="1">
      <alignment horizontal="center" vertical="center"/>
      <protection hidden="1"/>
    </xf>
    <xf numFmtId="41" fontId="3" fillId="2" borderId="24" xfId="2" applyFont="1" applyFill="1" applyBorder="1" applyAlignment="1" applyProtection="1">
      <alignment horizontal="center" vertical="center"/>
      <protection hidden="1"/>
    </xf>
    <xf numFmtId="0" fontId="7" fillId="7" borderId="31" xfId="0" applyFont="1" applyFill="1" applyBorder="1" applyAlignment="1" applyProtection="1">
      <alignment horizontal="center" vertical="center"/>
      <protection hidden="1"/>
    </xf>
    <xf numFmtId="0" fontId="7" fillId="7" borderId="6" xfId="0" applyFont="1" applyFill="1" applyBorder="1" applyAlignment="1" applyProtection="1">
      <alignment horizontal="center" vertical="center"/>
      <protection hidden="1"/>
    </xf>
    <xf numFmtId="0" fontId="7" fillId="7" borderId="7" xfId="0" applyFont="1" applyFill="1" applyBorder="1" applyAlignment="1" applyProtection="1">
      <alignment horizontal="center" vertical="center"/>
      <protection hidden="1"/>
    </xf>
    <xf numFmtId="0" fontId="7" fillId="7" borderId="9" xfId="0" applyFont="1" applyFill="1" applyBorder="1" applyAlignment="1" applyProtection="1">
      <alignment horizontal="center" vertical="center"/>
      <protection hidden="1"/>
    </xf>
    <xf numFmtId="10" fontId="7" fillId="5" borderId="13" xfId="3" applyNumberFormat="1" applyFont="1" applyFill="1" applyBorder="1" applyAlignment="1" applyProtection="1">
      <alignment horizontal="center" vertical="center"/>
      <protection hidden="1"/>
    </xf>
    <xf numFmtId="41" fontId="24" fillId="2" borderId="2" xfId="3" applyNumberFormat="1" applyFont="1" applyFill="1" applyBorder="1" applyAlignment="1" applyProtection="1">
      <alignment horizontal="center" vertical="center"/>
      <protection hidden="1"/>
    </xf>
    <xf numFmtId="10" fontId="24" fillId="2" borderId="3" xfId="3" applyNumberFormat="1" applyFont="1" applyFill="1" applyBorder="1" applyAlignment="1" applyProtection="1">
      <alignment horizontal="center" vertical="center"/>
      <protection hidden="1"/>
    </xf>
    <xf numFmtId="10" fontId="24" fillId="2" borderId="4" xfId="3" applyNumberFormat="1" applyFont="1" applyFill="1" applyBorder="1" applyAlignment="1" applyProtection="1">
      <alignment horizontal="center" vertical="center"/>
      <protection hidden="1"/>
    </xf>
    <xf numFmtId="9" fontId="24" fillId="2" borderId="98" xfId="0" applyNumberFormat="1" applyFont="1" applyFill="1" applyBorder="1" applyAlignment="1" applyProtection="1">
      <alignment horizontal="center" vertical="center"/>
      <protection hidden="1"/>
    </xf>
    <xf numFmtId="41" fontId="24" fillId="2" borderId="110" xfId="0" applyNumberFormat="1" applyFont="1" applyFill="1" applyBorder="1" applyAlignment="1" applyProtection="1">
      <alignment horizontal="center" vertical="center"/>
      <protection hidden="1"/>
    </xf>
    <xf numFmtId="41" fontId="24" fillId="2" borderId="97" xfId="0" applyNumberFormat="1" applyFont="1" applyFill="1" applyBorder="1" applyAlignment="1" applyProtection="1">
      <alignment horizontal="center" vertical="center"/>
      <protection hidden="1"/>
    </xf>
    <xf numFmtId="10" fontId="24" fillId="2" borderId="2" xfId="3" applyNumberFormat="1" applyFont="1" applyFill="1" applyBorder="1" applyAlignment="1" applyProtection="1">
      <alignment horizontal="center" vertical="center"/>
      <protection hidden="1"/>
    </xf>
    <xf numFmtId="0" fontId="24" fillId="14" borderId="49" xfId="0" applyFont="1" applyFill="1" applyBorder="1" applyAlignment="1" applyProtection="1">
      <alignment horizontal="center" vertical="center"/>
      <protection hidden="1"/>
    </xf>
    <xf numFmtId="0" fontId="24" fillId="14" borderId="85" xfId="0" applyFont="1" applyFill="1" applyBorder="1" applyAlignment="1" applyProtection="1">
      <alignment horizontal="center" vertical="center"/>
      <protection hidden="1"/>
    </xf>
    <xf numFmtId="41" fontId="24" fillId="2" borderId="85" xfId="0" applyNumberFormat="1" applyFont="1" applyFill="1" applyBorder="1" applyAlignment="1" applyProtection="1">
      <alignment horizontal="center" vertical="center"/>
      <protection hidden="1"/>
    </xf>
    <xf numFmtId="0" fontId="24" fillId="14" borderId="110" xfId="0" applyFont="1" applyFill="1" applyBorder="1" applyAlignment="1" applyProtection="1">
      <alignment horizontal="center" vertical="center"/>
      <protection hidden="1"/>
    </xf>
    <xf numFmtId="0" fontId="24" fillId="14" borderId="98" xfId="0" applyFont="1" applyFill="1" applyBorder="1" applyAlignment="1" applyProtection="1">
      <alignment horizontal="center" vertical="center"/>
      <protection hidden="1"/>
    </xf>
    <xf numFmtId="0" fontId="23" fillId="14" borderId="138" xfId="0" applyFont="1" applyFill="1" applyBorder="1" applyAlignment="1" applyProtection="1">
      <alignment horizontal="center" vertical="center"/>
      <protection hidden="1"/>
    </xf>
    <xf numFmtId="41" fontId="23" fillId="2" borderId="138" xfId="0" applyNumberFormat="1" applyFont="1" applyFill="1" applyBorder="1" applyAlignment="1" applyProtection="1">
      <alignment horizontal="center" vertical="center"/>
      <protection hidden="1"/>
    </xf>
    <xf numFmtId="41" fontId="23" fillId="2" borderId="98" xfId="0" applyNumberFormat="1" applyFont="1" applyFill="1" applyBorder="1" applyAlignment="1" applyProtection="1">
      <alignment horizontal="center" vertical="center"/>
      <protection hidden="1"/>
    </xf>
    <xf numFmtId="41" fontId="7" fillId="8" borderId="18" xfId="2" applyFont="1" applyFill="1" applyBorder="1" applyAlignment="1" applyProtection="1">
      <alignment horizontal="center" vertical="center"/>
      <protection hidden="1"/>
    </xf>
    <xf numFmtId="41" fontId="7" fillId="8" borderId="26" xfId="2" applyFont="1" applyFill="1" applyBorder="1" applyAlignment="1" applyProtection="1">
      <alignment horizontal="center" vertical="center"/>
      <protection hidden="1"/>
    </xf>
    <xf numFmtId="41" fontId="7" fillId="8" borderId="20" xfId="2" applyFont="1" applyFill="1" applyBorder="1" applyAlignment="1" applyProtection="1">
      <alignment horizontal="center" vertical="center"/>
      <protection hidden="1"/>
    </xf>
    <xf numFmtId="41" fontId="5" fillId="2" borderId="41" xfId="2" applyFont="1" applyFill="1" applyBorder="1" applyAlignment="1" applyProtection="1">
      <alignment horizontal="center" vertical="center"/>
      <protection hidden="1"/>
    </xf>
    <xf numFmtId="41" fontId="5" fillId="2" borderId="35" xfId="2" applyFont="1" applyFill="1" applyBorder="1" applyAlignment="1" applyProtection="1">
      <alignment horizontal="center" vertical="center"/>
      <protection hidden="1"/>
    </xf>
    <xf numFmtId="41" fontId="5" fillId="2" borderId="32" xfId="2" applyFont="1" applyFill="1" applyBorder="1" applyAlignment="1" applyProtection="1">
      <alignment horizontal="center" vertical="center"/>
      <protection hidden="1"/>
    </xf>
    <xf numFmtId="41" fontId="5" fillId="2" borderId="41" xfId="0" applyNumberFormat="1" applyFont="1" applyFill="1" applyBorder="1" applyAlignment="1" applyProtection="1">
      <alignment horizontal="center" vertical="center"/>
      <protection hidden="1"/>
    </xf>
    <xf numFmtId="41" fontId="5" fillId="2" borderId="35" xfId="0" applyNumberFormat="1" applyFont="1" applyFill="1" applyBorder="1" applyAlignment="1" applyProtection="1">
      <alignment horizontal="center" vertical="center"/>
      <protection hidden="1"/>
    </xf>
    <xf numFmtId="41" fontId="5" fillId="2" borderId="32" xfId="0" applyNumberFormat="1" applyFont="1" applyFill="1" applyBorder="1" applyAlignment="1" applyProtection="1">
      <alignment horizontal="center" vertical="center"/>
      <protection hidden="1"/>
    </xf>
    <xf numFmtId="9" fontId="7" fillId="4" borderId="41" xfId="2" applyNumberFormat="1" applyFont="1" applyFill="1" applyBorder="1" applyAlignment="1" applyProtection="1">
      <alignment horizontal="center" vertical="center"/>
      <protection hidden="1"/>
    </xf>
    <xf numFmtId="41" fontId="7" fillId="4" borderId="35" xfId="2" applyFont="1" applyFill="1" applyBorder="1" applyAlignment="1" applyProtection="1">
      <alignment horizontal="center" vertical="center"/>
      <protection hidden="1"/>
    </xf>
    <xf numFmtId="41" fontId="7" fillId="4" borderId="32" xfId="2" applyFont="1" applyFill="1" applyBorder="1" applyAlignment="1" applyProtection="1">
      <alignment horizontal="center" vertical="center"/>
      <protection hidden="1"/>
    </xf>
    <xf numFmtId="0" fontId="7" fillId="7" borderId="100" xfId="0" applyFont="1" applyFill="1" applyBorder="1" applyAlignment="1">
      <alignment horizontal="center" vertical="center"/>
    </xf>
    <xf numFmtId="0" fontId="7" fillId="7" borderId="4"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67"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15" fillId="2" borderId="58" xfId="0" applyFont="1" applyFill="1" applyBorder="1" applyAlignment="1">
      <alignment horizontal="center" vertical="center"/>
    </xf>
    <xf numFmtId="0" fontId="15" fillId="2" borderId="111"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0" xfId="0" applyFont="1" applyFill="1" applyBorder="1" applyAlignment="1">
      <alignment horizontal="center" vertical="center"/>
    </xf>
    <xf numFmtId="178" fontId="3" fillId="2" borderId="29" xfId="2" applyNumberFormat="1" applyFont="1" applyFill="1" applyBorder="1" applyAlignment="1">
      <alignment horizontal="center" vertical="center"/>
    </xf>
    <xf numFmtId="178" fontId="3" fillId="2" borderId="30" xfId="2" applyNumberFormat="1" applyFont="1" applyFill="1" applyBorder="1" applyAlignment="1">
      <alignment horizontal="center" vertical="center"/>
    </xf>
    <xf numFmtId="41" fontId="3" fillId="2" borderId="25" xfId="2" applyFont="1" applyFill="1" applyBorder="1" applyAlignment="1">
      <alignment horizontal="center" vertical="center"/>
    </xf>
    <xf numFmtId="41" fontId="3" fillId="2" borderId="19" xfId="2" applyFont="1" applyFill="1" applyBorder="1" applyAlignment="1">
      <alignment horizontal="center" vertical="center"/>
    </xf>
    <xf numFmtId="41" fontId="3" fillId="2" borderId="35" xfId="2" applyFont="1" applyFill="1" applyBorder="1" applyAlignment="1">
      <alignment horizontal="center" vertical="center"/>
    </xf>
    <xf numFmtId="41" fontId="3" fillId="2" borderId="32" xfId="2" applyFont="1" applyFill="1" applyBorder="1" applyAlignment="1">
      <alignment horizontal="center" vertical="center"/>
    </xf>
    <xf numFmtId="41" fontId="3" fillId="2" borderId="80" xfId="2" applyFont="1" applyFill="1" applyBorder="1" applyAlignment="1">
      <alignment horizontal="center" vertical="center"/>
    </xf>
    <xf numFmtId="41" fontId="3" fillId="2" borderId="78" xfId="2" applyFont="1" applyFill="1" applyBorder="1" applyAlignment="1">
      <alignment horizontal="center" vertical="center"/>
    </xf>
    <xf numFmtId="0" fontId="7" fillId="7" borderId="96" xfId="0" applyFont="1" applyFill="1" applyBorder="1" applyAlignment="1">
      <alignment horizontal="center" vertical="center"/>
    </xf>
    <xf numFmtId="0" fontId="7" fillId="7" borderId="97" xfId="0" applyFont="1" applyFill="1" applyBorder="1" applyAlignment="1">
      <alignment horizontal="center" vertical="center"/>
    </xf>
    <xf numFmtId="41" fontId="3" fillId="2" borderId="98" xfId="2" applyFont="1" applyFill="1" applyBorder="1" applyAlignment="1">
      <alignment horizontal="center" vertical="center"/>
    </xf>
    <xf numFmtId="41" fontId="3" fillId="2" borderId="99" xfId="2" applyFont="1" applyFill="1" applyBorder="1" applyAlignment="1">
      <alignment horizontal="center" vertical="center"/>
    </xf>
    <xf numFmtId="41" fontId="3" fillId="2" borderId="2" xfId="2" applyFont="1" applyFill="1" applyBorder="1" applyAlignment="1">
      <alignment horizontal="center" vertical="center"/>
    </xf>
    <xf numFmtId="41" fontId="3" fillId="2" borderId="67" xfId="2" applyFont="1" applyFill="1" applyBorder="1" applyAlignment="1">
      <alignment horizontal="center" vertical="center"/>
    </xf>
    <xf numFmtId="41" fontId="3" fillId="2" borderId="3" xfId="2" applyFont="1" applyFill="1" applyBorder="1" applyAlignment="1">
      <alignment horizontal="center" vertical="center"/>
    </xf>
    <xf numFmtId="41" fontId="3" fillId="2" borderId="4" xfId="2" applyFont="1" applyFill="1" applyBorder="1" applyAlignment="1">
      <alignment horizontal="center" vertical="center"/>
    </xf>
    <xf numFmtId="41" fontId="3" fillId="2" borderId="77" xfId="2" applyFont="1" applyFill="1" applyBorder="1" applyAlignment="1">
      <alignment horizontal="center" vertical="center"/>
    </xf>
    <xf numFmtId="0" fontId="7" fillId="7" borderId="101" xfId="0" applyFont="1" applyFill="1" applyBorder="1" applyAlignment="1">
      <alignment horizontal="center" vertical="center"/>
    </xf>
    <xf numFmtId="0" fontId="7" fillId="7" borderId="102" xfId="0" applyFont="1" applyFill="1" applyBorder="1" applyAlignment="1">
      <alignment horizontal="center" vertical="center"/>
    </xf>
    <xf numFmtId="41" fontId="3" fillId="2" borderId="85" xfId="2" applyFont="1" applyFill="1" applyBorder="1" applyAlignment="1">
      <alignment horizontal="center" vertical="center"/>
    </xf>
    <xf numFmtId="41" fontId="3" fillId="2" borderId="68" xfId="2" applyFont="1" applyFill="1" applyBorder="1" applyAlignment="1">
      <alignment horizontal="center" vertical="center"/>
    </xf>
    <xf numFmtId="10" fontId="7" fillId="5" borderId="145" xfId="3" applyNumberFormat="1" applyFont="1" applyFill="1" applyBorder="1" applyAlignment="1">
      <alignment horizontal="center" vertical="center"/>
    </xf>
    <xf numFmtId="41" fontId="3" fillId="2" borderId="26" xfId="2" applyFont="1" applyFill="1" applyBorder="1" applyAlignment="1">
      <alignment horizontal="center" vertical="center"/>
    </xf>
    <xf numFmtId="41" fontId="3" fillId="2" borderId="20" xfId="2" applyFont="1" applyFill="1" applyBorder="1" applyAlignment="1">
      <alignment horizontal="center" vertical="center"/>
    </xf>
    <xf numFmtId="41" fontId="3" fillId="2" borderId="29" xfId="2" applyFont="1" applyFill="1" applyBorder="1" applyAlignment="1">
      <alignment horizontal="center" vertical="center"/>
    </xf>
    <xf numFmtId="41" fontId="3" fillId="2" borderId="30" xfId="2" applyFont="1" applyFill="1" applyBorder="1" applyAlignment="1">
      <alignment horizontal="center" vertical="center"/>
    </xf>
    <xf numFmtId="41" fontId="3" fillId="2" borderId="3" xfId="0" applyNumberFormat="1" applyFont="1" applyFill="1" applyBorder="1" applyAlignment="1">
      <alignment horizontal="center" vertical="center"/>
    </xf>
    <xf numFmtId="41" fontId="3" fillId="2" borderId="4" xfId="0" applyNumberFormat="1" applyFont="1" applyFill="1" applyBorder="1" applyAlignment="1">
      <alignment horizontal="center" vertical="center"/>
    </xf>
    <xf numFmtId="0" fontId="7" fillId="7" borderId="106"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112" xfId="0" applyFont="1" applyFill="1" applyBorder="1" applyAlignment="1">
      <alignment horizontal="center" vertical="center"/>
    </xf>
    <xf numFmtId="0" fontId="7" fillId="7" borderId="9" xfId="0" applyFont="1" applyFill="1" applyBorder="1" applyAlignment="1">
      <alignment horizontal="center" vertical="center"/>
    </xf>
    <xf numFmtId="41" fontId="3" fillId="2" borderId="8" xfId="2" applyFont="1" applyFill="1" applyBorder="1" applyAlignment="1">
      <alignment horizontal="center" vertical="center"/>
    </xf>
    <xf numFmtId="41" fontId="3" fillId="2" borderId="9" xfId="2" applyFont="1" applyFill="1" applyBorder="1" applyAlignment="1">
      <alignment horizontal="center" vertical="center"/>
    </xf>
    <xf numFmtId="41" fontId="3" fillId="2" borderId="110" xfId="2" applyFont="1" applyFill="1" applyBorder="1" applyAlignment="1">
      <alignment horizontal="center" vertical="center"/>
    </xf>
    <xf numFmtId="41" fontId="3" fillId="2" borderId="97" xfId="2" applyFont="1" applyFill="1" applyBorder="1" applyAlignment="1">
      <alignment horizontal="center" vertical="center"/>
    </xf>
    <xf numFmtId="41" fontId="3" fillId="2" borderId="0" xfId="2" applyFont="1" applyFill="1" applyBorder="1" applyAlignment="1">
      <alignment horizontal="center" vertical="center"/>
    </xf>
    <xf numFmtId="41" fontId="3" fillId="2" borderId="35" xfId="0" applyNumberFormat="1" applyFont="1" applyFill="1" applyBorder="1" applyAlignment="1">
      <alignment horizontal="center" vertical="center"/>
    </xf>
    <xf numFmtId="41" fontId="3" fillId="2" borderId="32" xfId="0" applyNumberFormat="1" applyFont="1" applyFill="1" applyBorder="1" applyAlignment="1">
      <alignment horizontal="center" vertical="center"/>
    </xf>
    <xf numFmtId="177" fontId="3" fillId="2" borderId="41" xfId="3" applyNumberFormat="1" applyFont="1" applyFill="1" applyBorder="1" applyAlignment="1">
      <alignment horizontal="center" vertical="center"/>
    </xf>
    <xf numFmtId="177" fontId="3" fillId="2" borderId="35" xfId="3" applyNumberFormat="1" applyFont="1" applyFill="1" applyBorder="1" applyAlignment="1">
      <alignment horizontal="center" vertical="center"/>
    </xf>
    <xf numFmtId="177" fontId="3" fillId="2" borderId="32" xfId="3" applyNumberFormat="1" applyFont="1" applyFill="1" applyBorder="1" applyAlignment="1">
      <alignment horizontal="center" vertical="center"/>
    </xf>
    <xf numFmtId="41" fontId="3" fillId="2" borderId="104" xfId="2" applyFont="1" applyFill="1" applyBorder="1" applyAlignment="1">
      <alignment horizontal="center" vertical="center"/>
    </xf>
    <xf numFmtId="0" fontId="3" fillId="0" borderId="0" xfId="0" applyFont="1" applyAlignment="1">
      <alignment horizontal="center" vertical="center"/>
    </xf>
    <xf numFmtId="41" fontId="5" fillId="2" borderId="2" xfId="2" applyFont="1" applyFill="1" applyBorder="1" applyAlignment="1">
      <alignment horizontal="center" vertical="center"/>
    </xf>
    <xf numFmtId="41" fontId="5" fillId="2" borderId="67" xfId="2" applyFont="1" applyFill="1" applyBorder="1" applyAlignment="1">
      <alignment horizontal="center" vertical="center"/>
    </xf>
    <xf numFmtId="0" fontId="5" fillId="2" borderId="158" xfId="0" applyFont="1" applyFill="1" applyBorder="1" applyAlignment="1">
      <alignment horizontal="center" vertical="center"/>
    </xf>
    <xf numFmtId="0" fontId="5" fillId="2" borderId="159"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67" xfId="0" applyFont="1" applyFill="1" applyBorder="1" applyAlignment="1">
      <alignment horizontal="center" vertical="center"/>
    </xf>
    <xf numFmtId="41" fontId="5" fillId="2" borderId="2" xfId="0" applyNumberFormat="1" applyFont="1" applyFill="1" applyBorder="1" applyAlignment="1">
      <alignment horizontal="center" vertical="center"/>
    </xf>
    <xf numFmtId="41" fontId="5" fillId="2" borderId="4" xfId="0" applyNumberFormat="1" applyFont="1" applyFill="1" applyBorder="1" applyAlignment="1">
      <alignment horizontal="center"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98" xfId="0" applyFont="1" applyFill="1" applyBorder="1" applyAlignment="1">
      <alignment horizontal="center" vertical="center"/>
    </xf>
    <xf numFmtId="0" fontId="5" fillId="2" borderId="110" xfId="0" applyFont="1" applyFill="1" applyBorder="1" applyAlignment="1">
      <alignment horizontal="center" vertical="center"/>
    </xf>
    <xf numFmtId="0" fontId="5" fillId="2" borderId="99" xfId="0" applyFont="1" applyFill="1" applyBorder="1" applyAlignment="1">
      <alignment horizontal="center" vertical="center"/>
    </xf>
    <xf numFmtId="41" fontId="5" fillId="2" borderId="85" xfId="0" applyNumberFormat="1" applyFont="1" applyFill="1" applyBorder="1" applyAlignment="1">
      <alignment horizontal="center" vertical="center"/>
    </xf>
    <xf numFmtId="41" fontId="5" fillId="2" borderId="49" xfId="0" applyNumberFormat="1" applyFont="1" applyFill="1" applyBorder="1" applyAlignment="1">
      <alignment horizontal="center" vertical="center"/>
    </xf>
    <xf numFmtId="41" fontId="5" fillId="2" borderId="68" xfId="0" applyNumberFormat="1" applyFont="1" applyFill="1" applyBorder="1" applyAlignment="1">
      <alignment horizontal="center" vertical="center"/>
    </xf>
    <xf numFmtId="0" fontId="5" fillId="2" borderId="108" xfId="0" applyFont="1" applyFill="1" applyBorder="1" applyAlignment="1">
      <alignment horizontal="center" vertical="center"/>
    </xf>
    <xf numFmtId="0" fontId="5" fillId="2" borderId="52" xfId="0" applyFont="1" applyFill="1" applyBorder="1" applyAlignment="1">
      <alignment horizontal="center" vertical="center"/>
    </xf>
  </cellXfs>
  <cellStyles count="5">
    <cellStyle name="백분율" xfId="3" builtinId="5"/>
    <cellStyle name="쉼표 [0]" xfId="2" builtinId="6"/>
    <cellStyle name="쉼표 [0] 2" xfId="4"/>
    <cellStyle name="표준" xfId="0" builtinId="0"/>
    <cellStyle name="표준 2" xfId="1"/>
  </cellStyles>
  <dxfs count="130">
    <dxf>
      <font>
        <color theme="2"/>
      </font>
      <fill>
        <patternFill>
          <bgColor theme="2"/>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border>
        <vertical/>
        <horizontal/>
      </border>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border>
        <vertical/>
        <horizontal/>
      </border>
    </dxf>
    <dxf>
      <font>
        <color theme="0"/>
      </font>
    </dxf>
    <dxf>
      <font>
        <color theme="0"/>
      </font>
    </dxf>
    <dxf>
      <font>
        <color theme="0"/>
      </font>
    </dxf>
    <dxf>
      <font>
        <color theme="0"/>
      </font>
    </dxf>
    <dxf>
      <font>
        <color theme="0"/>
      </font>
    </dxf>
    <dxf>
      <font>
        <color theme="0"/>
      </font>
    </dxf>
    <dxf>
      <font>
        <color theme="0"/>
      </font>
    </dxf>
    <dxf>
      <font>
        <color theme="4" tint="0.59996337778862885"/>
      </font>
    </dxf>
    <dxf>
      <font>
        <color theme="0"/>
      </font>
    </dxf>
    <dxf>
      <font>
        <color theme="4" tint="0.59996337778862885"/>
      </font>
    </dxf>
    <dxf>
      <font>
        <color theme="0"/>
      </font>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border>
        <vertical/>
        <horizontal/>
      </border>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border>
        <vertical/>
        <horizontal/>
      </border>
    </dxf>
    <dxf>
      <font>
        <color theme="0"/>
      </font>
    </dxf>
    <dxf>
      <font>
        <color theme="0"/>
      </font>
    </dxf>
    <dxf>
      <font>
        <color theme="0"/>
      </font>
    </dxf>
    <dxf>
      <font>
        <color theme="4" tint="0.59996337778862885"/>
      </font>
    </dxf>
    <dxf>
      <font>
        <color theme="0"/>
      </font>
    </dxf>
    <dxf>
      <font>
        <color theme="4" tint="0.59996337778862885"/>
      </font>
    </dxf>
    <dxf>
      <font>
        <color theme="0"/>
      </font>
    </dxf>
    <dxf>
      <fill>
        <patternFill>
          <bgColor rgb="FFFFFF00"/>
        </patternFill>
      </fill>
    </dxf>
    <dxf>
      <fill>
        <patternFill>
          <bgColor rgb="FFFFFF00"/>
        </patternFill>
      </fill>
    </dxf>
    <dxf>
      <fill>
        <patternFill>
          <bgColor rgb="FFFFFF00"/>
        </patternFill>
      </fill>
    </dxf>
    <dxf>
      <fill>
        <patternFill>
          <bgColor rgb="FFFFFF00"/>
        </patternFill>
      </fill>
      <border>
        <left style="thin">
          <color auto="1"/>
        </left>
        <right style="thin">
          <color auto="1"/>
        </right>
        <top style="thin">
          <color auto="1"/>
        </top>
        <bottom style="thin">
          <color auto="1"/>
        </bottom>
      </border>
    </dxf>
    <dxf>
      <font>
        <color rgb="FFFFC000"/>
      </font>
      <fill>
        <patternFill>
          <bgColor theme="1"/>
        </patternFill>
      </fill>
    </dxf>
    <dxf>
      <font>
        <color rgb="FFFFC000"/>
      </font>
      <fill>
        <patternFill>
          <bgColor theme="1"/>
        </patternFill>
      </fill>
      <border>
        <left style="thin">
          <color auto="1"/>
        </left>
        <right style="thin">
          <color auto="1"/>
        </right>
        <top style="thin">
          <color auto="1"/>
        </top>
        <bottom style="thin">
          <color auto="1"/>
        </bottom>
      </border>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2"/>
      </font>
      <fill>
        <patternFill>
          <bgColor theme="2"/>
        </patternFill>
      </fill>
    </dxf>
    <dxf>
      <font>
        <color theme="2"/>
      </font>
      <fill>
        <patternFill>
          <bgColor theme="2"/>
        </patternFill>
      </fill>
    </dxf>
    <dxf>
      <fill>
        <patternFill>
          <bgColor theme="0"/>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rgb="FFFFFF99"/>
        </patternFill>
      </fill>
    </dxf>
    <dxf>
      <fill>
        <patternFill>
          <bgColor rgb="FFFFFF99"/>
        </patternFill>
      </fill>
    </dxf>
    <dxf>
      <fill>
        <patternFill>
          <bgColor rgb="FFFFFF99"/>
        </patternFill>
      </fill>
    </dxf>
    <dxf>
      <fill>
        <patternFill>
          <bgColor rgb="FFFFFF99"/>
        </patternFill>
      </fill>
      <border>
        <vertical/>
        <horizontal/>
      </border>
    </dxf>
    <dxf>
      <font>
        <color theme="0"/>
      </font>
    </dxf>
    <dxf>
      <font>
        <color theme="0"/>
      </font>
    </dxf>
    <dxf>
      <font>
        <color theme="0"/>
      </font>
    </dxf>
    <dxf>
      <font>
        <color theme="4" tint="0.59996337778862885"/>
      </font>
    </dxf>
    <dxf>
      <font>
        <color theme="0"/>
      </font>
    </dxf>
    <dxf>
      <font>
        <color theme="4" tint="0.59996337778862885"/>
      </font>
    </dxf>
    <dxf>
      <font>
        <color theme="0"/>
      </font>
    </dxf>
    <dxf>
      <font>
        <color theme="0"/>
      </font>
    </dxf>
    <dxf>
      <font>
        <color theme="0"/>
      </font>
    </dxf>
  </dxfs>
  <tableStyles count="0" defaultTableStyle="TableStyleMedium2" defaultPivotStyle="PivotStyleLight16"/>
  <colors>
    <mruColors>
      <color rgb="FFFFFF99"/>
      <color rgb="FFFFCCCC"/>
      <color rgb="FF0066CC"/>
      <color rgb="FF99CCFF"/>
      <color rgb="FF33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운용리스 입력'!$BB$15" lockText="1" noThreeD="1"/>
</file>

<file path=xl/ctrlProps/ctrlProp2.xml><?xml version="1.0" encoding="utf-8"?>
<formControlPr xmlns="http://schemas.microsoft.com/office/spreadsheetml/2009/9/main" objectType="CheckBox" checked="Checked" fmlaLink="'운용리스 입력'!$BB$22" lockText="1" noThreeD="1"/>
</file>

<file path=xl/ctrlProps/ctrlProp3.xml><?xml version="1.0" encoding="utf-8"?>
<formControlPr xmlns="http://schemas.microsoft.com/office/spreadsheetml/2009/9/main" objectType="CheckBox" checked="Checked" fmlaLink="$BB$3" lockText="1" noThreeD="1"/>
</file>

<file path=xl/ctrlProps/ctrlProp4.xml><?xml version="1.0" encoding="utf-8"?>
<formControlPr xmlns="http://schemas.microsoft.com/office/spreadsheetml/2009/9/main" objectType="CheckBox" checked="Checked" fmlaLink="$BB$4" lockText="1" noThreeD="1"/>
</file>

<file path=xl/ctrlProps/ctrlProp5.xml><?xml version="1.0" encoding="utf-8"?>
<formControlPr xmlns="http://schemas.microsoft.com/office/spreadsheetml/2009/9/main" objectType="CheckBox" checked="Checked" fmlaLink="$BB$5" lockText="1" noThreeD="1"/>
</file>

<file path=xl/ctrlProps/ctrlProp6.xml><?xml version="1.0" encoding="utf-8"?>
<formControlPr xmlns="http://schemas.microsoft.com/office/spreadsheetml/2009/9/main" objectType="CheckBox" checked="Checked" fmlaLink="$BB$6" lockText="1" noThreeD="1"/>
</file>

<file path=xl/ctrlProps/ctrlProp7.xml><?xml version="1.0" encoding="utf-8"?>
<formControlPr xmlns="http://schemas.microsoft.com/office/spreadsheetml/2009/9/main" objectType="CheckBox" checked="Checked" fmlaLink="$BB$9" lockText="1" noThreeD="1"/>
</file>

<file path=xl/ctrlProps/ctrlProp8.xml><?xml version="1.0" encoding="utf-8"?>
<formControlPr xmlns="http://schemas.microsoft.com/office/spreadsheetml/2009/9/main" objectType="CheckBox" checked="Checked" fmlaLink="$BB$10" lockText="1" noThreeD="1"/>
</file>

<file path=xl/ctrlProps/ctrlProp9.xml><?xml version="1.0" encoding="utf-8"?>
<formControlPr xmlns="http://schemas.microsoft.com/office/spreadsheetml/2009/9/main" objectType="CheckBox" checked="Checked" fmlaLink="$BB$16" lockText="1" noThreeD="1"/>
</file>

<file path=xl/ctrlProps/ctrlProp10.xml><?xml version="1.0" encoding="utf-8"?>
<formControlPr xmlns="http://schemas.microsoft.com/office/spreadsheetml/2009/9/main" objectType="CheckBox" checked="Checked" fmlaLink="$BB$17" lockText="1" noThreeD="1"/>
</file>

<file path=xl/ctrlProps/ctrlProp11.xml><?xml version="1.0" encoding="utf-8"?>
<formControlPr xmlns="http://schemas.microsoft.com/office/spreadsheetml/2009/9/main" objectType="CheckBox" checked="Checked" fmlaLink="$BB$18" lockText="1" noThreeD="1"/>
</file>

<file path=xl/ctrlProps/ctrlProp12.xml><?xml version="1.0" encoding="utf-8"?>
<formControlPr xmlns="http://schemas.microsoft.com/office/spreadsheetml/2009/9/main" objectType="CheckBox" checked="Checked" fmlaLink="$BB$23" lockText="1" noThreeD="1"/>
</file>

<file path=xl/ctrlProps/ctrlProp13.xml><?xml version="1.0" encoding="utf-8"?>
<formControlPr xmlns="http://schemas.microsoft.com/office/spreadsheetml/2009/9/main" objectType="CheckBox" checked="Checked" fmlaLink="$BB$24" lockText="1" noThreeD="1"/>
</file>

<file path=xl/ctrlProps/ctrlProp14.xml><?xml version="1.0" encoding="utf-8"?>
<formControlPr xmlns="http://schemas.microsoft.com/office/spreadsheetml/2009/9/main" objectType="CheckBox" checked="Checked" fmlaLink="$BB$25" lockText="1" noThreeD="1"/>
</file>

<file path=xl/ctrlProps/ctrlProp15.xml><?xml version="1.0" encoding="utf-8"?>
<formControlPr xmlns="http://schemas.microsoft.com/office/spreadsheetml/2009/9/main" objectType="CheckBox" checked="Checked" fmlaLink="$BB$11" lockText="1" noThreeD="1"/>
</file>

<file path=xl/ctrlProps/ctrlProp16.xml><?xml version="1.0" encoding="utf-8"?>
<formControlPr xmlns="http://schemas.microsoft.com/office/spreadsheetml/2009/9/main" objectType="CheckBox" checked="Checked" fmlaLink="$BB$7" lockText="1" noThreeD="1"/>
</file>

<file path=xl/ctrlProps/ctrlProp17.xml><?xml version="1.0" encoding="utf-8"?>
<formControlPr xmlns="http://schemas.microsoft.com/office/spreadsheetml/2009/9/main" objectType="CheckBox" checked="Checked" fmlaLink="$BB$14" lockText="1" noThreeD="1"/>
</file>

<file path=xl/ctrlProps/ctrlProp18.xml><?xml version="1.0" encoding="utf-8"?>
<formControlPr xmlns="http://schemas.microsoft.com/office/spreadsheetml/2009/9/main" objectType="CheckBox" checked="Checked" fmlaLink="$BB$21" lockText="1" noThreeD="1"/>
</file>

<file path=xl/ctrlProps/ctrlProp19.xml><?xml version="1.0" encoding="utf-8"?>
<formControlPr xmlns="http://schemas.microsoft.com/office/spreadsheetml/2009/9/main" objectType="CheckBox" fmlaLink="$BB$19" lockText="1" noThreeD="1"/>
</file>

<file path=xl/ctrlProps/ctrlProp20.xml><?xml version="1.0" encoding="utf-8"?>
<formControlPr xmlns="http://schemas.microsoft.com/office/spreadsheetml/2009/9/main" objectType="CheckBox" fmlaLink="$BB$26" lockText="1" noThreeD="1"/>
</file>

<file path=xl/ctrlProps/ctrlProp21.xml><?xml version="1.0" encoding="utf-8"?>
<formControlPr xmlns="http://schemas.microsoft.com/office/spreadsheetml/2009/9/main" objectType="CheckBox" fmlaLink="$BB$12" lockText="1" noThreeD="1"/>
</file>

<file path=xl/ctrlProps/ctrlProp22.xml><?xml version="1.0" encoding="utf-8"?>
<formControlPr xmlns="http://schemas.microsoft.com/office/spreadsheetml/2009/9/main" objectType="CheckBox" fmlaLink="$BB$20" lockText="1" noThreeD="1"/>
</file>

<file path=xl/ctrlProps/ctrlProp23.xml><?xml version="1.0" encoding="utf-8"?>
<formControlPr xmlns="http://schemas.microsoft.com/office/spreadsheetml/2009/9/main" objectType="CheckBox" fmlaLink="$BB$27" lockText="1" noThreeD="1"/>
</file>

<file path=xl/ctrlProps/ctrlProp24.xml><?xml version="1.0" encoding="utf-8"?>
<formControlPr xmlns="http://schemas.microsoft.com/office/spreadsheetml/2009/9/main" objectType="CheckBox" fmlaLink="$BB$13"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fmlaLink="'금융리스 입력'!$BB$11" lockText="1" noThreeD="1"/>
</file>

<file path=xl/ctrlProps/ctrlProp27.xml><?xml version="1.0" encoding="utf-8"?>
<formControlPr xmlns="http://schemas.microsoft.com/office/spreadsheetml/2009/9/main" objectType="CheckBox" checked="Checked" fmlaLink="'금융리스 입력'!$BB$16" lockText="1" noThreeD="1"/>
</file>

<file path=xl/ctrlProps/ctrlProp28.xml><?xml version="1.0" encoding="utf-8"?>
<formControlPr xmlns="http://schemas.microsoft.com/office/spreadsheetml/2009/9/main" objectType="CheckBox" checked="Checked" fmlaLink="$BB$7" lockText="1" noThreeD="1"/>
</file>

<file path=xl/ctrlProps/ctrlProp29.xml><?xml version="1.0" encoding="utf-8"?>
<formControlPr xmlns="http://schemas.microsoft.com/office/spreadsheetml/2009/9/main" objectType="CheckBox" checked="Checked" fmlaLink="$BB$12" lockText="1" noThreeD="1"/>
</file>

<file path=xl/ctrlProps/ctrlProp30.xml><?xml version="1.0" encoding="utf-8"?>
<formControlPr xmlns="http://schemas.microsoft.com/office/spreadsheetml/2009/9/main" objectType="CheckBox" fmlaLink="$BB$14" lockText="1" noThreeD="1"/>
</file>

<file path=xl/ctrlProps/ctrlProp31.xml><?xml version="1.0" encoding="utf-8"?>
<formControlPr xmlns="http://schemas.microsoft.com/office/spreadsheetml/2009/9/main" objectType="CheckBox" checked="Checked" fmlaLink="$BB$17" lockText="1" noThreeD="1"/>
</file>

<file path=xl/ctrlProps/ctrlProp32.xml><?xml version="1.0" encoding="utf-8"?>
<formControlPr xmlns="http://schemas.microsoft.com/office/spreadsheetml/2009/9/main" objectType="CheckBox" fmlaLink="$BB$19" lockText="1" noThreeD="1"/>
</file>

<file path=xl/ctrlProps/ctrlProp33.xml><?xml version="1.0" encoding="utf-8"?>
<formControlPr xmlns="http://schemas.microsoft.com/office/spreadsheetml/2009/9/main" objectType="CheckBox" fmlaLink="$BB$9" lockText="1" noThreeD="1"/>
</file>

<file path=xl/ctrlProps/ctrlProp34.xml><?xml version="1.0" encoding="utf-8"?>
<formControlPr xmlns="http://schemas.microsoft.com/office/spreadsheetml/2009/9/main" objectType="CheckBox" fmlaLink="$BB$15" lockText="1" noThreeD="1"/>
</file>

<file path=xl/ctrlProps/ctrlProp35.xml><?xml version="1.0" encoding="utf-8"?>
<formControlPr xmlns="http://schemas.microsoft.com/office/spreadsheetml/2009/9/main" objectType="CheckBox" fmlaLink="$BB$20" lockText="1" noThreeD="1"/>
</file>

<file path=xl/ctrlProps/ctrlProp36.xml><?xml version="1.0" encoding="utf-8"?>
<formControlPr xmlns="http://schemas.microsoft.com/office/spreadsheetml/2009/9/main" objectType="CheckBox" fmlaLink="$BB$10" lockText="1" noThreeD="1"/>
</file>

<file path=xl/ctrlProps/ctrlProp37.xml><?xml version="1.0" encoding="utf-8"?>
<formControlPr xmlns="http://schemas.microsoft.com/office/spreadsheetml/2009/9/main" objectType="CheckBox" fmlaLink="$BC$13" lockText="1" noThreeD="1"/>
</file>

<file path=xl/ctrlProps/ctrlProp38.xml><?xml version="1.0" encoding="utf-8"?>
<formControlPr xmlns="http://schemas.microsoft.com/office/spreadsheetml/2009/9/main" objectType="CheckBox" fmlaLink="$BC$18" lockText="1" noThreeD="1"/>
</file>

<file path=xl/ctrlProps/ctrlProp39.xml><?xml version="1.0" encoding="utf-8"?>
<formControlPr xmlns="http://schemas.microsoft.com/office/spreadsheetml/2009/9/main" objectType="CheckBox" fmlaLink="$BC$8"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checked="Checked" fmlaLink="'금융리스 입력'!$BB$11" lockText="1" noThreeD="1"/>
</file>

<file path=xl/ctrlProps/ctrlProp42.xml><?xml version="1.0" encoding="utf-8"?>
<formControlPr xmlns="http://schemas.microsoft.com/office/spreadsheetml/2009/9/main" objectType="CheckBox" checked="Checked" fmlaLink="'금융리스 입력'!$BB$16" lockText="1" noThreeD="1"/>
</file>

<file path=xl/ctrlProps/ctrlProp43.xml><?xml version="1.0" encoding="utf-8"?>
<formControlPr xmlns="http://schemas.microsoft.com/office/spreadsheetml/2009/9/main" objectType="CheckBox" checked="Checked" fmlaLink="$BB$7" lockText="1" noThreeD="1"/>
</file>

<file path=xl/ctrlProps/ctrlProp44.xml><?xml version="1.0" encoding="utf-8"?>
<formControlPr xmlns="http://schemas.microsoft.com/office/spreadsheetml/2009/9/main" objectType="CheckBox" fmlaLink="$BB$10" lockText="1" noThreeD="1"/>
</file>

<file path=xl/ctrlProps/ctrlProp45.xml><?xml version="1.0" encoding="utf-8"?>
<formControlPr xmlns="http://schemas.microsoft.com/office/spreadsheetml/2009/9/main" objectType="CheckBox" fmlaLink="$BB$12" lockText="1" noThreeD="1"/>
</file>

<file path=xl/ctrlProps/ctrlProp46.xml><?xml version="1.0" encoding="utf-8"?>
<formControlPr xmlns="http://schemas.microsoft.com/office/spreadsheetml/2009/9/main" objectType="CheckBox" checked="Checked" fmlaLink="$BB$13" lockText="1" noThreeD="1"/>
</file>

<file path=xl/ctrlProps/ctrlProp47.xml><?xml version="1.0" encoding="utf-8"?>
<formControlPr xmlns="http://schemas.microsoft.com/office/spreadsheetml/2009/9/main" objectType="CheckBox" fmlaLink="$BB$15" lockText="1" noThreeD="1"/>
</file>

<file path=xl/ctrlProps/ctrlProp48.xml><?xml version="1.0" encoding="utf-8"?>
<formControlPr xmlns="http://schemas.microsoft.com/office/spreadsheetml/2009/9/main" objectType="CheckBox" fmlaLink="$BB$9" lockText="1" noThreeD="1"/>
</file>

<file path=xl/ctrlProps/ctrlProp49.xml><?xml version="1.0" encoding="utf-8"?>
<formControlPr xmlns="http://schemas.microsoft.com/office/spreadsheetml/2009/9/main" objectType="CheckBox" fmlaLink="$BC$11" lockText="1" noThreeD="1"/>
</file>

<file path=xl/ctrlProps/ctrlProp50.xml><?xml version="1.0" encoding="utf-8"?>
<formControlPr xmlns="http://schemas.microsoft.com/office/spreadsheetml/2009/9/main" objectType="CheckBox" fmlaLink="$BC$14" lockText="1" noThreeD="1"/>
</file>

<file path=xl/ctrlProps/ctrlProp51.xml><?xml version="1.0" encoding="utf-8"?>
<formControlPr xmlns="http://schemas.microsoft.com/office/spreadsheetml/2009/9/main" objectType="CheckBox" fmlaLink="$BC$8" lockText="1" noThreeD="1"/>
</file>

<file path=xl/ctrlProps/ctrlProp52.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ti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269875</xdr:colOff>
      <xdr:row>13</xdr:row>
      <xdr:rowOff>315913</xdr:rowOff>
    </xdr:from>
    <xdr:to>
      <xdr:col>7</xdr:col>
      <xdr:colOff>111124</xdr:colOff>
      <xdr:row>13</xdr:row>
      <xdr:rowOff>4280777</xdr:rowOff>
    </xdr:to>
    <xdr:pic>
      <xdr:nvPicPr>
        <xdr:cNvPr id="2" name="그림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493" t="9848" r="15061" b="50851"/>
        <a:stretch/>
      </xdr:blipFill>
      <xdr:spPr>
        <a:xfrm>
          <a:off x="1984375" y="7054851"/>
          <a:ext cx="7342187" cy="3964864"/>
        </a:xfrm>
        <a:prstGeom prst="rect">
          <a:avLst/>
        </a:prstGeom>
      </xdr:spPr>
    </xdr:pic>
    <xdr:clientData/>
  </xdr:twoCellAnchor>
  <xdr:twoCellAnchor editAs="oneCell">
    <xdr:from>
      <xdr:col>6</xdr:col>
      <xdr:colOff>15876</xdr:colOff>
      <xdr:row>27</xdr:row>
      <xdr:rowOff>47625</xdr:rowOff>
    </xdr:from>
    <xdr:to>
      <xdr:col>7</xdr:col>
      <xdr:colOff>1463973</xdr:colOff>
      <xdr:row>29</xdr:row>
      <xdr:rowOff>67775</xdr:rowOff>
    </xdr:to>
    <xdr:pic>
      <xdr:nvPicPr>
        <xdr:cNvPr id="3" name="그림 2"/>
        <xdr:cNvPicPr>
          <a:picLocks noChangeAspect="1"/>
        </xdr:cNvPicPr>
      </xdr:nvPicPr>
      <xdr:blipFill>
        <a:blip xmlns:r="http://schemas.openxmlformats.org/officeDocument/2006/relationships" r:embed="rId2"/>
        <a:stretch>
          <a:fillRect/>
        </a:stretch>
      </xdr:blipFill>
      <xdr:spPr>
        <a:xfrm>
          <a:off x="7731126" y="15882938"/>
          <a:ext cx="2948285" cy="448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54</xdr:col>
          <xdr:colOff>152400</xdr:colOff>
          <xdr:row>17</xdr:row>
          <xdr:rowOff>133350</xdr:rowOff>
        </xdr:from>
        <xdr:to>
          <xdr:col>57</xdr:col>
          <xdr:colOff>38100</xdr:colOff>
          <xdr:row>17</xdr:row>
          <xdr:rowOff>523875</xdr:rowOff>
        </xdr:to>
        <xdr:sp macro="" textlink="">
          <xdr:nvSpPr>
            <xdr:cNvPr id="2050" name="Check Box 2" hidden="1">
              <a:extLst>
                <a:ext uri="{63B3BB69-23CF-44E3-9099-C40C66FF867C}">
                  <a14:compatExt spid="_x0000_s20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9050">
                  <a:solidFill>
                    <a:srgbClr val="000000" mc:Ignorable="a14" a14:legacySpreadsheetColorIndex="64"/>
                  </a:solidFill>
                  <a:miter lim="800000"/>
                  <a:headEnd/>
                  <a:tailEnd/>
                </a14:hiddenLine>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xdr:from>
          <xdr:col>77</xdr:col>
          <xdr:colOff>47625</xdr:colOff>
          <xdr:row>17</xdr:row>
          <xdr:rowOff>114300</xdr:rowOff>
        </xdr:from>
        <xdr:to>
          <xdr:col>79</xdr:col>
          <xdr:colOff>123825</xdr:colOff>
          <xdr:row>17</xdr:row>
          <xdr:rowOff>514350</xdr:rowOff>
        </xdr:to>
        <xdr:sp macro="" textlink="">
          <xdr:nvSpPr>
            <xdr:cNvPr id="2051" name="Check Box 3" hidden="1">
              <a:extLst>
                <a:ext uri="{63B3BB69-23CF-44E3-9099-C40C66FF867C}">
                  <a14:compatExt spid="_x0000_s2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fPrintsWithSheet="0"/>
      </xdr:twoCellAnchor>
    </mc:Choice>
    <mc:Fallback/>
  </mc:AlternateContent>
  <xdr:twoCellAnchor editAs="oneCell">
    <xdr:from>
      <xdr:col>61</xdr:col>
      <xdr:colOff>317</xdr:colOff>
      <xdr:row>0</xdr:row>
      <xdr:rowOff>437279</xdr:rowOff>
    </xdr:from>
    <xdr:to>
      <xdr:col>83</xdr:col>
      <xdr:colOff>6135</xdr:colOff>
      <xdr:row>1</xdr:row>
      <xdr:rowOff>226404</xdr:rowOff>
    </xdr:to>
    <xdr:pic>
      <xdr:nvPicPr>
        <xdr:cNvPr id="6" name="그림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8255" y="437279"/>
          <a:ext cx="3672943" cy="50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438150</xdr:colOff>
          <xdr:row>15</xdr:row>
          <xdr:rowOff>28575</xdr:rowOff>
        </xdr:from>
        <xdr:to>
          <xdr:col>3</xdr:col>
          <xdr:colOff>19050</xdr:colOff>
          <xdr:row>15</xdr:row>
          <xdr:rowOff>228600</xdr:rowOff>
        </xdr:to>
        <xdr:sp macro="" textlink="">
          <xdr:nvSpPr>
            <xdr:cNvPr id="1033" name="Check Box 9" hidden="1">
              <a:extLst>
                <a:ext uri="{63B3BB69-23CF-44E3-9099-C40C66FF867C}">
                  <a14:compatExt spid="_x0000_s10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438150</xdr:colOff>
          <xdr:row>16</xdr:row>
          <xdr:rowOff>180975</xdr:rowOff>
        </xdr:from>
        <xdr:to>
          <xdr:col>3</xdr:col>
          <xdr:colOff>19050</xdr:colOff>
          <xdr:row>17</xdr:row>
          <xdr:rowOff>85725</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438150</xdr:colOff>
          <xdr:row>18</xdr:row>
          <xdr:rowOff>38100</xdr:rowOff>
        </xdr:from>
        <xdr:to>
          <xdr:col>3</xdr:col>
          <xdr:colOff>19050</xdr:colOff>
          <xdr:row>18</xdr:row>
          <xdr:rowOff>228600</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438150</xdr:colOff>
          <xdr:row>19</xdr:row>
          <xdr:rowOff>38100</xdr:rowOff>
        </xdr:from>
        <xdr:to>
          <xdr:col>3</xdr:col>
          <xdr:colOff>19050</xdr:colOff>
          <xdr:row>19</xdr:row>
          <xdr:rowOff>228600</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771525</xdr:colOff>
          <xdr:row>7</xdr:row>
          <xdr:rowOff>47625</xdr:rowOff>
        </xdr:from>
        <xdr:to>
          <xdr:col>9</xdr:col>
          <xdr:colOff>28575</xdr:colOff>
          <xdr:row>7</xdr:row>
          <xdr:rowOff>247650</xdr:rowOff>
        </xdr:to>
        <xdr:sp macro="" textlink="">
          <xdr:nvSpPr>
            <xdr:cNvPr id="1039" name="Check Box 15" hidden="1">
              <a:extLst>
                <a:ext uri="{63B3BB69-23CF-44E3-9099-C40C66FF867C}">
                  <a14:compatExt spid="_x0000_s10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771525</xdr:colOff>
          <xdr:row>9</xdr:row>
          <xdr:rowOff>47625</xdr:rowOff>
        </xdr:from>
        <xdr:to>
          <xdr:col>9</xdr:col>
          <xdr:colOff>28575</xdr:colOff>
          <xdr:row>9</xdr:row>
          <xdr:rowOff>247650</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771525</xdr:colOff>
          <xdr:row>7</xdr:row>
          <xdr:rowOff>47625</xdr:rowOff>
        </xdr:from>
        <xdr:to>
          <xdr:col>16</xdr:col>
          <xdr:colOff>28575</xdr:colOff>
          <xdr:row>7</xdr:row>
          <xdr:rowOff>247650</xdr:rowOff>
        </xdr:to>
        <xdr:sp macro="" textlink="">
          <xdr:nvSpPr>
            <xdr:cNvPr id="1044" name="Check Box 20" hidden="1">
              <a:extLst>
                <a:ext uri="{63B3BB69-23CF-44E3-9099-C40C66FF867C}">
                  <a14:compatExt spid="_x0000_s10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771525</xdr:colOff>
          <xdr:row>9</xdr:row>
          <xdr:rowOff>47625</xdr:rowOff>
        </xdr:from>
        <xdr:to>
          <xdr:col>16</xdr:col>
          <xdr:colOff>28575</xdr:colOff>
          <xdr:row>9</xdr:row>
          <xdr:rowOff>247650</xdr:rowOff>
        </xdr:to>
        <xdr:sp macro="" textlink="">
          <xdr:nvSpPr>
            <xdr:cNvPr id="1045" name="Check Box 21" hidden="1">
              <a:extLst>
                <a:ext uri="{63B3BB69-23CF-44E3-9099-C40C66FF867C}">
                  <a14:compatExt spid="_x0000_s10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771525</xdr:colOff>
          <xdr:row>11</xdr:row>
          <xdr:rowOff>47625</xdr:rowOff>
        </xdr:from>
        <xdr:to>
          <xdr:col>16</xdr:col>
          <xdr:colOff>28575</xdr:colOff>
          <xdr:row>11</xdr:row>
          <xdr:rowOff>247650</xdr:rowOff>
        </xdr:to>
        <xdr:sp macro="" textlink="">
          <xdr:nvSpPr>
            <xdr:cNvPr id="1046" name="Check Box 22" hidden="1">
              <a:extLst>
                <a:ext uri="{63B3BB69-23CF-44E3-9099-C40C66FF867C}">
                  <a14:compatExt spid="_x0000_s10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771525</xdr:colOff>
          <xdr:row>7</xdr:row>
          <xdr:rowOff>47625</xdr:rowOff>
        </xdr:from>
        <xdr:to>
          <xdr:col>23</xdr:col>
          <xdr:colOff>28575</xdr:colOff>
          <xdr:row>7</xdr:row>
          <xdr:rowOff>247650</xdr:rowOff>
        </xdr:to>
        <xdr:sp macro="" textlink="">
          <xdr:nvSpPr>
            <xdr:cNvPr id="1047" name="Check Box 23" hidden="1">
              <a:extLst>
                <a:ext uri="{63B3BB69-23CF-44E3-9099-C40C66FF867C}">
                  <a14:compatExt spid="_x0000_s10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771525</xdr:colOff>
          <xdr:row>9</xdr:row>
          <xdr:rowOff>47625</xdr:rowOff>
        </xdr:from>
        <xdr:to>
          <xdr:col>23</xdr:col>
          <xdr:colOff>28575</xdr:colOff>
          <xdr:row>9</xdr:row>
          <xdr:rowOff>247650</xdr:rowOff>
        </xdr:to>
        <xdr:sp macro="" textlink="">
          <xdr:nvSpPr>
            <xdr:cNvPr id="1048" name="Check Box 24" hidden="1">
              <a:extLst>
                <a:ext uri="{63B3BB69-23CF-44E3-9099-C40C66FF867C}">
                  <a14:compatExt spid="_x0000_s10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771525</xdr:colOff>
          <xdr:row>11</xdr:row>
          <xdr:rowOff>47625</xdr:rowOff>
        </xdr:from>
        <xdr:to>
          <xdr:col>23</xdr:col>
          <xdr:colOff>28575</xdr:colOff>
          <xdr:row>11</xdr:row>
          <xdr:rowOff>247650</xdr:rowOff>
        </xdr:to>
        <xdr:sp macro="" textlink="">
          <xdr:nvSpPr>
            <xdr:cNvPr id="1049" name="Check Box 25" hidden="1">
              <a:extLst>
                <a:ext uri="{63B3BB69-23CF-44E3-9099-C40C66FF867C}">
                  <a14:compatExt spid="_x0000_s1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771525</xdr:colOff>
          <xdr:row>11</xdr:row>
          <xdr:rowOff>47625</xdr:rowOff>
        </xdr:from>
        <xdr:to>
          <xdr:col>9</xdr:col>
          <xdr:colOff>28575</xdr:colOff>
          <xdr:row>11</xdr:row>
          <xdr:rowOff>247650</xdr:rowOff>
        </xdr:to>
        <xdr:sp macro="" textlink="">
          <xdr:nvSpPr>
            <xdr:cNvPr id="1060" name="Check Box 36" hidden="1">
              <a:extLst>
                <a:ext uri="{63B3BB69-23CF-44E3-9099-C40C66FF867C}">
                  <a14:compatExt spid="_x0000_s10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762000</xdr:colOff>
          <xdr:row>1</xdr:row>
          <xdr:rowOff>28575</xdr:rowOff>
        </xdr:from>
        <xdr:to>
          <xdr:col>9</xdr:col>
          <xdr:colOff>28575</xdr:colOff>
          <xdr:row>1</xdr:row>
          <xdr:rowOff>228600</xdr:rowOff>
        </xdr:to>
        <xdr:sp macro="" textlink="">
          <xdr:nvSpPr>
            <xdr:cNvPr id="1065" name="Check Box 41" hidden="1">
              <a:extLst>
                <a:ext uri="{63B3BB69-23CF-44E3-9099-C40C66FF867C}">
                  <a14:compatExt spid="_x0000_s10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781050</xdr:colOff>
          <xdr:row>1</xdr:row>
          <xdr:rowOff>28575</xdr:rowOff>
        </xdr:from>
        <xdr:to>
          <xdr:col>16</xdr:col>
          <xdr:colOff>38100</xdr:colOff>
          <xdr:row>1</xdr:row>
          <xdr:rowOff>228600</xdr:rowOff>
        </xdr:to>
        <xdr:sp macro="" textlink="">
          <xdr:nvSpPr>
            <xdr:cNvPr id="1069" name="Check Box 45" hidden="1">
              <a:extLst>
                <a:ext uri="{63B3BB69-23CF-44E3-9099-C40C66FF867C}">
                  <a14:compatExt spid="_x0000_s10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781050</xdr:colOff>
          <xdr:row>1</xdr:row>
          <xdr:rowOff>28575</xdr:rowOff>
        </xdr:from>
        <xdr:to>
          <xdr:col>23</xdr:col>
          <xdr:colOff>38100</xdr:colOff>
          <xdr:row>1</xdr:row>
          <xdr:rowOff>228600</xdr:rowOff>
        </xdr:to>
        <xdr:sp macro="" textlink="">
          <xdr:nvSpPr>
            <xdr:cNvPr id="1071" name="Check Box 47" hidden="1">
              <a:extLst>
                <a:ext uri="{63B3BB69-23CF-44E3-9099-C40C66FF867C}">
                  <a14:compatExt spid="_x0000_s10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771525</xdr:colOff>
          <xdr:row>12</xdr:row>
          <xdr:rowOff>38100</xdr:rowOff>
        </xdr:from>
        <xdr:to>
          <xdr:col>16</xdr:col>
          <xdr:colOff>28575</xdr:colOff>
          <xdr:row>12</xdr:row>
          <xdr:rowOff>228600</xdr:rowOff>
        </xdr:to>
        <xdr:sp macro="" textlink="">
          <xdr:nvSpPr>
            <xdr:cNvPr id="1075" name="Check Box 51" hidden="1">
              <a:extLst>
                <a:ext uri="{63B3BB69-23CF-44E3-9099-C40C66FF867C}">
                  <a14:compatExt spid="_x0000_s1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771525</xdr:colOff>
          <xdr:row>12</xdr:row>
          <xdr:rowOff>38100</xdr:rowOff>
        </xdr:from>
        <xdr:to>
          <xdr:col>23</xdr:col>
          <xdr:colOff>28575</xdr:colOff>
          <xdr:row>12</xdr:row>
          <xdr:rowOff>228600</xdr:rowOff>
        </xdr:to>
        <xdr:sp macro="" textlink="">
          <xdr:nvSpPr>
            <xdr:cNvPr id="1076" name="Check Box 52" hidden="1">
              <a:extLst>
                <a:ext uri="{63B3BB69-23CF-44E3-9099-C40C66FF867C}">
                  <a14:compatExt spid="_x0000_s1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771525</xdr:colOff>
          <xdr:row>12</xdr:row>
          <xdr:rowOff>38100</xdr:rowOff>
        </xdr:from>
        <xdr:to>
          <xdr:col>9</xdr:col>
          <xdr:colOff>28575</xdr:colOff>
          <xdr:row>12</xdr:row>
          <xdr:rowOff>228600</xdr:rowOff>
        </xdr:to>
        <xdr:sp macro="" textlink="">
          <xdr:nvSpPr>
            <xdr:cNvPr id="1077" name="Check Box 53" hidden="1">
              <a:extLst>
                <a:ext uri="{63B3BB69-23CF-44E3-9099-C40C66FF867C}">
                  <a14:compatExt spid="_x0000_s1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742950</xdr:colOff>
          <xdr:row>24</xdr:row>
          <xdr:rowOff>28575</xdr:rowOff>
        </xdr:from>
        <xdr:to>
          <xdr:col>16</xdr:col>
          <xdr:colOff>0</xdr:colOff>
          <xdr:row>24</xdr:row>
          <xdr:rowOff>228600</xdr:rowOff>
        </xdr:to>
        <xdr:sp macro="" textlink="">
          <xdr:nvSpPr>
            <xdr:cNvPr id="1079" name="Check Box 55" hidden="1">
              <a:extLst>
                <a:ext uri="{63B3BB69-23CF-44E3-9099-C40C66FF867C}">
                  <a14:compatExt spid="_x0000_s1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742950</xdr:colOff>
          <xdr:row>24</xdr:row>
          <xdr:rowOff>28575</xdr:rowOff>
        </xdr:from>
        <xdr:to>
          <xdr:col>23</xdr:col>
          <xdr:colOff>0</xdr:colOff>
          <xdr:row>24</xdr:row>
          <xdr:rowOff>228600</xdr:rowOff>
        </xdr:to>
        <xdr:sp macro="" textlink="">
          <xdr:nvSpPr>
            <xdr:cNvPr id="1080" name="Check Box 56" hidden="1">
              <a:extLst>
                <a:ext uri="{63B3BB69-23CF-44E3-9099-C40C66FF867C}">
                  <a14:compatExt spid="_x0000_s10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742950</xdr:colOff>
          <xdr:row>24</xdr:row>
          <xdr:rowOff>28575</xdr:rowOff>
        </xdr:from>
        <xdr:to>
          <xdr:col>9</xdr:col>
          <xdr:colOff>0</xdr:colOff>
          <xdr:row>24</xdr:row>
          <xdr:rowOff>228600</xdr:rowOff>
        </xdr:to>
        <xdr:sp macro="" textlink="">
          <xdr:nvSpPr>
            <xdr:cNvPr id="1081" name="Check Box 57" hidden="1">
              <a:extLst>
                <a:ext uri="{63B3BB69-23CF-44E3-9099-C40C66FF867C}">
                  <a14:compatExt spid="_x0000_s1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xdr:from>
      <xdr:col>2</xdr:col>
      <xdr:colOff>456894</xdr:colOff>
      <xdr:row>26</xdr:row>
      <xdr:rowOff>57150</xdr:rowOff>
    </xdr:from>
    <xdr:to>
      <xdr:col>2</xdr:col>
      <xdr:colOff>606026</xdr:colOff>
      <xdr:row>26</xdr:row>
      <xdr:rowOff>224118</xdr:rowOff>
    </xdr:to>
    <xdr:sp macro="" textlink="">
      <xdr:nvSpPr>
        <xdr:cNvPr id="2" name="직사각형 1"/>
        <xdr:cNvSpPr/>
      </xdr:nvSpPr>
      <xdr:spPr>
        <a:xfrm>
          <a:off x="1419977" y="7126817"/>
          <a:ext cx="149132" cy="166968"/>
        </a:xfrm>
        <a:prstGeom prst="rect">
          <a:avLst/>
        </a:prstGeom>
        <a:solidFill>
          <a:srgbClr val="FFFF99"/>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409575</xdr:colOff>
          <xdr:row>27</xdr:row>
          <xdr:rowOff>9525</xdr:rowOff>
        </xdr:from>
        <xdr:to>
          <xdr:col>2</xdr:col>
          <xdr:colOff>647700</xdr:colOff>
          <xdr:row>27</xdr:row>
          <xdr:rowOff>219075</xdr:rowOff>
        </xdr:to>
        <xdr:sp macro="" textlink="">
          <xdr:nvSpPr>
            <xdr:cNvPr id="1089" name="Check Box 65" hidden="1">
              <a:extLst>
                <a:ext uri="{63B3BB69-23CF-44E3-9099-C40C66FF867C}">
                  <a14:compatExt spid="_x0000_s10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54</xdr:col>
          <xdr:colOff>152400</xdr:colOff>
          <xdr:row>21</xdr:row>
          <xdr:rowOff>123825</xdr:rowOff>
        </xdr:from>
        <xdr:to>
          <xdr:col>57</xdr:col>
          <xdr:colOff>47625</xdr:colOff>
          <xdr:row>21</xdr:row>
          <xdr:rowOff>523875</xdr:rowOff>
        </xdr:to>
        <xdr:sp macro="" textlink="">
          <xdr:nvSpPr>
            <xdr:cNvPr id="14337" name="Check Box 1" hidden="1">
              <a:extLst>
                <a:ext uri="{63B3BB69-23CF-44E3-9099-C40C66FF867C}">
                  <a14:compatExt spid="_x0000_s143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9050">
                  <a:solidFill>
                    <a:srgbClr val="000000" mc:Ignorable="a14" a14:legacySpreadsheetColorIndex="64"/>
                  </a:solidFill>
                  <a:miter lim="800000"/>
                  <a:headEnd/>
                  <a:tailEnd/>
                </a14:hiddenLine>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xdr:from>
          <xdr:col>77</xdr:col>
          <xdr:colOff>47625</xdr:colOff>
          <xdr:row>21</xdr:row>
          <xdr:rowOff>114300</xdr:rowOff>
        </xdr:from>
        <xdr:to>
          <xdr:col>79</xdr:col>
          <xdr:colOff>123825</xdr:colOff>
          <xdr:row>21</xdr:row>
          <xdr:rowOff>514350</xdr:rowOff>
        </xdr:to>
        <xdr:sp macro="" textlink="">
          <xdr:nvSpPr>
            <xdr:cNvPr id="14338" name="Check Box 2" hidden="1">
              <a:extLst>
                <a:ext uri="{63B3BB69-23CF-44E3-9099-C40C66FF867C}">
                  <a14:compatExt spid="_x0000_s143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fPrintsWithSheet="0"/>
      </xdr:twoCellAnchor>
    </mc:Choice>
    <mc:Fallback/>
  </mc:AlternateContent>
  <xdr:twoCellAnchor editAs="oneCell">
    <xdr:from>
      <xdr:col>60</xdr:col>
      <xdr:colOff>71438</xdr:colOff>
      <xdr:row>1</xdr:row>
      <xdr:rowOff>333375</xdr:rowOff>
    </xdr:from>
    <xdr:to>
      <xdr:col>82</xdr:col>
      <xdr:colOff>77256</xdr:colOff>
      <xdr:row>2</xdr:row>
      <xdr:rowOff>328153</xdr:rowOff>
    </xdr:to>
    <xdr:pic>
      <xdr:nvPicPr>
        <xdr:cNvPr id="5" name="그림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72688" y="333375"/>
          <a:ext cx="3672943" cy="494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771525</xdr:colOff>
          <xdr:row>6</xdr:row>
          <xdr:rowOff>0</xdr:rowOff>
        </xdr:from>
        <xdr:to>
          <xdr:col>9</xdr:col>
          <xdr:colOff>38100</xdr:colOff>
          <xdr:row>6</xdr:row>
          <xdr:rowOff>266700</xdr:rowOff>
        </xdr:to>
        <xdr:sp macro="" textlink="">
          <xdr:nvSpPr>
            <xdr:cNvPr id="6149" name="Check Box 5" hidden="1">
              <a:extLst>
                <a:ext uri="{63B3BB69-23CF-44E3-9099-C40C66FF867C}">
                  <a14:compatExt spid="_x0000_s61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771525</xdr:colOff>
          <xdr:row>6</xdr:row>
          <xdr:rowOff>0</xdr:rowOff>
        </xdr:from>
        <xdr:to>
          <xdr:col>16</xdr:col>
          <xdr:colOff>38100</xdr:colOff>
          <xdr:row>6</xdr:row>
          <xdr:rowOff>266700</xdr:rowOff>
        </xdr:to>
        <xdr:sp macro="" textlink="">
          <xdr:nvSpPr>
            <xdr:cNvPr id="6151" name="Check Box 7" hidden="1">
              <a:extLst>
                <a:ext uri="{63B3BB69-23CF-44E3-9099-C40C66FF867C}">
                  <a14:compatExt spid="_x0000_s61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771525</xdr:colOff>
          <xdr:row>9</xdr:row>
          <xdr:rowOff>9525</xdr:rowOff>
        </xdr:from>
        <xdr:to>
          <xdr:col>16</xdr:col>
          <xdr:colOff>38100</xdr:colOff>
          <xdr:row>10</xdr:row>
          <xdr:rowOff>0</xdr:rowOff>
        </xdr:to>
        <xdr:sp macro="" textlink="">
          <xdr:nvSpPr>
            <xdr:cNvPr id="6153" name="Check Box 9" hidden="1">
              <a:extLst>
                <a:ext uri="{63B3BB69-23CF-44E3-9099-C40C66FF867C}">
                  <a14:compatExt spid="_x0000_s61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771525</xdr:colOff>
          <xdr:row>6</xdr:row>
          <xdr:rowOff>0</xdr:rowOff>
        </xdr:from>
        <xdr:to>
          <xdr:col>23</xdr:col>
          <xdr:colOff>38100</xdr:colOff>
          <xdr:row>6</xdr:row>
          <xdr:rowOff>266700</xdr:rowOff>
        </xdr:to>
        <xdr:sp macro="" textlink="">
          <xdr:nvSpPr>
            <xdr:cNvPr id="6154" name="Check Box 10" hidden="1">
              <a:extLst>
                <a:ext uri="{63B3BB69-23CF-44E3-9099-C40C66FF867C}">
                  <a14:compatExt spid="_x0000_s61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771525</xdr:colOff>
          <xdr:row>9</xdr:row>
          <xdr:rowOff>9525</xdr:rowOff>
        </xdr:from>
        <xdr:to>
          <xdr:col>23</xdr:col>
          <xdr:colOff>38100</xdr:colOff>
          <xdr:row>10</xdr:row>
          <xdr:rowOff>0</xdr:rowOff>
        </xdr:to>
        <xdr:sp macro="" textlink="">
          <xdr:nvSpPr>
            <xdr:cNvPr id="6156" name="Check Box 12" hidden="1">
              <a:extLst>
                <a:ext uri="{63B3BB69-23CF-44E3-9099-C40C66FF867C}">
                  <a14:compatExt spid="_x0000_s61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771525</xdr:colOff>
          <xdr:row>9</xdr:row>
          <xdr:rowOff>9525</xdr:rowOff>
        </xdr:from>
        <xdr:to>
          <xdr:col>9</xdr:col>
          <xdr:colOff>38100</xdr:colOff>
          <xdr:row>10</xdr:row>
          <xdr:rowOff>0</xdr:rowOff>
        </xdr:to>
        <xdr:sp macro="" textlink="">
          <xdr:nvSpPr>
            <xdr:cNvPr id="6157" name="Check Box 13" hidden="1">
              <a:extLst>
                <a:ext uri="{63B3BB69-23CF-44E3-9099-C40C66FF867C}">
                  <a14:compatExt spid="_x0000_s61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742950</xdr:colOff>
          <xdr:row>19</xdr:row>
          <xdr:rowOff>9525</xdr:rowOff>
        </xdr:from>
        <xdr:to>
          <xdr:col>16</xdr:col>
          <xdr:colOff>0</xdr:colOff>
          <xdr:row>19</xdr:row>
          <xdr:rowOff>266700</xdr:rowOff>
        </xdr:to>
        <xdr:sp macro="" textlink="">
          <xdr:nvSpPr>
            <xdr:cNvPr id="6164" name="Check Box 20" hidden="1">
              <a:extLst>
                <a:ext uri="{63B3BB69-23CF-44E3-9099-C40C66FF867C}">
                  <a14:compatExt spid="_x0000_s61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742950</xdr:colOff>
          <xdr:row>19</xdr:row>
          <xdr:rowOff>9525</xdr:rowOff>
        </xdr:from>
        <xdr:to>
          <xdr:col>23</xdr:col>
          <xdr:colOff>0</xdr:colOff>
          <xdr:row>19</xdr:row>
          <xdr:rowOff>266700</xdr:rowOff>
        </xdr:to>
        <xdr:sp macro="" textlink="">
          <xdr:nvSpPr>
            <xdr:cNvPr id="6165" name="Check Box 21" hidden="1">
              <a:extLst>
                <a:ext uri="{63B3BB69-23CF-44E3-9099-C40C66FF867C}">
                  <a14:compatExt spid="_x0000_s61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742950</xdr:colOff>
          <xdr:row>19</xdr:row>
          <xdr:rowOff>9525</xdr:rowOff>
        </xdr:from>
        <xdr:to>
          <xdr:col>9</xdr:col>
          <xdr:colOff>0</xdr:colOff>
          <xdr:row>19</xdr:row>
          <xdr:rowOff>266700</xdr:rowOff>
        </xdr:to>
        <xdr:sp macro="" textlink="">
          <xdr:nvSpPr>
            <xdr:cNvPr id="6166" name="Check Box 22" hidden="1">
              <a:extLst>
                <a:ext uri="{63B3BB69-23CF-44E3-9099-C40C66FF867C}">
                  <a14:compatExt spid="_x0000_s61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781050</xdr:colOff>
          <xdr:row>7</xdr:row>
          <xdr:rowOff>276225</xdr:rowOff>
        </xdr:from>
        <xdr:to>
          <xdr:col>16</xdr:col>
          <xdr:colOff>38100</xdr:colOff>
          <xdr:row>8</xdr:row>
          <xdr:rowOff>266700</xdr:rowOff>
        </xdr:to>
        <xdr:sp macro="" textlink="">
          <xdr:nvSpPr>
            <xdr:cNvPr id="6171" name="Check Box 27" hidden="1">
              <a:extLst>
                <a:ext uri="{63B3BB69-23CF-44E3-9099-C40C66FF867C}">
                  <a14:compatExt spid="_x0000_s61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781050</xdr:colOff>
          <xdr:row>7</xdr:row>
          <xdr:rowOff>276225</xdr:rowOff>
        </xdr:from>
        <xdr:to>
          <xdr:col>23</xdr:col>
          <xdr:colOff>38100</xdr:colOff>
          <xdr:row>8</xdr:row>
          <xdr:rowOff>266700</xdr:rowOff>
        </xdr:to>
        <xdr:sp macro="" textlink="">
          <xdr:nvSpPr>
            <xdr:cNvPr id="6172" name="Check Box 28" hidden="1">
              <a:extLst>
                <a:ext uri="{63B3BB69-23CF-44E3-9099-C40C66FF867C}">
                  <a14:compatExt spid="_x0000_s61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781050</xdr:colOff>
          <xdr:row>7</xdr:row>
          <xdr:rowOff>276225</xdr:rowOff>
        </xdr:from>
        <xdr:to>
          <xdr:col>9</xdr:col>
          <xdr:colOff>38100</xdr:colOff>
          <xdr:row>8</xdr:row>
          <xdr:rowOff>266700</xdr:rowOff>
        </xdr:to>
        <xdr:sp macro="" textlink="">
          <xdr:nvSpPr>
            <xdr:cNvPr id="6173" name="Check Box 29" hidden="1">
              <a:extLst>
                <a:ext uri="{63B3BB69-23CF-44E3-9099-C40C66FF867C}">
                  <a14:compatExt spid="_x0000_s61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398374</xdr:colOff>
      <xdr:row>20</xdr:row>
      <xdr:rowOff>57150</xdr:rowOff>
    </xdr:from>
    <xdr:to>
      <xdr:col>2</xdr:col>
      <xdr:colOff>579256</xdr:colOff>
      <xdr:row>20</xdr:row>
      <xdr:rowOff>224118</xdr:rowOff>
    </xdr:to>
    <xdr:sp macro="" textlink="">
      <xdr:nvSpPr>
        <xdr:cNvPr id="16" name="직사각형 15"/>
        <xdr:cNvSpPr/>
      </xdr:nvSpPr>
      <xdr:spPr>
        <a:xfrm>
          <a:off x="1360399" y="7019925"/>
          <a:ext cx="180882" cy="166968"/>
        </a:xfrm>
        <a:prstGeom prst="rect">
          <a:avLst/>
        </a:prstGeom>
        <a:solidFill>
          <a:srgbClr val="FFFF99"/>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390525</xdr:colOff>
          <xdr:row>21</xdr:row>
          <xdr:rowOff>19050</xdr:rowOff>
        </xdr:from>
        <xdr:to>
          <xdr:col>2</xdr:col>
          <xdr:colOff>628650</xdr:colOff>
          <xdr:row>21</xdr:row>
          <xdr:rowOff>228600</xdr:rowOff>
        </xdr:to>
        <xdr:sp macro="" textlink="">
          <xdr:nvSpPr>
            <xdr:cNvPr id="6175" name="Check Box 31" hidden="1">
              <a:extLst>
                <a:ext uri="{63B3BB69-23CF-44E3-9099-C40C66FF867C}">
                  <a14:compatExt spid="_x0000_s61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54</xdr:col>
          <xdr:colOff>152400</xdr:colOff>
          <xdr:row>23</xdr:row>
          <xdr:rowOff>123825</xdr:rowOff>
        </xdr:from>
        <xdr:to>
          <xdr:col>57</xdr:col>
          <xdr:colOff>47625</xdr:colOff>
          <xdr:row>23</xdr:row>
          <xdr:rowOff>523875</xdr:rowOff>
        </xdr:to>
        <xdr:sp macro="" textlink="">
          <xdr:nvSpPr>
            <xdr:cNvPr id="20481" name="Check Box 1" hidden="1">
              <a:extLst>
                <a:ext uri="{63B3BB69-23CF-44E3-9099-C40C66FF867C}">
                  <a14:compatExt spid="_x0000_s204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9050">
                  <a:solidFill>
                    <a:srgbClr val="000000" mc:Ignorable="a14" a14:legacySpreadsheetColorIndex="64"/>
                  </a:solidFill>
                  <a:miter lim="800000"/>
                  <a:headEnd/>
                  <a:tailEnd/>
                </a14:hiddenLine>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xdr:from>
          <xdr:col>77</xdr:col>
          <xdr:colOff>47625</xdr:colOff>
          <xdr:row>23</xdr:row>
          <xdr:rowOff>114300</xdr:rowOff>
        </xdr:from>
        <xdr:to>
          <xdr:col>79</xdr:col>
          <xdr:colOff>123825</xdr:colOff>
          <xdr:row>23</xdr:row>
          <xdr:rowOff>514350</xdr:rowOff>
        </xdr:to>
        <xdr:sp macro="" textlink="">
          <xdr:nvSpPr>
            <xdr:cNvPr id="20482" name="Check Box 2" hidden="1">
              <a:extLst>
                <a:ext uri="{63B3BB69-23CF-44E3-9099-C40C66FF867C}">
                  <a14:compatExt spid="_x0000_s204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fPrintsWithSheet="0"/>
      </xdr:twoCellAnchor>
    </mc:Choice>
    <mc:Fallback/>
  </mc:AlternateContent>
  <xdr:twoCellAnchor editAs="oneCell">
    <xdr:from>
      <xdr:col>60</xdr:col>
      <xdr:colOff>117764</xdr:colOff>
      <xdr:row>2</xdr:row>
      <xdr:rowOff>367146</xdr:rowOff>
    </xdr:from>
    <xdr:to>
      <xdr:col>82</xdr:col>
      <xdr:colOff>123582</xdr:colOff>
      <xdr:row>3</xdr:row>
      <xdr:rowOff>361924</xdr:rowOff>
    </xdr:to>
    <xdr:pic>
      <xdr:nvPicPr>
        <xdr:cNvPr id="5" name="그림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47764" y="862446"/>
          <a:ext cx="4196818" cy="490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771525</xdr:colOff>
          <xdr:row>5</xdr:row>
          <xdr:rowOff>247650</xdr:rowOff>
        </xdr:from>
        <xdr:to>
          <xdr:col>9</xdr:col>
          <xdr:colOff>38100</xdr:colOff>
          <xdr:row>7</xdr:row>
          <xdr:rowOff>19050</xdr:rowOff>
        </xdr:to>
        <xdr:sp macro="" textlink="">
          <xdr:nvSpPr>
            <xdr:cNvPr id="12289" name="Check Box 1" hidden="1">
              <a:extLst>
                <a:ext uri="{63B3BB69-23CF-44E3-9099-C40C66FF867C}">
                  <a14:compatExt spid="_x0000_s122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771525</xdr:colOff>
          <xdr:row>5</xdr:row>
          <xdr:rowOff>247650</xdr:rowOff>
        </xdr:from>
        <xdr:to>
          <xdr:col>16</xdr:col>
          <xdr:colOff>38100</xdr:colOff>
          <xdr:row>7</xdr:row>
          <xdr:rowOff>19050</xdr:rowOff>
        </xdr:to>
        <xdr:sp macro="" textlink="">
          <xdr:nvSpPr>
            <xdr:cNvPr id="12290" name="Check Box 2" hidden="1">
              <a:extLst>
                <a:ext uri="{63B3BB69-23CF-44E3-9099-C40C66FF867C}">
                  <a14:compatExt spid="_x0000_s122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771525</xdr:colOff>
          <xdr:row>8</xdr:row>
          <xdr:rowOff>257175</xdr:rowOff>
        </xdr:from>
        <xdr:to>
          <xdr:col>16</xdr:col>
          <xdr:colOff>38100</xdr:colOff>
          <xdr:row>10</xdr:row>
          <xdr:rowOff>28575</xdr:rowOff>
        </xdr:to>
        <xdr:sp macro="" textlink="">
          <xdr:nvSpPr>
            <xdr:cNvPr id="12291" name="Check Box 3" hidden="1">
              <a:extLst>
                <a:ext uri="{63B3BB69-23CF-44E3-9099-C40C66FF867C}">
                  <a14:compatExt spid="_x0000_s122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771525</xdr:colOff>
          <xdr:row>5</xdr:row>
          <xdr:rowOff>247650</xdr:rowOff>
        </xdr:from>
        <xdr:to>
          <xdr:col>23</xdr:col>
          <xdr:colOff>38100</xdr:colOff>
          <xdr:row>7</xdr:row>
          <xdr:rowOff>19050</xdr:rowOff>
        </xdr:to>
        <xdr:sp macro="" textlink="">
          <xdr:nvSpPr>
            <xdr:cNvPr id="12292" name="Check Box 4" hidden="1">
              <a:extLst>
                <a:ext uri="{63B3BB69-23CF-44E3-9099-C40C66FF867C}">
                  <a14:compatExt spid="_x0000_s122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771525</xdr:colOff>
          <xdr:row>8</xdr:row>
          <xdr:rowOff>257175</xdr:rowOff>
        </xdr:from>
        <xdr:to>
          <xdr:col>23</xdr:col>
          <xdr:colOff>38100</xdr:colOff>
          <xdr:row>10</xdr:row>
          <xdr:rowOff>28575</xdr:rowOff>
        </xdr:to>
        <xdr:sp macro="" textlink="">
          <xdr:nvSpPr>
            <xdr:cNvPr id="12293" name="Check Box 5" hidden="1">
              <a:extLst>
                <a:ext uri="{63B3BB69-23CF-44E3-9099-C40C66FF867C}">
                  <a14:compatExt spid="_x0000_s122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771525</xdr:colOff>
          <xdr:row>8</xdr:row>
          <xdr:rowOff>257175</xdr:rowOff>
        </xdr:from>
        <xdr:to>
          <xdr:col>9</xdr:col>
          <xdr:colOff>38100</xdr:colOff>
          <xdr:row>10</xdr:row>
          <xdr:rowOff>28575</xdr:rowOff>
        </xdr:to>
        <xdr:sp macro="" textlink="">
          <xdr:nvSpPr>
            <xdr:cNvPr id="12294" name="Check Box 6" hidden="1">
              <a:extLst>
                <a:ext uri="{63B3BB69-23CF-44E3-9099-C40C66FF867C}">
                  <a14:compatExt spid="_x0000_s122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781050</xdr:colOff>
          <xdr:row>7</xdr:row>
          <xdr:rowOff>238125</xdr:rowOff>
        </xdr:from>
        <xdr:to>
          <xdr:col>16</xdr:col>
          <xdr:colOff>38100</xdr:colOff>
          <xdr:row>9</xdr:row>
          <xdr:rowOff>19050</xdr:rowOff>
        </xdr:to>
        <xdr:sp macro="" textlink="">
          <xdr:nvSpPr>
            <xdr:cNvPr id="12298" name="Check Box 10" hidden="1">
              <a:extLst>
                <a:ext uri="{63B3BB69-23CF-44E3-9099-C40C66FF867C}">
                  <a14:compatExt spid="_x0000_s122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781050</xdr:colOff>
          <xdr:row>7</xdr:row>
          <xdr:rowOff>238125</xdr:rowOff>
        </xdr:from>
        <xdr:to>
          <xdr:col>23</xdr:col>
          <xdr:colOff>38100</xdr:colOff>
          <xdr:row>9</xdr:row>
          <xdr:rowOff>19050</xdr:rowOff>
        </xdr:to>
        <xdr:sp macro="" textlink="">
          <xdr:nvSpPr>
            <xdr:cNvPr id="12299" name="Check Box 11" hidden="1">
              <a:extLst>
                <a:ext uri="{63B3BB69-23CF-44E3-9099-C40C66FF867C}">
                  <a14:compatExt spid="_x0000_s122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781050</xdr:colOff>
          <xdr:row>7</xdr:row>
          <xdr:rowOff>238125</xdr:rowOff>
        </xdr:from>
        <xdr:to>
          <xdr:col>9</xdr:col>
          <xdr:colOff>38100</xdr:colOff>
          <xdr:row>9</xdr:row>
          <xdr:rowOff>19050</xdr:rowOff>
        </xdr:to>
        <xdr:sp macro="" textlink="">
          <xdr:nvSpPr>
            <xdr:cNvPr id="12300" name="Check Box 12" hidden="1">
              <a:extLst>
                <a:ext uri="{63B3BB69-23CF-44E3-9099-C40C66FF867C}">
                  <a14:compatExt spid="_x0000_s12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398374</xdr:colOff>
      <xdr:row>20</xdr:row>
      <xdr:rowOff>57150</xdr:rowOff>
    </xdr:from>
    <xdr:to>
      <xdr:col>2</xdr:col>
      <xdr:colOff>579256</xdr:colOff>
      <xdr:row>20</xdr:row>
      <xdr:rowOff>224118</xdr:rowOff>
    </xdr:to>
    <xdr:sp macro="" textlink="">
      <xdr:nvSpPr>
        <xdr:cNvPr id="14" name="직사각형 13"/>
        <xdr:cNvSpPr/>
      </xdr:nvSpPr>
      <xdr:spPr>
        <a:xfrm>
          <a:off x="1350874" y="5600700"/>
          <a:ext cx="180882" cy="166968"/>
        </a:xfrm>
        <a:prstGeom prst="rect">
          <a:avLst/>
        </a:prstGeom>
        <a:solidFill>
          <a:srgbClr val="FFFF99"/>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390525</xdr:colOff>
          <xdr:row>20</xdr:row>
          <xdr:rowOff>257175</xdr:rowOff>
        </xdr:from>
        <xdr:to>
          <xdr:col>2</xdr:col>
          <xdr:colOff>628650</xdr:colOff>
          <xdr:row>21</xdr:row>
          <xdr:rowOff>257175</xdr:rowOff>
        </xdr:to>
        <xdr:sp macro="" textlink="">
          <xdr:nvSpPr>
            <xdr:cNvPr id="12301" name="Check Box 13" hidden="1">
              <a:extLst>
                <a:ext uri="{63B3BB69-23CF-44E3-9099-C40C66FF867C}">
                  <a14:compatExt spid="_x0000_s123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26" Type="http://schemas.openxmlformats.org/officeDocument/2006/relationships/ctrlProp" Target="../ctrlProps/ctrlProp25.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trlProp" Target="../ctrlProps/ctrlProp24.xml"/><Relationship Id="rId2" Type="http://schemas.openxmlformats.org/officeDocument/2006/relationships/drawing" Target="../drawings/drawing3.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3.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 Id="rId27"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trlProp" Target="../ctrlProps/ctrlProp27.xml"/><Relationship Id="rId4" Type="http://schemas.openxmlformats.org/officeDocument/2006/relationships/ctrlProp" Target="../ctrlProps/ctrlProp26.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32.xml"/><Relationship Id="rId13" Type="http://schemas.openxmlformats.org/officeDocument/2006/relationships/ctrlProp" Target="../ctrlProps/ctrlProp37.xml"/><Relationship Id="rId3" Type="http://schemas.openxmlformats.org/officeDocument/2006/relationships/vmlDrawing" Target="../drawings/vmlDrawing4.vml"/><Relationship Id="rId7" Type="http://schemas.openxmlformats.org/officeDocument/2006/relationships/ctrlProp" Target="../ctrlProps/ctrlProp31.xml"/><Relationship Id="rId12" Type="http://schemas.openxmlformats.org/officeDocument/2006/relationships/ctrlProp" Target="../ctrlProps/ctrlProp36.xml"/><Relationship Id="rId17" Type="http://schemas.openxmlformats.org/officeDocument/2006/relationships/comments" Target="../comments2.xml"/><Relationship Id="rId2" Type="http://schemas.openxmlformats.org/officeDocument/2006/relationships/drawing" Target="../drawings/drawing5.xml"/><Relationship Id="rId16" Type="http://schemas.openxmlformats.org/officeDocument/2006/relationships/ctrlProp" Target="../ctrlProps/ctrlProp40.xml"/><Relationship Id="rId1" Type="http://schemas.openxmlformats.org/officeDocument/2006/relationships/printerSettings" Target="../printerSettings/printerSettings6.bin"/><Relationship Id="rId6" Type="http://schemas.openxmlformats.org/officeDocument/2006/relationships/ctrlProp" Target="../ctrlProps/ctrlProp30.xml"/><Relationship Id="rId11" Type="http://schemas.openxmlformats.org/officeDocument/2006/relationships/ctrlProp" Target="../ctrlProps/ctrlProp35.xml"/><Relationship Id="rId5" Type="http://schemas.openxmlformats.org/officeDocument/2006/relationships/ctrlProp" Target="../ctrlProps/ctrlProp29.xml"/><Relationship Id="rId15" Type="http://schemas.openxmlformats.org/officeDocument/2006/relationships/ctrlProp" Target="../ctrlProps/ctrlProp39.xml"/><Relationship Id="rId10" Type="http://schemas.openxmlformats.org/officeDocument/2006/relationships/ctrlProp" Target="../ctrlProps/ctrlProp34.xml"/><Relationship Id="rId4" Type="http://schemas.openxmlformats.org/officeDocument/2006/relationships/ctrlProp" Target="../ctrlProps/ctrlProp28.xml"/><Relationship Id="rId9" Type="http://schemas.openxmlformats.org/officeDocument/2006/relationships/ctrlProp" Target="../ctrlProps/ctrlProp33.xml"/><Relationship Id="rId14" Type="http://schemas.openxmlformats.org/officeDocument/2006/relationships/ctrlProp" Target="../ctrlProps/ctrlProp3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8.bin"/><Relationship Id="rId5" Type="http://schemas.openxmlformats.org/officeDocument/2006/relationships/ctrlProp" Target="../ctrlProps/ctrlProp42.xml"/><Relationship Id="rId4" Type="http://schemas.openxmlformats.org/officeDocument/2006/relationships/ctrlProp" Target="../ctrlProps/ctrlProp41.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47.xml"/><Relationship Id="rId13" Type="http://schemas.openxmlformats.org/officeDocument/2006/relationships/ctrlProp" Target="../ctrlProps/ctrlProp52.xml"/><Relationship Id="rId3" Type="http://schemas.openxmlformats.org/officeDocument/2006/relationships/vmlDrawing" Target="../drawings/vmlDrawing6.vml"/><Relationship Id="rId7" Type="http://schemas.openxmlformats.org/officeDocument/2006/relationships/ctrlProp" Target="../ctrlProps/ctrlProp46.xml"/><Relationship Id="rId12" Type="http://schemas.openxmlformats.org/officeDocument/2006/relationships/ctrlProp" Target="../ctrlProps/ctrlProp51.xml"/><Relationship Id="rId2" Type="http://schemas.openxmlformats.org/officeDocument/2006/relationships/drawing" Target="../drawings/drawing7.xml"/><Relationship Id="rId1" Type="http://schemas.openxmlformats.org/officeDocument/2006/relationships/printerSettings" Target="../printerSettings/printerSettings9.bin"/><Relationship Id="rId6" Type="http://schemas.openxmlformats.org/officeDocument/2006/relationships/ctrlProp" Target="../ctrlProps/ctrlProp45.xml"/><Relationship Id="rId11" Type="http://schemas.openxmlformats.org/officeDocument/2006/relationships/ctrlProp" Target="../ctrlProps/ctrlProp50.xml"/><Relationship Id="rId5" Type="http://schemas.openxmlformats.org/officeDocument/2006/relationships/ctrlProp" Target="../ctrlProps/ctrlProp44.xml"/><Relationship Id="rId10" Type="http://schemas.openxmlformats.org/officeDocument/2006/relationships/ctrlProp" Target="../ctrlProps/ctrlProp49.xml"/><Relationship Id="rId4" Type="http://schemas.openxmlformats.org/officeDocument/2006/relationships/ctrlProp" Target="../ctrlProps/ctrlProp43.xml"/><Relationship Id="rId9" Type="http://schemas.openxmlformats.org/officeDocument/2006/relationships/ctrlProp" Target="../ctrlProps/ctrlProp48.xml"/><Relationship Id="rId1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B2:D18"/>
  <sheetViews>
    <sheetView tabSelected="1" workbookViewId="0">
      <selection activeCell="R10" sqref="R10"/>
    </sheetView>
  </sheetViews>
  <sheetFormatPr defaultRowHeight="16.5" x14ac:dyDescent="0.3"/>
  <cols>
    <col min="1" max="1" width="4" style="279" customWidth="1"/>
    <col min="2" max="2" width="4.125" style="279" customWidth="1"/>
    <col min="3" max="3" width="11.5" style="279" customWidth="1"/>
    <col min="4" max="4" width="3.875" style="279" customWidth="1"/>
    <col min="5" max="16384" width="9" style="279"/>
  </cols>
  <sheetData>
    <row r="2" spans="2:4" ht="21" customHeight="1" x14ac:dyDescent="0.3">
      <c r="B2" s="410" t="s">
        <v>1582</v>
      </c>
      <c r="C2" s="411"/>
      <c r="D2" s="412"/>
    </row>
    <row r="3" spans="2:4" ht="6" customHeight="1" x14ac:dyDescent="0.3"/>
    <row r="4" spans="2:4" ht="21" customHeight="1" x14ac:dyDescent="0.3">
      <c r="C4" s="344" t="s">
        <v>1583</v>
      </c>
    </row>
    <row r="5" spans="2:4" ht="21" customHeight="1" x14ac:dyDescent="0.3">
      <c r="C5" s="344" t="s">
        <v>1584</v>
      </c>
    </row>
    <row r="6" spans="2:4" x14ac:dyDescent="0.3">
      <c r="C6" s="280"/>
    </row>
    <row r="7" spans="2:4" ht="22.5" customHeight="1" x14ac:dyDescent="0.3">
      <c r="B7" s="410" t="s">
        <v>1620</v>
      </c>
      <c r="C7" s="411"/>
      <c r="D7" s="412"/>
    </row>
    <row r="8" spans="2:4" ht="5.25" customHeight="1" x14ac:dyDescent="0.3"/>
    <row r="9" spans="2:4" s="343" customFormat="1" ht="21" customHeight="1" x14ac:dyDescent="0.3">
      <c r="C9" s="344" t="s">
        <v>1801</v>
      </c>
    </row>
    <row r="10" spans="2:4" s="343" customFormat="1" ht="21" customHeight="1" x14ac:dyDescent="0.3">
      <c r="C10" s="344" t="s">
        <v>1797</v>
      </c>
    </row>
    <row r="11" spans="2:4" s="343" customFormat="1" ht="21" customHeight="1" x14ac:dyDescent="0.3">
      <c r="C11" s="344" t="s">
        <v>1816</v>
      </c>
    </row>
    <row r="12" spans="2:4" s="343" customFormat="1" ht="21" customHeight="1" x14ac:dyDescent="0.3">
      <c r="C12" s="344"/>
    </row>
    <row r="13" spans="2:4" s="343" customFormat="1" ht="21" customHeight="1" x14ac:dyDescent="0.3">
      <c r="C13" s="344" t="s">
        <v>1798</v>
      </c>
    </row>
    <row r="14" spans="2:4" s="343" customFormat="1" ht="21" customHeight="1" x14ac:dyDescent="0.3">
      <c r="C14" s="343" t="s">
        <v>1799</v>
      </c>
    </row>
    <row r="15" spans="2:4" s="343" customFormat="1" ht="21" customHeight="1" x14ac:dyDescent="0.3">
      <c r="C15" s="343" t="s">
        <v>1800</v>
      </c>
    </row>
    <row r="17" spans="3:3" ht="5.25" customHeight="1" x14ac:dyDescent="0.3"/>
    <row r="18" spans="3:3" ht="19.5" customHeight="1" x14ac:dyDescent="0.3">
      <c r="C18" s="344"/>
    </row>
  </sheetData>
  <sheetProtection algorithmName="SHA-512" hashValue="7LwuY1clPQfamRvGoZWIDzxVbh2m32R5Gi9BBwjWeUSSrStumGxaZe4h7107UdOqKzTDh6eOz6ITZbyIwVZ/mA==" saltValue="tuHDVnwYc5Am+CbcwhdwhQ==" spinCount="100000" sheet="1" objects="1" scenarios="1"/>
  <mergeCells count="2">
    <mergeCell ref="B2:D2"/>
    <mergeCell ref="B7:D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50"/>
  </sheetPr>
  <dimension ref="B1:F37"/>
  <sheetViews>
    <sheetView workbookViewId="0">
      <selection activeCell="K12" sqref="K12"/>
    </sheetView>
  </sheetViews>
  <sheetFormatPr defaultRowHeight="13.5" x14ac:dyDescent="0.3"/>
  <cols>
    <col min="1" max="2" width="9" style="348"/>
    <col min="3" max="3" width="37.5" style="348" customWidth="1"/>
    <col min="4" max="6" width="16" style="348" customWidth="1"/>
    <col min="7" max="16384" width="9" style="348"/>
  </cols>
  <sheetData>
    <row r="1" spans="2:6" ht="7.5" customHeight="1" thickBot="1" x14ac:dyDescent="0.35"/>
    <row r="2" spans="2:6" ht="35.25" customHeight="1" thickBot="1" x14ac:dyDescent="0.35">
      <c r="B2" s="414" t="s">
        <v>1651</v>
      </c>
      <c r="C2" s="415"/>
    </row>
    <row r="3" spans="2:6" ht="15" customHeight="1" x14ac:dyDescent="0.3">
      <c r="B3" s="96"/>
      <c r="C3" s="96"/>
      <c r="D3" s="96"/>
      <c r="E3" s="96"/>
      <c r="F3" s="349" t="s">
        <v>1634</v>
      </c>
    </row>
    <row r="4" spans="2:6" ht="27" x14ac:dyDescent="0.3">
      <c r="B4" s="350" t="s">
        <v>0</v>
      </c>
      <c r="C4" s="350" t="s">
        <v>1635</v>
      </c>
      <c r="D4" s="350" t="s">
        <v>1636</v>
      </c>
      <c r="E4" s="351" t="s">
        <v>1650</v>
      </c>
      <c r="F4" s="350" t="s">
        <v>1297</v>
      </c>
    </row>
    <row r="5" spans="2:6" x14ac:dyDescent="0.3">
      <c r="B5" s="416" t="s">
        <v>1767</v>
      </c>
      <c r="C5" s="352" t="s">
        <v>1707</v>
      </c>
      <c r="D5" s="352">
        <v>202</v>
      </c>
      <c r="E5" s="352">
        <v>62</v>
      </c>
      <c r="F5" s="352">
        <f t="shared" ref="F5:F9" si="0">SUM(D5:E5)</f>
        <v>264</v>
      </c>
    </row>
    <row r="6" spans="2:6" x14ac:dyDescent="0.3">
      <c r="B6" s="416"/>
      <c r="C6" s="352" t="s">
        <v>1708</v>
      </c>
      <c r="D6" s="352">
        <v>187</v>
      </c>
      <c r="E6" s="352">
        <v>58</v>
      </c>
      <c r="F6" s="352">
        <f t="shared" si="0"/>
        <v>245</v>
      </c>
    </row>
    <row r="7" spans="2:6" x14ac:dyDescent="0.3">
      <c r="B7" s="416"/>
      <c r="C7" s="352" t="s">
        <v>1709</v>
      </c>
      <c r="D7" s="352">
        <v>186</v>
      </c>
      <c r="E7" s="352">
        <v>57</v>
      </c>
      <c r="F7" s="352">
        <f t="shared" si="0"/>
        <v>243</v>
      </c>
    </row>
    <row r="8" spans="2:6" x14ac:dyDescent="0.3">
      <c r="B8" s="416"/>
      <c r="C8" s="352" t="s">
        <v>1710</v>
      </c>
      <c r="D8" s="352">
        <v>207</v>
      </c>
      <c r="E8" s="352">
        <v>64</v>
      </c>
      <c r="F8" s="352">
        <f t="shared" si="0"/>
        <v>271</v>
      </c>
    </row>
    <row r="9" spans="2:6" x14ac:dyDescent="0.3">
      <c r="B9" s="417"/>
      <c r="C9" s="352" t="s">
        <v>1711</v>
      </c>
      <c r="D9" s="352">
        <v>188</v>
      </c>
      <c r="E9" s="352">
        <v>58</v>
      </c>
      <c r="F9" s="352">
        <f t="shared" si="0"/>
        <v>246</v>
      </c>
    </row>
    <row r="10" spans="2:6" x14ac:dyDescent="0.3">
      <c r="B10" s="413" t="s">
        <v>1637</v>
      </c>
      <c r="C10" s="352" t="s">
        <v>1638</v>
      </c>
      <c r="D10" s="352">
        <v>189</v>
      </c>
      <c r="E10" s="352">
        <v>58</v>
      </c>
      <c r="F10" s="352">
        <f>SUM(D10:E10)</f>
        <v>247</v>
      </c>
    </row>
    <row r="11" spans="2:6" x14ac:dyDescent="0.3">
      <c r="B11" s="413"/>
      <c r="C11" s="352" t="s">
        <v>1639</v>
      </c>
      <c r="D11" s="352">
        <v>172</v>
      </c>
      <c r="E11" s="352">
        <v>53</v>
      </c>
      <c r="F11" s="352">
        <f t="shared" ref="F11:F34" si="1">SUM(D11:E11)</f>
        <v>225</v>
      </c>
    </row>
    <row r="12" spans="2:6" x14ac:dyDescent="0.3">
      <c r="B12" s="413"/>
      <c r="C12" s="352" t="s">
        <v>1640</v>
      </c>
      <c r="D12" s="352">
        <v>154</v>
      </c>
      <c r="E12" s="352">
        <v>47</v>
      </c>
      <c r="F12" s="352">
        <f t="shared" si="1"/>
        <v>201</v>
      </c>
    </row>
    <row r="13" spans="2:6" x14ac:dyDescent="0.3">
      <c r="B13" s="413"/>
      <c r="C13" s="352" t="s">
        <v>1704</v>
      </c>
      <c r="D13" s="352">
        <v>187</v>
      </c>
      <c r="E13" s="352">
        <v>58</v>
      </c>
      <c r="F13" s="352">
        <f t="shared" si="1"/>
        <v>245</v>
      </c>
    </row>
    <row r="14" spans="2:6" x14ac:dyDescent="0.3">
      <c r="B14" s="413"/>
      <c r="C14" s="352" t="s">
        <v>1705</v>
      </c>
      <c r="D14" s="352">
        <v>177</v>
      </c>
      <c r="E14" s="352">
        <v>54</v>
      </c>
      <c r="F14" s="352">
        <f t="shared" si="1"/>
        <v>231</v>
      </c>
    </row>
    <row r="15" spans="2:6" x14ac:dyDescent="0.3">
      <c r="B15" s="413"/>
      <c r="C15" s="352" t="s">
        <v>1706</v>
      </c>
      <c r="D15" s="352">
        <v>167</v>
      </c>
      <c r="E15" s="352">
        <v>51</v>
      </c>
      <c r="F15" s="352">
        <f t="shared" si="1"/>
        <v>218</v>
      </c>
    </row>
    <row r="16" spans="2:6" x14ac:dyDescent="0.3">
      <c r="B16" s="418" t="s">
        <v>1700</v>
      </c>
      <c r="C16" s="352" t="s">
        <v>1701</v>
      </c>
      <c r="D16" s="352">
        <v>158</v>
      </c>
      <c r="E16" s="352">
        <v>49</v>
      </c>
      <c r="F16" s="352">
        <f t="shared" ref="F16:F17" si="2">SUM(D16:E16)</f>
        <v>207</v>
      </c>
    </row>
    <row r="17" spans="2:6" x14ac:dyDescent="0.3">
      <c r="B17" s="416"/>
      <c r="C17" s="352" t="s">
        <v>1702</v>
      </c>
      <c r="D17" s="352">
        <v>166</v>
      </c>
      <c r="E17" s="352">
        <v>51</v>
      </c>
      <c r="F17" s="352">
        <f t="shared" si="2"/>
        <v>217</v>
      </c>
    </row>
    <row r="18" spans="2:6" x14ac:dyDescent="0.3">
      <c r="B18" s="416"/>
      <c r="C18" s="352" t="s">
        <v>1703</v>
      </c>
      <c r="D18" s="352">
        <v>306</v>
      </c>
      <c r="E18" s="352">
        <v>94</v>
      </c>
      <c r="F18" s="352">
        <f>SUM(D18:E18)</f>
        <v>400</v>
      </c>
    </row>
    <row r="19" spans="2:6" x14ac:dyDescent="0.3">
      <c r="B19" s="416"/>
      <c r="C19" s="352" t="s">
        <v>1762</v>
      </c>
      <c r="D19" s="352">
        <v>151</v>
      </c>
      <c r="E19" s="352">
        <v>46</v>
      </c>
      <c r="F19" s="352">
        <f>SUM(D19:E19)</f>
        <v>197</v>
      </c>
    </row>
    <row r="20" spans="2:6" x14ac:dyDescent="0.3">
      <c r="B20" s="416"/>
      <c r="C20" s="352" t="s">
        <v>1763</v>
      </c>
      <c r="D20" s="352">
        <v>147</v>
      </c>
      <c r="E20" s="352">
        <v>45</v>
      </c>
      <c r="F20" s="352">
        <f>SUM(D20:E20)</f>
        <v>192</v>
      </c>
    </row>
    <row r="21" spans="2:6" x14ac:dyDescent="0.3">
      <c r="B21" s="416"/>
      <c r="C21" s="352" t="s">
        <v>1764</v>
      </c>
      <c r="D21" s="352">
        <v>306</v>
      </c>
      <c r="E21" s="352">
        <v>94</v>
      </c>
      <c r="F21" s="352">
        <f>SUM(D21:E21)</f>
        <v>400</v>
      </c>
    </row>
    <row r="22" spans="2:6" x14ac:dyDescent="0.3">
      <c r="B22" s="417"/>
      <c r="C22" s="352" t="s">
        <v>1769</v>
      </c>
      <c r="D22" s="352">
        <v>303</v>
      </c>
      <c r="E22" s="352">
        <v>94</v>
      </c>
      <c r="F22" s="352">
        <f t="shared" ref="F22" si="3">SUM(D22:E22)</f>
        <v>397</v>
      </c>
    </row>
    <row r="23" spans="2:6" x14ac:dyDescent="0.3">
      <c r="B23" s="413" t="s">
        <v>1768</v>
      </c>
      <c r="C23" s="352" t="s">
        <v>1641</v>
      </c>
      <c r="D23" s="352">
        <v>190</v>
      </c>
      <c r="E23" s="352">
        <v>58</v>
      </c>
      <c r="F23" s="352">
        <f t="shared" si="1"/>
        <v>248</v>
      </c>
    </row>
    <row r="24" spans="2:6" x14ac:dyDescent="0.3">
      <c r="B24" s="413"/>
      <c r="C24" s="352" t="s">
        <v>1642</v>
      </c>
      <c r="D24" s="352">
        <v>154</v>
      </c>
      <c r="E24" s="352">
        <v>47</v>
      </c>
      <c r="F24" s="352">
        <f t="shared" si="1"/>
        <v>201</v>
      </c>
    </row>
    <row r="25" spans="2:6" x14ac:dyDescent="0.3">
      <c r="B25" s="413"/>
      <c r="C25" s="352" t="s">
        <v>1643</v>
      </c>
      <c r="D25" s="352">
        <v>154</v>
      </c>
      <c r="E25" s="352">
        <v>47</v>
      </c>
      <c r="F25" s="352">
        <f t="shared" si="1"/>
        <v>201</v>
      </c>
    </row>
    <row r="26" spans="2:6" x14ac:dyDescent="0.3">
      <c r="B26" s="398" t="s">
        <v>1765</v>
      </c>
      <c r="C26" s="352" t="s">
        <v>1785</v>
      </c>
      <c r="D26" s="352">
        <v>422</v>
      </c>
      <c r="E26" s="352">
        <v>130</v>
      </c>
      <c r="F26" s="352">
        <f t="shared" si="1"/>
        <v>552</v>
      </c>
    </row>
    <row r="27" spans="2:6" x14ac:dyDescent="0.3">
      <c r="B27" s="416" t="s">
        <v>1766</v>
      </c>
      <c r="C27" s="352" t="s">
        <v>1644</v>
      </c>
      <c r="D27" s="352">
        <v>201</v>
      </c>
      <c r="E27" s="352">
        <v>62</v>
      </c>
      <c r="F27" s="352">
        <f>SUM(D27:E27)</f>
        <v>263</v>
      </c>
    </row>
    <row r="28" spans="2:6" x14ac:dyDescent="0.3">
      <c r="B28" s="416"/>
      <c r="C28" s="352" t="s">
        <v>1645</v>
      </c>
      <c r="D28" s="352">
        <v>201</v>
      </c>
      <c r="E28" s="352">
        <v>62</v>
      </c>
      <c r="F28" s="352">
        <f t="shared" si="1"/>
        <v>263</v>
      </c>
    </row>
    <row r="29" spans="2:6" x14ac:dyDescent="0.3">
      <c r="B29" s="417"/>
      <c r="C29" s="352" t="s">
        <v>1699</v>
      </c>
      <c r="D29" s="352">
        <v>220</v>
      </c>
      <c r="E29" s="352">
        <v>68</v>
      </c>
      <c r="F29" s="352">
        <f t="shared" si="1"/>
        <v>288</v>
      </c>
    </row>
    <row r="30" spans="2:6" x14ac:dyDescent="0.3">
      <c r="B30" s="378" t="s">
        <v>1648</v>
      </c>
      <c r="C30" s="352" t="s">
        <v>1649</v>
      </c>
      <c r="D30" s="352">
        <v>247</v>
      </c>
      <c r="E30" s="352">
        <v>76</v>
      </c>
      <c r="F30" s="352">
        <f t="shared" ref="F30" si="4">SUM(D30:E30)</f>
        <v>323</v>
      </c>
    </row>
    <row r="31" spans="2:6" x14ac:dyDescent="0.3">
      <c r="B31" s="413" t="s">
        <v>1646</v>
      </c>
      <c r="C31" s="352" t="s">
        <v>1647</v>
      </c>
      <c r="D31" s="352">
        <v>181</v>
      </c>
      <c r="E31" s="352">
        <v>56</v>
      </c>
      <c r="F31" s="352">
        <f t="shared" si="1"/>
        <v>237</v>
      </c>
    </row>
    <row r="32" spans="2:6" x14ac:dyDescent="0.3">
      <c r="B32" s="413"/>
      <c r="C32" s="352" t="s">
        <v>1813</v>
      </c>
      <c r="D32" s="352">
        <v>141</v>
      </c>
      <c r="E32" s="352">
        <v>43</v>
      </c>
      <c r="F32" s="352">
        <f t="shared" si="1"/>
        <v>184</v>
      </c>
    </row>
    <row r="33" spans="2:6" x14ac:dyDescent="0.3">
      <c r="B33" s="413"/>
      <c r="C33" s="352" t="s">
        <v>1814</v>
      </c>
      <c r="D33" s="352">
        <v>168</v>
      </c>
      <c r="E33" s="352">
        <v>52</v>
      </c>
      <c r="F33" s="352">
        <f t="shared" si="1"/>
        <v>220</v>
      </c>
    </row>
    <row r="34" spans="2:6" x14ac:dyDescent="0.3">
      <c r="B34" s="378" t="s">
        <v>1697</v>
      </c>
      <c r="C34" s="352" t="s">
        <v>1698</v>
      </c>
      <c r="D34" s="352">
        <v>145</v>
      </c>
      <c r="E34" s="352">
        <v>45</v>
      </c>
      <c r="F34" s="352">
        <f t="shared" si="1"/>
        <v>190</v>
      </c>
    </row>
    <row r="35" spans="2:6" ht="4.5" customHeight="1" x14ac:dyDescent="0.3"/>
    <row r="36" spans="2:6" ht="16.5" x14ac:dyDescent="0.3">
      <c r="B36" s="353" t="s">
        <v>1815</v>
      </c>
    </row>
    <row r="37" spans="2:6" ht="16.5" x14ac:dyDescent="0.3">
      <c r="B37" s="353" t="s">
        <v>1652</v>
      </c>
    </row>
  </sheetData>
  <sheetProtection algorithmName="SHA-512" hashValue="BUENUsm296v4a4SObR8+jIN/B8yY4XNgq5bVktsOHHnL+3XXAuedam2Bum+dV+XaFeOfo1gEYuMq7fIP9dwh2w==" saltValue="38wKP60Ldp582Nnd8hZXxg==" spinCount="100000" sheet="1" objects="1" scenarios="1"/>
  <mergeCells count="7">
    <mergeCell ref="B31:B33"/>
    <mergeCell ref="B2:C2"/>
    <mergeCell ref="B10:B15"/>
    <mergeCell ref="B23:B25"/>
    <mergeCell ref="B27:B29"/>
    <mergeCell ref="B16:B22"/>
    <mergeCell ref="B5:B9"/>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sheetPr>
  <dimension ref="A2:I24"/>
  <sheetViews>
    <sheetView topLeftCell="A2" zoomScale="55" zoomScaleNormal="55" zoomScaleSheetLayoutView="40" workbookViewId="0">
      <selection activeCell="V12" sqref="V12"/>
    </sheetView>
  </sheetViews>
  <sheetFormatPr defaultRowHeight="16.5" x14ac:dyDescent="0.3"/>
  <cols>
    <col min="1" max="1" width="2.875" style="354" customWidth="1"/>
    <col min="2" max="8" width="19.75" style="354" customWidth="1"/>
    <col min="9" max="9" width="5.125" style="354" customWidth="1"/>
    <col min="10" max="16384" width="9" style="354"/>
  </cols>
  <sheetData>
    <row r="2" spans="2:8" ht="21" customHeight="1" x14ac:dyDescent="0.3"/>
    <row r="3" spans="2:8" ht="6" customHeight="1" x14ac:dyDescent="0.3"/>
    <row r="4" spans="2:8" ht="20.25" customHeight="1" x14ac:dyDescent="0.3"/>
    <row r="5" spans="2:8" ht="30" customHeight="1" x14ac:dyDescent="0.3">
      <c r="B5" s="421" t="s">
        <v>1625</v>
      </c>
      <c r="C5" s="421"/>
      <c r="D5" s="421"/>
      <c r="E5" s="421"/>
      <c r="F5" s="421"/>
      <c r="G5" s="421"/>
      <c r="H5" s="421"/>
    </row>
    <row r="6" spans="2:8" ht="30" customHeight="1" x14ac:dyDescent="0.3">
      <c r="B6" s="421"/>
      <c r="C6" s="421"/>
      <c r="D6" s="421"/>
      <c r="E6" s="421"/>
      <c r="F6" s="421"/>
      <c r="G6" s="421"/>
      <c r="H6" s="421"/>
    </row>
    <row r="7" spans="2:8" ht="22.5" customHeight="1" x14ac:dyDescent="0.3">
      <c r="C7" s="355"/>
      <c r="D7" s="355"/>
      <c r="E7" s="355"/>
      <c r="F7" s="355"/>
    </row>
    <row r="8" spans="2:8" ht="20.25" x14ac:dyDescent="0.3">
      <c r="B8" s="422" t="s">
        <v>1626</v>
      </c>
      <c r="C8" s="423"/>
      <c r="D8" s="423"/>
      <c r="E8" s="423"/>
      <c r="F8" s="423"/>
      <c r="G8" s="423"/>
    </row>
    <row r="9" spans="2:8" ht="19.5" customHeight="1" x14ac:dyDescent="0.3">
      <c r="B9" s="356"/>
      <c r="C9" s="357"/>
      <c r="D9" s="357"/>
      <c r="E9" s="357"/>
      <c r="F9" s="357"/>
      <c r="G9" s="357"/>
    </row>
    <row r="11" spans="2:8" ht="157.5" customHeight="1" x14ac:dyDescent="0.3">
      <c r="B11" s="422" t="s">
        <v>1627</v>
      </c>
      <c r="C11" s="423"/>
      <c r="D11" s="423"/>
      <c r="E11" s="423"/>
      <c r="F11" s="423"/>
      <c r="G11" s="423"/>
      <c r="H11" s="423"/>
    </row>
    <row r="13" spans="2:8" ht="207" customHeight="1" x14ac:dyDescent="0.3">
      <c r="B13" s="424" t="s">
        <v>1628</v>
      </c>
      <c r="C13" s="423"/>
      <c r="D13" s="423"/>
      <c r="E13" s="423"/>
      <c r="F13" s="423"/>
      <c r="G13" s="423"/>
      <c r="H13" s="423"/>
    </row>
    <row r="14" spans="2:8" ht="409.5" customHeight="1" x14ac:dyDescent="0.3">
      <c r="B14" s="356"/>
      <c r="C14" s="357"/>
      <c r="D14" s="357"/>
      <c r="E14" s="357"/>
      <c r="F14" s="357"/>
      <c r="G14" s="357"/>
      <c r="H14" s="357"/>
    </row>
    <row r="15" spans="2:8" ht="29.25" customHeight="1" x14ac:dyDescent="0.3">
      <c r="B15" s="356"/>
      <c r="C15" s="357"/>
      <c r="D15" s="357"/>
      <c r="E15" s="357"/>
      <c r="F15" s="357"/>
      <c r="G15" s="357"/>
      <c r="H15" s="357"/>
    </row>
    <row r="16" spans="2:8" ht="12.75" customHeight="1" x14ac:dyDescent="0.3">
      <c r="B16" s="356"/>
      <c r="C16" s="357"/>
      <c r="D16" s="357"/>
      <c r="E16" s="357"/>
      <c r="F16" s="357"/>
      <c r="G16" s="357"/>
      <c r="H16" s="357"/>
    </row>
    <row r="17" spans="1:9" s="358" customFormat="1" ht="69.75" customHeight="1" x14ac:dyDescent="0.3">
      <c r="A17" s="419" t="s">
        <v>1629</v>
      </c>
      <c r="B17" s="419"/>
      <c r="C17" s="419"/>
      <c r="D17" s="419"/>
      <c r="E17" s="419"/>
      <c r="F17" s="419"/>
      <c r="G17" s="419"/>
      <c r="H17" s="419"/>
      <c r="I17" s="419"/>
    </row>
    <row r="18" spans="1:9" x14ac:dyDescent="0.3">
      <c r="A18" s="359"/>
      <c r="B18" s="360"/>
      <c r="C18" s="360"/>
      <c r="D18" s="360"/>
      <c r="E18" s="360"/>
      <c r="F18" s="360"/>
      <c r="G18" s="360"/>
      <c r="H18" s="360"/>
      <c r="I18" s="359"/>
    </row>
    <row r="20" spans="1:9" ht="20.25" x14ac:dyDescent="0.3">
      <c r="D20" s="420" t="s">
        <v>1630</v>
      </c>
      <c r="E20" s="420"/>
      <c r="F20" s="420"/>
    </row>
    <row r="22" spans="1:9" ht="27.75" customHeight="1" x14ac:dyDescent="0.3">
      <c r="F22" s="361" t="s">
        <v>1631</v>
      </c>
      <c r="G22" s="362"/>
      <c r="H22" s="362" t="s">
        <v>1632</v>
      </c>
    </row>
    <row r="23" spans="1:9" x14ac:dyDescent="0.3">
      <c r="F23" s="96"/>
      <c r="G23" s="361"/>
      <c r="H23" s="361"/>
    </row>
    <row r="24" spans="1:9" ht="27.75" customHeight="1" x14ac:dyDescent="0.3">
      <c r="F24" s="361" t="s">
        <v>1633</v>
      </c>
      <c r="G24" s="362"/>
      <c r="H24" s="362" t="s">
        <v>1632</v>
      </c>
    </row>
  </sheetData>
  <sheetProtection algorithmName="SHA-512" hashValue="N4STsDAurPNh9/8ByRzNvATVEn325GgAylSoRQdj0PMgI549vUvdCPZ8ZiMPwReLryxTYFpzOhvlgSNhGVQlFA==" saltValue="TltZiD6wGpf/MqtjVJd4EA==" spinCount="100000" sheet="1" objects="1" scenarios="1"/>
  <mergeCells count="6">
    <mergeCell ref="A17:I17"/>
    <mergeCell ref="D20:F20"/>
    <mergeCell ref="B5:H6"/>
    <mergeCell ref="B8:G8"/>
    <mergeCell ref="B11:H11"/>
    <mergeCell ref="B13:H13"/>
  </mergeCells>
  <phoneticPr fontId="1" type="noConversion"/>
  <pageMargins left="0.7" right="0.7" top="0.75" bottom="0.75" header="0.3" footer="0.3"/>
  <pageSetup paperSize="9" scale="51"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C00000"/>
    <pageSetUpPr fitToPage="1"/>
  </sheetPr>
  <dimension ref="A1:DM45"/>
  <sheetViews>
    <sheetView zoomScale="40" zoomScaleNormal="40" zoomScaleSheetLayoutView="40" workbookViewId="0">
      <selection activeCell="EL12" sqref="EL12"/>
    </sheetView>
  </sheetViews>
  <sheetFormatPr defaultColWidth="2.25" defaultRowHeight="39.75" customHeight="1" x14ac:dyDescent="0.3"/>
  <cols>
    <col min="1" max="58" width="2.25" style="81"/>
    <col min="59" max="73" width="2.25" style="82"/>
    <col min="74" max="16384" width="2.25" style="81"/>
  </cols>
  <sheetData>
    <row r="1" spans="1:117" ht="56.25" customHeight="1" x14ac:dyDescent="0.3"/>
    <row r="2" spans="1:117" ht="28.5" customHeight="1" x14ac:dyDescent="0.3">
      <c r="C2" s="83"/>
      <c r="D2" s="83"/>
      <c r="E2" s="83"/>
      <c r="F2" s="83"/>
      <c r="G2" s="83"/>
      <c r="H2" s="83"/>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495" t="str">
        <f>'운용리스 입력'!D2</f>
        <v>2025_09_V1</v>
      </c>
      <c r="AX2" s="495"/>
      <c r="AY2" s="495"/>
      <c r="AZ2" s="495"/>
      <c r="BA2" s="495"/>
      <c r="BB2" s="495"/>
      <c r="BC2" s="495"/>
      <c r="BD2" s="495"/>
      <c r="BE2" s="495"/>
      <c r="BF2" s="495"/>
      <c r="BG2" s="495"/>
      <c r="BH2" s="83"/>
      <c r="BI2" s="83"/>
      <c r="BJ2" s="83"/>
      <c r="BK2" s="83"/>
      <c r="BL2" s="83"/>
      <c r="BM2" s="83"/>
      <c r="BN2" s="83"/>
      <c r="BO2" s="83"/>
      <c r="BP2" s="83"/>
      <c r="BQ2" s="83"/>
      <c r="BR2" s="83"/>
      <c r="BS2" s="83"/>
      <c r="BT2" s="83"/>
      <c r="BU2" s="83"/>
      <c r="BV2" s="83"/>
      <c r="BW2" s="83"/>
      <c r="BX2" s="83"/>
      <c r="BY2" s="83"/>
      <c r="BZ2" s="83"/>
      <c r="CA2" s="83"/>
      <c r="CB2" s="83"/>
      <c r="CC2" s="83"/>
      <c r="CD2" s="83"/>
      <c r="CE2" s="83"/>
      <c r="CF2" s="83"/>
    </row>
    <row r="3" spans="1:117" ht="39.75" customHeight="1" x14ac:dyDescent="0.3">
      <c r="C3" s="425" t="s">
        <v>1530</v>
      </c>
      <c r="D3" s="425"/>
      <c r="E3" s="425"/>
      <c r="F3" s="425"/>
      <c r="G3" s="425"/>
      <c r="H3" s="425"/>
      <c r="I3" s="425"/>
      <c r="J3" s="425"/>
      <c r="K3" s="425"/>
      <c r="L3" s="425"/>
      <c r="M3" s="425"/>
      <c r="N3" s="425"/>
      <c r="O3" s="425"/>
      <c r="P3" s="425"/>
      <c r="Q3" s="425"/>
      <c r="R3" s="425"/>
      <c r="S3" s="425"/>
      <c r="T3" s="425"/>
      <c r="U3" s="425"/>
      <c r="V3" s="425"/>
      <c r="W3" s="425"/>
      <c r="X3" s="425"/>
      <c r="Y3" s="425"/>
      <c r="Z3" s="425"/>
      <c r="AA3" s="425"/>
      <c r="AB3" s="425"/>
      <c r="AC3" s="425"/>
      <c r="AD3" s="425"/>
      <c r="AE3" s="425"/>
      <c r="AF3" s="425"/>
      <c r="AG3" s="425"/>
      <c r="AH3" s="425"/>
      <c r="AI3" s="425"/>
      <c r="AJ3" s="425"/>
      <c r="AK3" s="425"/>
      <c r="AL3" s="425"/>
      <c r="AM3" s="425"/>
      <c r="AN3" s="425"/>
      <c r="AO3" s="425"/>
      <c r="AP3" s="425"/>
      <c r="AQ3" s="425"/>
      <c r="AR3" s="425"/>
      <c r="AS3" s="425"/>
      <c r="AT3" s="425"/>
      <c r="AU3" s="425"/>
      <c r="AV3" s="425"/>
      <c r="AW3" s="425"/>
      <c r="AX3" s="425"/>
      <c r="AY3" s="425"/>
      <c r="AZ3" s="425"/>
      <c r="BA3" s="84"/>
      <c r="BB3" s="84"/>
      <c r="BC3" s="83"/>
      <c r="BD3" s="83"/>
      <c r="BE3" s="83"/>
      <c r="BF3" s="83"/>
      <c r="BG3" s="83"/>
      <c r="BH3" s="83"/>
      <c r="BI3" s="83"/>
      <c r="BK3" s="85"/>
      <c r="BL3" s="85"/>
      <c r="BM3" s="85"/>
      <c r="BN3" s="85"/>
      <c r="BO3" s="85"/>
      <c r="BP3" s="85"/>
      <c r="BQ3" s="450">
        <f ca="1">TODAY()</f>
        <v>45904</v>
      </c>
      <c r="BR3" s="450"/>
      <c r="BS3" s="450"/>
      <c r="BT3" s="450"/>
      <c r="BU3" s="450"/>
      <c r="BV3" s="450"/>
      <c r="BW3" s="450"/>
      <c r="BX3" s="450"/>
      <c r="BY3" s="450"/>
      <c r="BZ3" s="450"/>
      <c r="CA3" s="450"/>
      <c r="CB3" s="450"/>
      <c r="CC3" s="450"/>
      <c r="CD3" s="450"/>
      <c r="CE3" s="450"/>
    </row>
    <row r="4" spans="1:117" ht="31.5" customHeight="1" x14ac:dyDescent="0.3">
      <c r="C4" s="425"/>
      <c r="D4" s="425"/>
      <c r="E4" s="425"/>
      <c r="F4" s="425"/>
      <c r="G4" s="425"/>
      <c r="H4" s="425"/>
      <c r="I4" s="425"/>
      <c r="J4" s="425"/>
      <c r="K4" s="425"/>
      <c r="L4" s="425"/>
      <c r="M4" s="425"/>
      <c r="N4" s="425"/>
      <c r="O4" s="425"/>
      <c r="P4" s="425"/>
      <c r="Q4" s="425"/>
      <c r="R4" s="425"/>
      <c r="S4" s="425"/>
      <c r="T4" s="425"/>
      <c r="U4" s="425"/>
      <c r="V4" s="425"/>
      <c r="W4" s="425"/>
      <c r="X4" s="425"/>
      <c r="Y4" s="425"/>
      <c r="Z4" s="425"/>
      <c r="AA4" s="425"/>
      <c r="AB4" s="425"/>
      <c r="AC4" s="425"/>
      <c r="AD4" s="425"/>
      <c r="AE4" s="425"/>
      <c r="AF4" s="425"/>
      <c r="AG4" s="425"/>
      <c r="AH4" s="425"/>
      <c r="AI4" s="425"/>
      <c r="AJ4" s="425"/>
      <c r="AK4" s="425"/>
      <c r="AL4" s="425"/>
      <c r="AM4" s="425"/>
      <c r="AN4" s="425"/>
      <c r="AO4" s="425"/>
      <c r="AP4" s="425"/>
      <c r="AQ4" s="425"/>
      <c r="AR4" s="425"/>
      <c r="AS4" s="425"/>
      <c r="AT4" s="425"/>
      <c r="AU4" s="425"/>
      <c r="AV4" s="425"/>
      <c r="AW4" s="425"/>
      <c r="AX4" s="425"/>
      <c r="AY4" s="425"/>
      <c r="AZ4" s="425"/>
      <c r="BA4" s="84"/>
      <c r="BB4" s="84"/>
      <c r="BS4" s="451" t="s">
        <v>1534</v>
      </c>
      <c r="BT4" s="451"/>
      <c r="BU4" s="451"/>
      <c r="BV4" s="451"/>
      <c r="BW4" s="452" t="str">
        <f>'운용리스 입력'!D25</f>
        <v>메리츠캐피탈</v>
      </c>
      <c r="BX4" s="452"/>
      <c r="BY4" s="452"/>
      <c r="BZ4" s="452"/>
      <c r="CA4" s="452"/>
      <c r="CB4" s="452"/>
      <c r="CC4" s="452"/>
      <c r="CD4" s="452"/>
      <c r="CE4" s="452"/>
    </row>
    <row r="5" spans="1:117" ht="19.5" customHeight="1" x14ac:dyDescent="0.3">
      <c r="A5" s="86"/>
      <c r="B5" s="86"/>
      <c r="C5" s="425"/>
      <c r="D5" s="425"/>
      <c r="E5" s="425"/>
      <c r="F5" s="425"/>
      <c r="G5" s="425"/>
      <c r="H5" s="425"/>
      <c r="I5" s="425"/>
      <c r="J5" s="425"/>
      <c r="K5" s="425"/>
      <c r="L5" s="425"/>
      <c r="M5" s="425"/>
      <c r="N5" s="425"/>
      <c r="O5" s="425"/>
      <c r="P5" s="425"/>
      <c r="Q5" s="425"/>
      <c r="R5" s="425"/>
      <c r="S5" s="425"/>
      <c r="T5" s="425"/>
      <c r="U5" s="425"/>
      <c r="V5" s="425"/>
      <c r="W5" s="425"/>
      <c r="X5" s="425"/>
      <c r="Y5" s="425"/>
      <c r="Z5" s="425"/>
      <c r="AA5" s="425"/>
      <c r="AB5" s="425"/>
      <c r="AC5" s="425"/>
      <c r="AD5" s="425"/>
      <c r="AE5" s="425"/>
      <c r="AF5" s="425"/>
      <c r="AG5" s="425"/>
      <c r="AH5" s="425"/>
      <c r="AI5" s="425"/>
      <c r="AJ5" s="425"/>
      <c r="AK5" s="425"/>
      <c r="AL5" s="425"/>
      <c r="AM5" s="425"/>
      <c r="AN5" s="425"/>
      <c r="AO5" s="425"/>
      <c r="AP5" s="425"/>
      <c r="AQ5" s="425"/>
      <c r="AR5" s="425"/>
      <c r="AS5" s="425"/>
      <c r="AT5" s="425"/>
      <c r="AU5" s="425"/>
      <c r="AV5" s="425"/>
      <c r="AW5" s="425"/>
      <c r="AX5" s="425"/>
      <c r="AY5" s="425"/>
      <c r="AZ5" s="425"/>
      <c r="BA5" s="84"/>
      <c r="BB5" s="84"/>
      <c r="BM5" s="81"/>
      <c r="BN5" s="81"/>
      <c r="BO5" s="81"/>
      <c r="BP5" s="81"/>
      <c r="BQ5" s="81"/>
      <c r="BR5" s="81"/>
      <c r="BS5" s="81"/>
      <c r="BT5" s="81"/>
      <c r="BU5" s="81"/>
    </row>
    <row r="6" spans="1:117" ht="32.25" customHeight="1" x14ac:dyDescent="0.45">
      <c r="AX6" s="541" t="str">
        <f>'운용리스 입력'!D26</f>
        <v>VIP 고객님</v>
      </c>
      <c r="AY6" s="541"/>
      <c r="AZ6" s="541"/>
      <c r="BA6" s="541"/>
      <c r="BB6" s="541"/>
      <c r="BC6" s="541"/>
      <c r="BD6" s="541"/>
      <c r="BE6" s="541"/>
      <c r="BF6" s="541"/>
      <c r="BG6" s="541"/>
      <c r="BH6" s="541"/>
      <c r="BI6" s="541"/>
      <c r="BJ6" s="541"/>
      <c r="BK6" s="541"/>
      <c r="BL6" s="542" t="s">
        <v>1548</v>
      </c>
      <c r="BM6" s="542"/>
      <c r="BN6" s="542"/>
      <c r="BO6" s="542"/>
      <c r="BP6" s="542"/>
      <c r="BQ6" s="542"/>
      <c r="BR6" s="542"/>
      <c r="BS6" s="542"/>
      <c r="BT6" s="542"/>
      <c r="BU6" s="542"/>
      <c r="BV6" s="542"/>
      <c r="BW6" s="542"/>
      <c r="BX6" s="542"/>
      <c r="BY6" s="542"/>
      <c r="BZ6" s="542"/>
      <c r="CA6" s="542"/>
      <c r="CB6" s="542"/>
      <c r="CC6" s="542"/>
      <c r="CD6" s="542"/>
      <c r="CE6" s="542"/>
    </row>
    <row r="7" spans="1:117" ht="39.75" customHeight="1" thickBot="1" x14ac:dyDescent="0.35">
      <c r="C7" s="87" t="s">
        <v>1388</v>
      </c>
      <c r="BU7" s="81"/>
    </row>
    <row r="8" spans="1:117" s="87" customFormat="1" ht="51" customHeight="1" thickBot="1" x14ac:dyDescent="0.35">
      <c r="C8" s="462" t="s">
        <v>1406</v>
      </c>
      <c r="D8" s="463"/>
      <c r="E8" s="463"/>
      <c r="F8" s="463"/>
      <c r="G8" s="463"/>
      <c r="H8" s="463"/>
      <c r="I8" s="463"/>
      <c r="J8" s="463"/>
      <c r="K8" s="463"/>
      <c r="L8" s="463"/>
      <c r="M8" s="463"/>
      <c r="N8" s="463"/>
      <c r="O8" s="463"/>
      <c r="P8" s="448" t="str">
        <f>'운용리스 입력'!D5</f>
        <v>Audi</v>
      </c>
      <c r="Q8" s="448"/>
      <c r="R8" s="448"/>
      <c r="S8" s="448"/>
      <c r="T8" s="448"/>
      <c r="U8" s="448"/>
      <c r="V8" s="448"/>
      <c r="W8" s="448"/>
      <c r="X8" s="448"/>
      <c r="Y8" s="448"/>
      <c r="Z8" s="448"/>
      <c r="AA8" s="448"/>
      <c r="AB8" s="448"/>
      <c r="AC8" s="505" t="str">
        <f>'운용리스 입력'!D7</f>
        <v>A6 e-tron Performance Advanced</v>
      </c>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c r="BB8" s="505"/>
      <c r="BC8" s="505"/>
      <c r="BD8" s="505"/>
      <c r="BE8" s="505"/>
      <c r="BF8" s="505"/>
      <c r="BG8" s="505"/>
      <c r="BH8" s="505"/>
      <c r="BI8" s="505"/>
      <c r="BJ8" s="505"/>
      <c r="BK8" s="505"/>
      <c r="BL8" s="505"/>
      <c r="BM8" s="505"/>
      <c r="BN8" s="505"/>
      <c r="BO8" s="505"/>
      <c r="BP8" s="505"/>
      <c r="BQ8" s="505"/>
      <c r="BR8" s="505"/>
      <c r="BS8" s="505"/>
      <c r="BT8" s="505"/>
      <c r="BU8" s="505"/>
      <c r="BV8" s="505"/>
      <c r="BW8" s="504">
        <f>'운용리스 입력'!D9</f>
        <v>0</v>
      </c>
      <c r="BX8" s="504"/>
      <c r="BY8" s="504"/>
      <c r="BZ8" s="504"/>
      <c r="CA8" s="504"/>
      <c r="CB8" s="504"/>
      <c r="CC8" s="504"/>
      <c r="CD8" s="504"/>
      <c r="CE8" s="504"/>
    </row>
    <row r="9" spans="1:117" s="87" customFormat="1" ht="51" customHeight="1" thickTop="1" x14ac:dyDescent="0.3">
      <c r="C9" s="464" t="s">
        <v>1389</v>
      </c>
      <c r="D9" s="465"/>
      <c r="E9" s="465"/>
      <c r="F9" s="465"/>
      <c r="G9" s="465"/>
      <c r="H9" s="465"/>
      <c r="I9" s="465"/>
      <c r="J9" s="465"/>
      <c r="K9" s="465"/>
      <c r="L9" s="465"/>
      <c r="M9" s="465"/>
      <c r="N9" s="465"/>
      <c r="O9" s="465"/>
      <c r="P9" s="444">
        <f>'운용리스 입력'!D11</f>
        <v>65800000</v>
      </c>
      <c r="Q9" s="444"/>
      <c r="R9" s="444"/>
      <c r="S9" s="444"/>
      <c r="T9" s="444"/>
      <c r="U9" s="444"/>
      <c r="V9" s="444"/>
      <c r="W9" s="444"/>
      <c r="X9" s="444"/>
      <c r="Y9" s="444"/>
      <c r="Z9" s="444"/>
      <c r="AA9" s="444"/>
      <c r="AB9" s="444"/>
      <c r="AC9" s="444"/>
      <c r="AD9" s="444"/>
      <c r="AE9" s="444"/>
      <c r="AF9" s="444"/>
      <c r="AG9" s="444"/>
      <c r="AH9" s="444"/>
      <c r="AI9" s="444"/>
      <c r="AJ9" s="444"/>
      <c r="AK9" s="444"/>
      <c r="AL9" s="444"/>
      <c r="AM9" s="444"/>
      <c r="AN9" s="444"/>
      <c r="AO9" s="444"/>
      <c r="AP9" s="465" t="s">
        <v>1390</v>
      </c>
      <c r="AQ9" s="465"/>
      <c r="AR9" s="465"/>
      <c r="AS9" s="465"/>
      <c r="AT9" s="465"/>
      <c r="AU9" s="465"/>
      <c r="AV9" s="465"/>
      <c r="AW9" s="465"/>
      <c r="AX9" s="465"/>
      <c r="AY9" s="465"/>
      <c r="AZ9" s="465"/>
      <c r="BA9" s="465"/>
      <c r="BB9" s="465"/>
      <c r="BC9" s="465"/>
      <c r="BD9" s="444">
        <f>'운용리스 입력'!D12</f>
        <v>0</v>
      </c>
      <c r="BE9" s="444"/>
      <c r="BF9" s="444"/>
      <c r="BG9" s="444"/>
      <c r="BH9" s="444"/>
      <c r="BI9" s="444"/>
      <c r="BJ9" s="444"/>
      <c r="BK9" s="444"/>
      <c r="BL9" s="444"/>
      <c r="BM9" s="444"/>
      <c r="BN9" s="444"/>
      <c r="BO9" s="444"/>
      <c r="BP9" s="444"/>
      <c r="BQ9" s="444"/>
      <c r="BR9" s="444"/>
      <c r="BS9" s="444"/>
      <c r="BT9" s="444"/>
      <c r="BU9" s="444"/>
      <c r="BV9" s="444"/>
      <c r="BW9" s="444"/>
      <c r="BX9" s="444"/>
      <c r="BY9" s="444"/>
      <c r="BZ9" s="444"/>
      <c r="CA9" s="444"/>
      <c r="CB9" s="444"/>
      <c r="CC9" s="444"/>
      <c r="CD9" s="444"/>
      <c r="CE9" s="445"/>
    </row>
    <row r="10" spans="1:117" s="87" customFormat="1" ht="51" customHeight="1" thickBot="1" x14ac:dyDescent="0.35">
      <c r="C10" s="466" t="s">
        <v>1391</v>
      </c>
      <c r="D10" s="467"/>
      <c r="E10" s="467"/>
      <c r="F10" s="467"/>
      <c r="G10" s="467"/>
      <c r="H10" s="467"/>
      <c r="I10" s="467"/>
      <c r="J10" s="467"/>
      <c r="K10" s="467"/>
      <c r="L10" s="467"/>
      <c r="M10" s="467"/>
      <c r="N10" s="467"/>
      <c r="O10" s="467"/>
      <c r="P10" s="443">
        <f>'운용리스 입력'!D13</f>
        <v>0</v>
      </c>
      <c r="Q10" s="443"/>
      <c r="R10" s="443"/>
      <c r="S10" s="443"/>
      <c r="T10" s="443"/>
      <c r="U10" s="443"/>
      <c r="V10" s="443"/>
      <c r="W10" s="443"/>
      <c r="X10" s="443"/>
      <c r="Y10" s="443"/>
      <c r="Z10" s="443"/>
      <c r="AA10" s="443"/>
      <c r="AB10" s="443"/>
      <c r="AC10" s="443"/>
      <c r="AD10" s="443"/>
      <c r="AE10" s="443"/>
      <c r="AF10" s="443"/>
      <c r="AG10" s="443"/>
      <c r="AH10" s="443"/>
      <c r="AI10" s="443"/>
      <c r="AJ10" s="443"/>
      <c r="AK10" s="443"/>
      <c r="AL10" s="443"/>
      <c r="AM10" s="443"/>
      <c r="AN10" s="443"/>
      <c r="AO10" s="443"/>
      <c r="AP10" s="506" t="s">
        <v>1392</v>
      </c>
      <c r="AQ10" s="506"/>
      <c r="AR10" s="506"/>
      <c r="AS10" s="506"/>
      <c r="AT10" s="506"/>
      <c r="AU10" s="506"/>
      <c r="AV10" s="506"/>
      <c r="AW10" s="506"/>
      <c r="AX10" s="506"/>
      <c r="AY10" s="506"/>
      <c r="AZ10" s="506"/>
      <c r="BA10" s="506"/>
      <c r="BB10" s="506"/>
      <c r="BC10" s="506"/>
      <c r="BD10" s="446">
        <f>'운용리스 입력'!D14</f>
        <v>65800000</v>
      </c>
      <c r="BE10" s="446"/>
      <c r="BF10" s="446"/>
      <c r="BG10" s="446"/>
      <c r="BH10" s="446"/>
      <c r="BI10" s="446"/>
      <c r="BJ10" s="446"/>
      <c r="BK10" s="446"/>
      <c r="BL10" s="446"/>
      <c r="BM10" s="446"/>
      <c r="BN10" s="446"/>
      <c r="BO10" s="446"/>
      <c r="BP10" s="446"/>
      <c r="BQ10" s="446"/>
      <c r="BR10" s="446"/>
      <c r="BS10" s="446"/>
      <c r="BT10" s="446"/>
      <c r="BU10" s="446"/>
      <c r="BV10" s="446"/>
      <c r="BW10" s="446"/>
      <c r="BX10" s="446"/>
      <c r="BY10" s="446"/>
      <c r="BZ10" s="446"/>
      <c r="CA10" s="446"/>
      <c r="CB10" s="446"/>
      <c r="CC10" s="446"/>
      <c r="CD10" s="446"/>
      <c r="CE10" s="447"/>
    </row>
    <row r="11" spans="1:117" ht="14.25" customHeight="1" x14ac:dyDescent="0.3">
      <c r="A11" s="86"/>
      <c r="B11" s="86"/>
      <c r="C11" s="86"/>
      <c r="D11" s="86"/>
      <c r="E11" s="86"/>
      <c r="F11" s="86"/>
      <c r="G11" s="86"/>
      <c r="H11" s="86"/>
      <c r="I11" s="86"/>
      <c r="J11" s="83"/>
      <c r="K11" s="83"/>
      <c r="L11" s="83"/>
      <c r="M11" s="88"/>
      <c r="N11" s="89"/>
      <c r="O11" s="89"/>
      <c r="P11" s="89"/>
      <c r="Q11" s="89"/>
      <c r="R11" s="89"/>
      <c r="S11" s="89"/>
      <c r="T11" s="89"/>
      <c r="U11" s="89"/>
      <c r="V11" s="89"/>
      <c r="W11" s="89"/>
      <c r="X11" s="89"/>
      <c r="AH11" s="88"/>
      <c r="AI11" s="88"/>
      <c r="AJ11" s="88"/>
      <c r="AK11" s="88"/>
      <c r="AL11" s="88"/>
      <c r="AM11" s="88"/>
      <c r="AN11" s="88"/>
      <c r="AO11" s="83"/>
      <c r="AP11" s="83"/>
      <c r="AQ11" s="83"/>
      <c r="AR11" s="83"/>
      <c r="AS11" s="83"/>
      <c r="AZ11" s="83"/>
      <c r="BA11" s="83"/>
    </row>
    <row r="12" spans="1:117" ht="39.75" customHeight="1" thickBot="1" x14ac:dyDescent="0.35">
      <c r="C12" s="87" t="s">
        <v>1393</v>
      </c>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90"/>
      <c r="BH12" s="90"/>
      <c r="BI12" s="90"/>
      <c r="BJ12" s="90"/>
      <c r="BK12" s="90"/>
      <c r="BL12" s="90"/>
      <c r="BM12" s="90"/>
      <c r="BN12" s="90"/>
      <c r="BO12" s="90"/>
      <c r="BP12" s="90"/>
      <c r="BQ12" s="90"/>
      <c r="BR12" s="90"/>
      <c r="BS12" s="90"/>
      <c r="BT12" s="90"/>
      <c r="BU12" s="90"/>
      <c r="BV12" s="87"/>
      <c r="BW12" s="87"/>
      <c r="BX12" s="87"/>
      <c r="BY12" s="87"/>
      <c r="BZ12" s="87"/>
      <c r="CA12" s="87"/>
      <c r="CB12" s="87"/>
      <c r="CC12" s="87"/>
      <c r="CD12" s="87"/>
      <c r="CE12" s="87"/>
    </row>
    <row r="13" spans="1:117" s="87" customFormat="1" ht="51" customHeight="1" x14ac:dyDescent="0.3">
      <c r="C13" s="479" t="str">
        <f>"등취득세 "&amp;'운용리스 입력'!C16</f>
        <v>등취득세 포함</v>
      </c>
      <c r="D13" s="480"/>
      <c r="E13" s="480"/>
      <c r="F13" s="480"/>
      <c r="G13" s="480"/>
      <c r="H13" s="480"/>
      <c r="I13" s="480"/>
      <c r="J13" s="480"/>
      <c r="K13" s="480"/>
      <c r="L13" s="480"/>
      <c r="M13" s="480"/>
      <c r="N13" s="480"/>
      <c r="O13" s="480"/>
      <c r="P13" s="483">
        <f>'운용리스 입력'!D16</f>
        <v>4187270</v>
      </c>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0" t="str">
        <f>"공채비용 "&amp;'운용리스 입력'!C17</f>
        <v>공채비용 포함</v>
      </c>
      <c r="AQ13" s="480"/>
      <c r="AR13" s="480"/>
      <c r="AS13" s="480"/>
      <c r="AT13" s="480"/>
      <c r="AU13" s="480"/>
      <c r="AV13" s="480"/>
      <c r="AW13" s="480"/>
      <c r="AX13" s="480"/>
      <c r="AY13" s="480"/>
      <c r="AZ13" s="480"/>
      <c r="BA13" s="480"/>
      <c r="BB13" s="480"/>
      <c r="BC13" s="480"/>
      <c r="BD13" s="483">
        <f>'운용리스 입력'!F18</f>
        <v>0</v>
      </c>
      <c r="BE13" s="483"/>
      <c r="BF13" s="483"/>
      <c r="BG13" s="483"/>
      <c r="BH13" s="483"/>
      <c r="BI13" s="483"/>
      <c r="BJ13" s="483"/>
      <c r="BK13" s="483"/>
      <c r="BL13" s="483"/>
      <c r="BM13" s="483"/>
      <c r="BN13" s="483"/>
      <c r="BO13" s="483"/>
      <c r="BP13" s="483"/>
      <c r="BQ13" s="483"/>
      <c r="BR13" s="483"/>
      <c r="BS13" s="483"/>
      <c r="BT13" s="483"/>
      <c r="BU13" s="483"/>
      <c r="BV13" s="483"/>
      <c r="BW13" s="483"/>
      <c r="BX13" s="483"/>
      <c r="BY13" s="483"/>
      <c r="BZ13" s="483"/>
      <c r="CA13" s="483"/>
      <c r="CB13" s="483"/>
      <c r="CC13" s="483"/>
      <c r="CD13" s="483"/>
      <c r="CE13" s="484"/>
    </row>
    <row r="14" spans="1:117" s="87" customFormat="1" ht="51" customHeight="1" thickBot="1" x14ac:dyDescent="0.35">
      <c r="C14" s="481" t="str">
        <f>"탁송료 "&amp;'운용리스 입력'!C19</f>
        <v>탁송료 포함</v>
      </c>
      <c r="D14" s="482"/>
      <c r="E14" s="482"/>
      <c r="F14" s="482"/>
      <c r="G14" s="482"/>
      <c r="H14" s="482"/>
      <c r="I14" s="482"/>
      <c r="J14" s="482"/>
      <c r="K14" s="482"/>
      <c r="L14" s="482"/>
      <c r="M14" s="482"/>
      <c r="N14" s="482"/>
      <c r="O14" s="482"/>
      <c r="P14" s="485">
        <f>'운용리스 입력'!D19</f>
        <v>0</v>
      </c>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2" t="str">
        <f>"부대비용 "&amp;'운용리스 입력'!C20</f>
        <v>부대비용 포함</v>
      </c>
      <c r="AQ14" s="482"/>
      <c r="AR14" s="482"/>
      <c r="AS14" s="482"/>
      <c r="AT14" s="482"/>
      <c r="AU14" s="482"/>
      <c r="AV14" s="482"/>
      <c r="AW14" s="482"/>
      <c r="AX14" s="482"/>
      <c r="AY14" s="482"/>
      <c r="AZ14" s="482"/>
      <c r="BA14" s="482"/>
      <c r="BB14" s="482"/>
      <c r="BC14" s="482"/>
      <c r="BD14" s="485">
        <f>'운용리스 입력'!D20</f>
        <v>100000</v>
      </c>
      <c r="BE14" s="485"/>
      <c r="BF14" s="485"/>
      <c r="BG14" s="485"/>
      <c r="BH14" s="485"/>
      <c r="BI14" s="485"/>
      <c r="BJ14" s="485"/>
      <c r="BK14" s="485"/>
      <c r="BL14" s="485"/>
      <c r="BM14" s="485"/>
      <c r="BN14" s="485"/>
      <c r="BO14" s="485"/>
      <c r="BP14" s="485"/>
      <c r="BQ14" s="485"/>
      <c r="BR14" s="485"/>
      <c r="BS14" s="485"/>
      <c r="BT14" s="485"/>
      <c r="BU14" s="485"/>
      <c r="BV14" s="485"/>
      <c r="BW14" s="485"/>
      <c r="BX14" s="485"/>
      <c r="BY14" s="485"/>
      <c r="BZ14" s="485"/>
      <c r="CA14" s="485"/>
      <c r="CB14" s="485"/>
      <c r="CC14" s="485"/>
      <c r="CD14" s="485"/>
      <c r="CE14" s="486"/>
    </row>
    <row r="15" spans="1:117" s="87" customFormat="1" ht="51" customHeight="1" thickTop="1" thickBot="1" x14ac:dyDescent="0.35">
      <c r="C15" s="487" t="str">
        <f>"등록지역 : 금융사명 - "&amp;'운용리스 입력'!E17&amp;" / 고객명 - 등본지"</f>
        <v>등록지역 : 금융사명 - 부산 / 고객명 - 등본지</v>
      </c>
      <c r="D15" s="488"/>
      <c r="E15" s="488"/>
      <c r="F15" s="488"/>
      <c r="G15" s="488"/>
      <c r="H15" s="488"/>
      <c r="I15" s="488"/>
      <c r="J15" s="488"/>
      <c r="K15" s="488"/>
      <c r="L15" s="488"/>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49" t="s">
        <v>1528</v>
      </c>
      <c r="AQ15" s="449"/>
      <c r="AR15" s="449"/>
      <c r="AS15" s="449"/>
      <c r="AT15" s="449"/>
      <c r="AU15" s="449"/>
      <c r="AV15" s="449"/>
      <c r="AW15" s="449"/>
      <c r="AX15" s="449"/>
      <c r="AY15" s="449"/>
      <c r="AZ15" s="449"/>
      <c r="BA15" s="449"/>
      <c r="BB15" s="449"/>
      <c r="BC15" s="449"/>
      <c r="BD15" s="489">
        <f>'운용리스 입력'!D21</f>
        <v>4287270</v>
      </c>
      <c r="BE15" s="489"/>
      <c r="BF15" s="489"/>
      <c r="BG15" s="489"/>
      <c r="BH15" s="489"/>
      <c r="BI15" s="489"/>
      <c r="BJ15" s="489"/>
      <c r="BK15" s="489"/>
      <c r="BL15" s="489"/>
      <c r="BM15" s="489"/>
      <c r="BN15" s="489"/>
      <c r="BO15" s="489"/>
      <c r="BP15" s="489"/>
      <c r="BQ15" s="489"/>
      <c r="BR15" s="489"/>
      <c r="BS15" s="489"/>
      <c r="BT15" s="489"/>
      <c r="BU15" s="489"/>
      <c r="BV15" s="489"/>
      <c r="BW15" s="489"/>
      <c r="BX15" s="489"/>
      <c r="BY15" s="489"/>
      <c r="BZ15" s="489"/>
      <c r="CA15" s="489"/>
      <c r="CB15" s="489"/>
      <c r="CC15" s="489"/>
      <c r="CD15" s="489"/>
      <c r="CE15" s="490"/>
      <c r="CL15" s="91"/>
      <c r="CM15" s="91"/>
      <c r="CN15" s="91"/>
      <c r="CO15" s="91"/>
      <c r="CP15" s="91"/>
      <c r="CQ15" s="91"/>
      <c r="CR15" s="91"/>
      <c r="CS15" s="91"/>
      <c r="CT15" s="91"/>
      <c r="CU15" s="91"/>
      <c r="CV15" s="91"/>
      <c r="CW15" s="91"/>
      <c r="CX15" s="91"/>
      <c r="CY15" s="91"/>
      <c r="CZ15" s="92"/>
      <c r="DA15" s="92"/>
      <c r="DB15" s="92"/>
      <c r="DC15" s="92"/>
      <c r="DD15" s="92"/>
      <c r="DE15" s="92"/>
      <c r="DF15" s="92"/>
      <c r="DG15" s="92"/>
      <c r="DH15" s="92"/>
      <c r="DI15" s="92"/>
      <c r="DJ15" s="92"/>
      <c r="DK15" s="92"/>
      <c r="DL15" s="92"/>
      <c r="DM15" s="92"/>
    </row>
    <row r="16" spans="1:117" ht="14.25" customHeight="1" x14ac:dyDescent="0.3"/>
    <row r="17" spans="3:83" ht="39.75" customHeight="1" thickBot="1" x14ac:dyDescent="0.35">
      <c r="C17" s="87" t="s">
        <v>1394</v>
      </c>
    </row>
    <row r="18" spans="3:83" ht="51" customHeight="1" thickBot="1" x14ac:dyDescent="0.35">
      <c r="C18" s="470" t="s">
        <v>1516</v>
      </c>
      <c r="D18" s="471"/>
      <c r="E18" s="471"/>
      <c r="F18" s="471"/>
      <c r="G18" s="471"/>
      <c r="H18" s="471"/>
      <c r="I18" s="471"/>
      <c r="J18" s="471"/>
      <c r="K18" s="471"/>
      <c r="L18" s="471"/>
      <c r="M18" s="471"/>
      <c r="N18" s="471"/>
      <c r="O18" s="471"/>
      <c r="P18" s="471"/>
      <c r="Q18" s="471"/>
      <c r="R18" s="468" t="s">
        <v>1525</v>
      </c>
      <c r="S18" s="468"/>
      <c r="T18" s="468"/>
      <c r="U18" s="468"/>
      <c r="V18" s="468"/>
      <c r="W18" s="468"/>
      <c r="X18" s="468"/>
      <c r="Y18" s="468"/>
      <c r="Z18" s="468"/>
      <c r="AA18" s="468"/>
      <c r="AB18" s="468"/>
      <c r="AC18" s="468"/>
      <c r="AD18" s="468"/>
      <c r="AE18" s="468"/>
      <c r="AF18" s="468"/>
      <c r="AG18" s="468"/>
      <c r="AH18" s="468"/>
      <c r="AI18" s="468"/>
      <c r="AJ18" s="468"/>
      <c r="AK18" s="468"/>
      <c r="AL18" s="468"/>
      <c r="AM18" s="468"/>
      <c r="AN18" s="468" t="s">
        <v>1526</v>
      </c>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8" t="s">
        <v>1527</v>
      </c>
      <c r="BK18" s="468"/>
      <c r="BL18" s="468"/>
      <c r="BM18" s="468"/>
      <c r="BN18" s="468"/>
      <c r="BO18" s="468"/>
      <c r="BP18" s="468"/>
      <c r="BQ18" s="468"/>
      <c r="BR18" s="468"/>
      <c r="BS18" s="468"/>
      <c r="BT18" s="468"/>
      <c r="BU18" s="468"/>
      <c r="BV18" s="468"/>
      <c r="BW18" s="468"/>
      <c r="BX18" s="468"/>
      <c r="BY18" s="468"/>
      <c r="BZ18" s="468"/>
      <c r="CA18" s="468"/>
      <c r="CB18" s="468"/>
      <c r="CC18" s="468"/>
      <c r="CD18" s="468"/>
      <c r="CE18" s="469"/>
    </row>
    <row r="19" spans="3:83" ht="48" customHeight="1" thickTop="1" x14ac:dyDescent="0.3">
      <c r="C19" s="432" t="s">
        <v>216</v>
      </c>
      <c r="D19" s="433"/>
      <c r="E19" s="433"/>
      <c r="F19" s="433"/>
      <c r="G19" s="433"/>
      <c r="H19" s="433"/>
      <c r="I19" s="433"/>
      <c r="J19" s="433"/>
      <c r="K19" s="433"/>
      <c r="L19" s="433"/>
      <c r="M19" s="433"/>
      <c r="N19" s="433"/>
      <c r="O19" s="433"/>
      <c r="P19" s="433"/>
      <c r="Q19" s="433"/>
      <c r="R19" s="472">
        <f>'운용리스 입력'!D23</f>
        <v>70087270</v>
      </c>
      <c r="S19" s="472"/>
      <c r="T19" s="472"/>
      <c r="U19" s="472"/>
      <c r="V19" s="472"/>
      <c r="W19" s="472"/>
      <c r="X19" s="472"/>
      <c r="Y19" s="472"/>
      <c r="Z19" s="472"/>
      <c r="AA19" s="472"/>
      <c r="AB19" s="472"/>
      <c r="AC19" s="472"/>
      <c r="AD19" s="472"/>
      <c r="AE19" s="472"/>
      <c r="AF19" s="472"/>
      <c r="AG19" s="472"/>
      <c r="AH19" s="472"/>
      <c r="AI19" s="472"/>
      <c r="AJ19" s="472"/>
      <c r="AK19" s="472"/>
      <c r="AL19" s="472"/>
      <c r="AM19" s="472"/>
      <c r="AN19" s="472">
        <f>'운용리스 입력'!D23</f>
        <v>70087270</v>
      </c>
      <c r="AO19" s="472"/>
      <c r="AP19" s="472"/>
      <c r="AQ19" s="472"/>
      <c r="AR19" s="472"/>
      <c r="AS19" s="472"/>
      <c r="AT19" s="472"/>
      <c r="AU19" s="472"/>
      <c r="AV19" s="472"/>
      <c r="AW19" s="472"/>
      <c r="AX19" s="472"/>
      <c r="AY19" s="472"/>
      <c r="AZ19" s="472"/>
      <c r="BA19" s="472"/>
      <c r="BB19" s="472"/>
      <c r="BC19" s="472"/>
      <c r="BD19" s="472"/>
      <c r="BE19" s="472"/>
      <c r="BF19" s="472"/>
      <c r="BG19" s="472"/>
      <c r="BH19" s="472"/>
      <c r="BI19" s="472"/>
      <c r="BJ19" s="472">
        <f>'운용리스 입력'!D23</f>
        <v>70087270</v>
      </c>
      <c r="BK19" s="472"/>
      <c r="BL19" s="472"/>
      <c r="BM19" s="472"/>
      <c r="BN19" s="472"/>
      <c r="BO19" s="472"/>
      <c r="BP19" s="472"/>
      <c r="BQ19" s="472"/>
      <c r="BR19" s="472"/>
      <c r="BS19" s="472"/>
      <c r="BT19" s="472"/>
      <c r="BU19" s="472"/>
      <c r="BV19" s="472"/>
      <c r="BW19" s="472"/>
      <c r="BX19" s="472"/>
      <c r="BY19" s="472"/>
      <c r="BZ19" s="472"/>
      <c r="CA19" s="472"/>
      <c r="CB19" s="472"/>
      <c r="CC19" s="472"/>
      <c r="CD19" s="472"/>
      <c r="CE19" s="473"/>
    </row>
    <row r="20" spans="3:83" ht="42" customHeight="1" x14ac:dyDescent="0.3">
      <c r="C20" s="477" t="s">
        <v>1517</v>
      </c>
      <c r="D20" s="478"/>
      <c r="E20" s="478"/>
      <c r="F20" s="478"/>
      <c r="G20" s="478"/>
      <c r="H20" s="478"/>
      <c r="I20" s="478"/>
      <c r="J20" s="478"/>
      <c r="K20" s="478"/>
      <c r="L20" s="478"/>
      <c r="M20" s="478"/>
      <c r="N20" s="478"/>
      <c r="O20" s="478"/>
      <c r="P20" s="478"/>
      <c r="Q20" s="478"/>
      <c r="R20" s="474">
        <f>'운용리스 입력'!J4</f>
        <v>36</v>
      </c>
      <c r="S20" s="475"/>
      <c r="T20" s="475"/>
      <c r="U20" s="475"/>
      <c r="V20" s="475"/>
      <c r="W20" s="475"/>
      <c r="X20" s="475"/>
      <c r="Y20" s="475"/>
      <c r="Z20" s="475"/>
      <c r="AA20" s="475"/>
      <c r="AB20" s="475"/>
      <c r="AC20" s="475"/>
      <c r="AD20" s="475"/>
      <c r="AE20" s="475"/>
      <c r="AF20" s="475"/>
      <c r="AG20" s="475"/>
      <c r="AH20" s="475"/>
      <c r="AI20" s="475"/>
      <c r="AJ20" s="475"/>
      <c r="AK20" s="475"/>
      <c r="AL20" s="475"/>
      <c r="AM20" s="476"/>
      <c r="AN20" s="474">
        <f>'운용리스 입력'!Q4</f>
        <v>48</v>
      </c>
      <c r="AO20" s="475"/>
      <c r="AP20" s="475"/>
      <c r="AQ20" s="475"/>
      <c r="AR20" s="475"/>
      <c r="AS20" s="475"/>
      <c r="AT20" s="475"/>
      <c r="AU20" s="475"/>
      <c r="AV20" s="475"/>
      <c r="AW20" s="475"/>
      <c r="AX20" s="475"/>
      <c r="AY20" s="475"/>
      <c r="AZ20" s="475"/>
      <c r="BA20" s="475"/>
      <c r="BB20" s="475"/>
      <c r="BC20" s="475"/>
      <c r="BD20" s="475"/>
      <c r="BE20" s="475"/>
      <c r="BF20" s="475"/>
      <c r="BG20" s="475"/>
      <c r="BH20" s="475"/>
      <c r="BI20" s="476"/>
      <c r="BJ20" s="474">
        <f>'운용리스 입력'!X4</f>
        <v>60</v>
      </c>
      <c r="BK20" s="475"/>
      <c r="BL20" s="475"/>
      <c r="BM20" s="475"/>
      <c r="BN20" s="475"/>
      <c r="BO20" s="475"/>
      <c r="BP20" s="475"/>
      <c r="BQ20" s="475"/>
      <c r="BR20" s="475"/>
      <c r="BS20" s="475"/>
      <c r="BT20" s="475"/>
      <c r="BU20" s="475"/>
      <c r="BV20" s="475"/>
      <c r="BW20" s="475"/>
      <c r="BX20" s="475"/>
      <c r="BY20" s="475"/>
      <c r="BZ20" s="475"/>
      <c r="CA20" s="475"/>
      <c r="CB20" s="475"/>
      <c r="CC20" s="475"/>
      <c r="CD20" s="475"/>
      <c r="CE20" s="475"/>
    </row>
    <row r="21" spans="3:83" ht="42" customHeight="1" x14ac:dyDescent="0.3">
      <c r="C21" s="513" t="s">
        <v>1518</v>
      </c>
      <c r="D21" s="514"/>
      <c r="E21" s="514"/>
      <c r="F21" s="514"/>
      <c r="G21" s="514"/>
      <c r="H21" s="514"/>
      <c r="I21" s="514"/>
      <c r="J21" s="514"/>
      <c r="K21" s="514"/>
      <c r="L21" s="514"/>
      <c r="M21" s="514"/>
      <c r="N21" s="514"/>
      <c r="O21" s="514"/>
      <c r="P21" s="514"/>
      <c r="Q21" s="514"/>
      <c r="R21" s="500">
        <f>'운용리스 내부'!H6</f>
        <v>0</v>
      </c>
      <c r="S21" s="501"/>
      <c r="T21" s="501"/>
      <c r="U21" s="501"/>
      <c r="V21" s="501"/>
      <c r="W21" s="501"/>
      <c r="X21" s="501"/>
      <c r="Y21" s="501"/>
      <c r="Z21" s="501"/>
      <c r="AA21" s="496">
        <f>'운용리스 내부'!I6</f>
        <v>0</v>
      </c>
      <c r="AB21" s="496"/>
      <c r="AC21" s="496"/>
      <c r="AD21" s="496"/>
      <c r="AE21" s="496"/>
      <c r="AF21" s="496"/>
      <c r="AG21" s="496"/>
      <c r="AH21" s="496"/>
      <c r="AI21" s="496"/>
      <c r="AJ21" s="496"/>
      <c r="AK21" s="496"/>
      <c r="AL21" s="496"/>
      <c r="AM21" s="497"/>
      <c r="AN21" s="500">
        <f>'운용리스 내부'!M6</f>
        <v>0</v>
      </c>
      <c r="AO21" s="501"/>
      <c r="AP21" s="501"/>
      <c r="AQ21" s="501"/>
      <c r="AR21" s="501"/>
      <c r="AS21" s="501"/>
      <c r="AT21" s="501"/>
      <c r="AU21" s="501"/>
      <c r="AV21" s="501"/>
      <c r="AW21" s="496">
        <f>'운용리스 내부'!N6</f>
        <v>0</v>
      </c>
      <c r="AX21" s="496"/>
      <c r="AY21" s="496"/>
      <c r="AZ21" s="496"/>
      <c r="BA21" s="496"/>
      <c r="BB21" s="496"/>
      <c r="BC21" s="496"/>
      <c r="BD21" s="496"/>
      <c r="BE21" s="496"/>
      <c r="BF21" s="496"/>
      <c r="BG21" s="496"/>
      <c r="BH21" s="496"/>
      <c r="BI21" s="497"/>
      <c r="BJ21" s="500">
        <f>'운용리스 내부'!R6</f>
        <v>0</v>
      </c>
      <c r="BK21" s="501"/>
      <c r="BL21" s="501"/>
      <c r="BM21" s="501"/>
      <c r="BN21" s="501"/>
      <c r="BO21" s="501"/>
      <c r="BP21" s="501"/>
      <c r="BQ21" s="501"/>
      <c r="BR21" s="501"/>
      <c r="BS21" s="496">
        <f>'운용리스 내부'!S6</f>
        <v>0</v>
      </c>
      <c r="BT21" s="496"/>
      <c r="BU21" s="496"/>
      <c r="BV21" s="496"/>
      <c r="BW21" s="496"/>
      <c r="BX21" s="496"/>
      <c r="BY21" s="496"/>
      <c r="BZ21" s="496"/>
      <c r="CA21" s="496"/>
      <c r="CB21" s="496"/>
      <c r="CC21" s="496"/>
      <c r="CD21" s="496"/>
      <c r="CE21" s="496"/>
    </row>
    <row r="22" spans="3:83" ht="42" customHeight="1" x14ac:dyDescent="0.3">
      <c r="C22" s="515" t="s">
        <v>1520</v>
      </c>
      <c r="D22" s="516"/>
      <c r="E22" s="516"/>
      <c r="F22" s="516"/>
      <c r="G22" s="516"/>
      <c r="H22" s="516"/>
      <c r="I22" s="516"/>
      <c r="J22" s="516"/>
      <c r="K22" s="516"/>
      <c r="L22" s="516"/>
      <c r="M22" s="516"/>
      <c r="N22" s="516"/>
      <c r="O22" s="516"/>
      <c r="P22" s="516"/>
      <c r="Q22" s="516"/>
      <c r="R22" s="502">
        <f>'운용리스 내부'!H7</f>
        <v>0</v>
      </c>
      <c r="S22" s="503"/>
      <c r="T22" s="503"/>
      <c r="U22" s="503"/>
      <c r="V22" s="503"/>
      <c r="W22" s="503"/>
      <c r="X22" s="503"/>
      <c r="Y22" s="503"/>
      <c r="Z22" s="503"/>
      <c r="AA22" s="498">
        <f>'운용리스 내부'!I7</f>
        <v>0</v>
      </c>
      <c r="AB22" s="498"/>
      <c r="AC22" s="498"/>
      <c r="AD22" s="498"/>
      <c r="AE22" s="498"/>
      <c r="AF22" s="498"/>
      <c r="AG22" s="498"/>
      <c r="AH22" s="498"/>
      <c r="AI22" s="498"/>
      <c r="AJ22" s="498"/>
      <c r="AK22" s="498"/>
      <c r="AL22" s="498"/>
      <c r="AM22" s="499"/>
      <c r="AN22" s="502">
        <f>'운용리스 내부'!M7</f>
        <v>0</v>
      </c>
      <c r="AO22" s="503"/>
      <c r="AP22" s="503"/>
      <c r="AQ22" s="503"/>
      <c r="AR22" s="503"/>
      <c r="AS22" s="503"/>
      <c r="AT22" s="503"/>
      <c r="AU22" s="503"/>
      <c r="AV22" s="503"/>
      <c r="AW22" s="498">
        <f>'운용리스 내부'!N7</f>
        <v>0</v>
      </c>
      <c r="AX22" s="498"/>
      <c r="AY22" s="498"/>
      <c r="AZ22" s="498"/>
      <c r="BA22" s="498"/>
      <c r="BB22" s="498"/>
      <c r="BC22" s="498"/>
      <c r="BD22" s="498"/>
      <c r="BE22" s="498"/>
      <c r="BF22" s="498"/>
      <c r="BG22" s="498"/>
      <c r="BH22" s="498"/>
      <c r="BI22" s="499"/>
      <c r="BJ22" s="502">
        <f>'운용리스 내부'!R7</f>
        <v>0</v>
      </c>
      <c r="BK22" s="503"/>
      <c r="BL22" s="503"/>
      <c r="BM22" s="503"/>
      <c r="BN22" s="503"/>
      <c r="BO22" s="503"/>
      <c r="BP22" s="503"/>
      <c r="BQ22" s="503"/>
      <c r="BR22" s="503"/>
      <c r="BS22" s="498">
        <f>'운용리스 내부'!S7</f>
        <v>0</v>
      </c>
      <c r="BT22" s="498"/>
      <c r="BU22" s="498"/>
      <c r="BV22" s="498"/>
      <c r="BW22" s="498"/>
      <c r="BX22" s="498"/>
      <c r="BY22" s="498"/>
      <c r="BZ22" s="498"/>
      <c r="CA22" s="498"/>
      <c r="CB22" s="498"/>
      <c r="CC22" s="498"/>
      <c r="CD22" s="498"/>
      <c r="CE22" s="498"/>
    </row>
    <row r="23" spans="3:83" ht="42" customHeight="1" thickBot="1" x14ac:dyDescent="0.35">
      <c r="C23" s="517" t="s">
        <v>1519</v>
      </c>
      <c r="D23" s="518"/>
      <c r="E23" s="518"/>
      <c r="F23" s="518"/>
      <c r="G23" s="518"/>
      <c r="H23" s="518"/>
      <c r="I23" s="518"/>
      <c r="J23" s="518"/>
      <c r="K23" s="518"/>
      <c r="L23" s="518"/>
      <c r="M23" s="518"/>
      <c r="N23" s="518"/>
      <c r="O23" s="518"/>
      <c r="P23" s="518"/>
      <c r="Q23" s="518"/>
      <c r="R23" s="454">
        <f>'운용리스 내부'!H8</f>
        <v>0.63</v>
      </c>
      <c r="S23" s="455"/>
      <c r="T23" s="455"/>
      <c r="U23" s="455"/>
      <c r="V23" s="455"/>
      <c r="W23" s="455"/>
      <c r="X23" s="455"/>
      <c r="Y23" s="455"/>
      <c r="Z23" s="455"/>
      <c r="AA23" s="453">
        <f>'운용리스 내부'!I8</f>
        <v>41454000</v>
      </c>
      <c r="AB23" s="453"/>
      <c r="AC23" s="453"/>
      <c r="AD23" s="453"/>
      <c r="AE23" s="453"/>
      <c r="AF23" s="453"/>
      <c r="AG23" s="453"/>
      <c r="AH23" s="453"/>
      <c r="AI23" s="453"/>
      <c r="AJ23" s="453"/>
      <c r="AK23" s="453"/>
      <c r="AL23" s="453"/>
      <c r="AM23" s="523"/>
      <c r="AN23" s="454">
        <f>'운용리스 내부'!M8</f>
        <v>0.55000000000000004</v>
      </c>
      <c r="AO23" s="455"/>
      <c r="AP23" s="455"/>
      <c r="AQ23" s="455"/>
      <c r="AR23" s="455"/>
      <c r="AS23" s="455"/>
      <c r="AT23" s="455"/>
      <c r="AU23" s="455"/>
      <c r="AV23" s="455"/>
      <c r="AW23" s="453">
        <f>'운용리스 내부'!N8</f>
        <v>36190000</v>
      </c>
      <c r="AX23" s="453"/>
      <c r="AY23" s="453"/>
      <c r="AZ23" s="453"/>
      <c r="BA23" s="453"/>
      <c r="BB23" s="453"/>
      <c r="BC23" s="453"/>
      <c r="BD23" s="453"/>
      <c r="BE23" s="453"/>
      <c r="BF23" s="453"/>
      <c r="BG23" s="453"/>
      <c r="BH23" s="453"/>
      <c r="BI23" s="523"/>
      <c r="BJ23" s="454">
        <f>'운용리스 내부'!R8</f>
        <v>0.49</v>
      </c>
      <c r="BK23" s="455"/>
      <c r="BL23" s="455"/>
      <c r="BM23" s="455"/>
      <c r="BN23" s="455"/>
      <c r="BO23" s="455"/>
      <c r="BP23" s="455"/>
      <c r="BQ23" s="455"/>
      <c r="BR23" s="455"/>
      <c r="BS23" s="453">
        <f>'운용리스 내부'!S8</f>
        <v>32242000</v>
      </c>
      <c r="BT23" s="453"/>
      <c r="BU23" s="453"/>
      <c r="BV23" s="453"/>
      <c r="BW23" s="453"/>
      <c r="BX23" s="453"/>
      <c r="BY23" s="453"/>
      <c r="BZ23" s="453"/>
      <c r="CA23" s="453"/>
      <c r="CB23" s="453"/>
      <c r="CC23" s="453"/>
      <c r="CD23" s="453"/>
      <c r="CE23" s="453"/>
    </row>
    <row r="24" spans="3:83" ht="42" customHeight="1" thickBot="1" x14ac:dyDescent="0.35">
      <c r="C24" s="519" t="s">
        <v>1524</v>
      </c>
      <c r="D24" s="520"/>
      <c r="E24" s="520"/>
      <c r="F24" s="520"/>
      <c r="G24" s="520"/>
      <c r="H24" s="520"/>
      <c r="I24" s="520"/>
      <c r="J24" s="520"/>
      <c r="K24" s="520"/>
      <c r="L24" s="520"/>
      <c r="M24" s="520"/>
      <c r="N24" s="520"/>
      <c r="O24" s="520"/>
      <c r="P24" s="520"/>
      <c r="Q24" s="520"/>
      <c r="R24" s="491">
        <f>'운용리스 입력'!J27</f>
        <v>1079400</v>
      </c>
      <c r="S24" s="492"/>
      <c r="T24" s="492"/>
      <c r="U24" s="492"/>
      <c r="V24" s="492"/>
      <c r="W24" s="492"/>
      <c r="X24" s="492"/>
      <c r="Y24" s="492"/>
      <c r="Z24" s="492"/>
      <c r="AA24" s="492"/>
      <c r="AB24" s="492"/>
      <c r="AC24" s="492"/>
      <c r="AD24" s="492"/>
      <c r="AE24" s="492"/>
      <c r="AF24" s="492"/>
      <c r="AG24" s="492"/>
      <c r="AH24" s="492"/>
      <c r="AI24" s="492"/>
      <c r="AJ24" s="492"/>
      <c r="AK24" s="492"/>
      <c r="AL24" s="492"/>
      <c r="AM24" s="493"/>
      <c r="AN24" s="491">
        <f>'운용리스 입력'!Q27</f>
        <v>971000</v>
      </c>
      <c r="AO24" s="492"/>
      <c r="AP24" s="492"/>
      <c r="AQ24" s="492"/>
      <c r="AR24" s="492"/>
      <c r="AS24" s="492"/>
      <c r="AT24" s="492"/>
      <c r="AU24" s="492"/>
      <c r="AV24" s="492"/>
      <c r="AW24" s="492"/>
      <c r="AX24" s="492"/>
      <c r="AY24" s="492"/>
      <c r="AZ24" s="492"/>
      <c r="BA24" s="492"/>
      <c r="BB24" s="492"/>
      <c r="BC24" s="492"/>
      <c r="BD24" s="492"/>
      <c r="BE24" s="492"/>
      <c r="BF24" s="492"/>
      <c r="BG24" s="492"/>
      <c r="BH24" s="492"/>
      <c r="BI24" s="493"/>
      <c r="BJ24" s="491">
        <f>'운용리스 입력'!X27</f>
        <v>882700</v>
      </c>
      <c r="BK24" s="492"/>
      <c r="BL24" s="492"/>
      <c r="BM24" s="492"/>
      <c r="BN24" s="492"/>
      <c r="BO24" s="492"/>
      <c r="BP24" s="492"/>
      <c r="BQ24" s="492"/>
      <c r="BR24" s="492"/>
      <c r="BS24" s="492"/>
      <c r="BT24" s="492"/>
      <c r="BU24" s="492"/>
      <c r="BV24" s="492"/>
      <c r="BW24" s="492"/>
      <c r="BX24" s="492"/>
      <c r="BY24" s="492"/>
      <c r="BZ24" s="492"/>
      <c r="CA24" s="492"/>
      <c r="CB24" s="492"/>
      <c r="CC24" s="492"/>
      <c r="CD24" s="492"/>
      <c r="CE24" s="494"/>
    </row>
    <row r="25" spans="3:83" ht="42" customHeight="1" x14ac:dyDescent="0.3">
      <c r="C25" s="521" t="s">
        <v>1521</v>
      </c>
      <c r="D25" s="522"/>
      <c r="E25" s="522"/>
      <c r="F25" s="522"/>
      <c r="G25" s="522"/>
      <c r="H25" s="522"/>
      <c r="I25" s="522"/>
      <c r="J25" s="522"/>
      <c r="K25" s="522"/>
      <c r="L25" s="522"/>
      <c r="M25" s="522"/>
      <c r="N25" s="522"/>
      <c r="O25" s="522"/>
      <c r="P25" s="522"/>
      <c r="Q25" s="522"/>
      <c r="R25" s="460">
        <f>'운용리스 입력'!J24</f>
        <v>1079400</v>
      </c>
      <c r="S25" s="461"/>
      <c r="T25" s="461"/>
      <c r="U25" s="461"/>
      <c r="V25" s="461"/>
      <c r="W25" s="461"/>
      <c r="X25" s="461"/>
      <c r="Y25" s="461"/>
      <c r="Z25" s="461"/>
      <c r="AA25" s="461"/>
      <c r="AB25" s="461"/>
      <c r="AC25" s="461"/>
      <c r="AD25" s="461"/>
      <c r="AE25" s="461"/>
      <c r="AF25" s="461"/>
      <c r="AG25" s="461"/>
      <c r="AH25" s="461"/>
      <c r="AI25" s="461"/>
      <c r="AJ25" s="461"/>
      <c r="AK25" s="461"/>
      <c r="AL25" s="461"/>
      <c r="AM25" s="507"/>
      <c r="AN25" s="460">
        <f>'운용리스 입력'!Q24</f>
        <v>971000</v>
      </c>
      <c r="AO25" s="461"/>
      <c r="AP25" s="461"/>
      <c r="AQ25" s="461"/>
      <c r="AR25" s="461"/>
      <c r="AS25" s="461"/>
      <c r="AT25" s="461"/>
      <c r="AU25" s="461"/>
      <c r="AV25" s="461"/>
      <c r="AW25" s="461"/>
      <c r="AX25" s="461"/>
      <c r="AY25" s="461"/>
      <c r="AZ25" s="461"/>
      <c r="BA25" s="461"/>
      <c r="BB25" s="461"/>
      <c r="BC25" s="461"/>
      <c r="BD25" s="461"/>
      <c r="BE25" s="461"/>
      <c r="BF25" s="461"/>
      <c r="BG25" s="461"/>
      <c r="BH25" s="461"/>
      <c r="BI25" s="507"/>
      <c r="BJ25" s="460">
        <f>'운용리스 입력'!X24</f>
        <v>882700</v>
      </c>
      <c r="BK25" s="461"/>
      <c r="BL25" s="461"/>
      <c r="BM25" s="461"/>
      <c r="BN25" s="461"/>
      <c r="BO25" s="461"/>
      <c r="BP25" s="461"/>
      <c r="BQ25" s="461"/>
      <c r="BR25" s="461"/>
      <c r="BS25" s="461"/>
      <c r="BT25" s="461"/>
      <c r="BU25" s="461"/>
      <c r="BV25" s="461"/>
      <c r="BW25" s="461"/>
      <c r="BX25" s="461"/>
      <c r="BY25" s="461"/>
      <c r="BZ25" s="461"/>
      <c r="CA25" s="461"/>
      <c r="CB25" s="461"/>
      <c r="CC25" s="461"/>
      <c r="CD25" s="461"/>
      <c r="CE25" s="461"/>
    </row>
    <row r="26" spans="3:83" ht="42" customHeight="1" x14ac:dyDescent="0.3">
      <c r="C26" s="426" t="s">
        <v>1522</v>
      </c>
      <c r="D26" s="427"/>
      <c r="E26" s="427"/>
      <c r="F26" s="427"/>
      <c r="G26" s="427"/>
      <c r="H26" s="427"/>
      <c r="I26" s="427"/>
      <c r="J26" s="427"/>
      <c r="K26" s="427"/>
      <c r="L26" s="427"/>
      <c r="M26" s="427"/>
      <c r="N26" s="427"/>
      <c r="O26" s="427"/>
      <c r="P26" s="427"/>
      <c r="Q26" s="427"/>
      <c r="R26" s="440">
        <f>'운용리스 입력'!J25</f>
        <v>0</v>
      </c>
      <c r="S26" s="441"/>
      <c r="T26" s="441"/>
      <c r="U26" s="441"/>
      <c r="V26" s="441"/>
      <c r="W26" s="441"/>
      <c r="X26" s="441"/>
      <c r="Y26" s="441"/>
      <c r="Z26" s="441"/>
      <c r="AA26" s="441"/>
      <c r="AB26" s="441"/>
      <c r="AC26" s="441"/>
      <c r="AD26" s="441"/>
      <c r="AE26" s="441"/>
      <c r="AF26" s="441"/>
      <c r="AG26" s="441"/>
      <c r="AH26" s="441"/>
      <c r="AI26" s="441"/>
      <c r="AJ26" s="441"/>
      <c r="AK26" s="441"/>
      <c r="AL26" s="441"/>
      <c r="AM26" s="442"/>
      <c r="AN26" s="440">
        <f>'운용리스 입력'!Q25</f>
        <v>0</v>
      </c>
      <c r="AO26" s="441"/>
      <c r="AP26" s="441"/>
      <c r="AQ26" s="441"/>
      <c r="AR26" s="441"/>
      <c r="AS26" s="441"/>
      <c r="AT26" s="441"/>
      <c r="AU26" s="441"/>
      <c r="AV26" s="441"/>
      <c r="AW26" s="441"/>
      <c r="AX26" s="441"/>
      <c r="AY26" s="441"/>
      <c r="AZ26" s="441"/>
      <c r="BA26" s="441"/>
      <c r="BB26" s="441"/>
      <c r="BC26" s="441"/>
      <c r="BD26" s="441"/>
      <c r="BE26" s="441"/>
      <c r="BF26" s="441"/>
      <c r="BG26" s="441"/>
      <c r="BH26" s="441"/>
      <c r="BI26" s="442"/>
      <c r="BJ26" s="440">
        <f>'운용리스 입력'!X25</f>
        <v>0</v>
      </c>
      <c r="BK26" s="441"/>
      <c r="BL26" s="441"/>
      <c r="BM26" s="441"/>
      <c r="BN26" s="441"/>
      <c r="BO26" s="441"/>
      <c r="BP26" s="441"/>
      <c r="BQ26" s="441"/>
      <c r="BR26" s="441"/>
      <c r="BS26" s="441"/>
      <c r="BT26" s="441"/>
      <c r="BU26" s="441"/>
      <c r="BV26" s="441"/>
      <c r="BW26" s="441"/>
      <c r="BX26" s="441"/>
      <c r="BY26" s="441"/>
      <c r="BZ26" s="441"/>
      <c r="CA26" s="441"/>
      <c r="CB26" s="441"/>
      <c r="CC26" s="441"/>
      <c r="CD26" s="441"/>
      <c r="CE26" s="441"/>
    </row>
    <row r="27" spans="3:83" ht="42" customHeight="1" thickBot="1" x14ac:dyDescent="0.35">
      <c r="C27" s="428" t="s">
        <v>1523</v>
      </c>
      <c r="D27" s="429"/>
      <c r="E27" s="429"/>
      <c r="F27" s="429"/>
      <c r="G27" s="429"/>
      <c r="H27" s="429"/>
      <c r="I27" s="429"/>
      <c r="J27" s="429"/>
      <c r="K27" s="429"/>
      <c r="L27" s="429"/>
      <c r="M27" s="429"/>
      <c r="N27" s="429"/>
      <c r="O27" s="429"/>
      <c r="P27" s="429"/>
      <c r="Q27" s="429"/>
      <c r="R27" s="434">
        <f>'운용리스 입력'!J26</f>
        <v>0</v>
      </c>
      <c r="S27" s="435"/>
      <c r="T27" s="435"/>
      <c r="U27" s="435"/>
      <c r="V27" s="435"/>
      <c r="W27" s="435"/>
      <c r="X27" s="435"/>
      <c r="Y27" s="435"/>
      <c r="Z27" s="435"/>
      <c r="AA27" s="435"/>
      <c r="AB27" s="435"/>
      <c r="AC27" s="435"/>
      <c r="AD27" s="435"/>
      <c r="AE27" s="435"/>
      <c r="AF27" s="435"/>
      <c r="AG27" s="435"/>
      <c r="AH27" s="435"/>
      <c r="AI27" s="435"/>
      <c r="AJ27" s="435"/>
      <c r="AK27" s="435"/>
      <c r="AL27" s="435"/>
      <c r="AM27" s="436"/>
      <c r="AN27" s="434">
        <f>'운용리스 입력'!Q26</f>
        <v>0</v>
      </c>
      <c r="AO27" s="435"/>
      <c r="AP27" s="435"/>
      <c r="AQ27" s="435"/>
      <c r="AR27" s="435"/>
      <c r="AS27" s="435"/>
      <c r="AT27" s="435"/>
      <c r="AU27" s="435"/>
      <c r="AV27" s="435"/>
      <c r="AW27" s="435"/>
      <c r="AX27" s="435"/>
      <c r="AY27" s="435"/>
      <c r="AZ27" s="435"/>
      <c r="BA27" s="435"/>
      <c r="BB27" s="435"/>
      <c r="BC27" s="435"/>
      <c r="BD27" s="435"/>
      <c r="BE27" s="435"/>
      <c r="BF27" s="435"/>
      <c r="BG27" s="435"/>
      <c r="BH27" s="435"/>
      <c r="BI27" s="436"/>
      <c r="BJ27" s="434">
        <f>'운용리스 입력'!X26</f>
        <v>0</v>
      </c>
      <c r="BK27" s="435"/>
      <c r="BL27" s="435"/>
      <c r="BM27" s="435"/>
      <c r="BN27" s="435"/>
      <c r="BO27" s="435"/>
      <c r="BP27" s="435"/>
      <c r="BQ27" s="435"/>
      <c r="BR27" s="435"/>
      <c r="BS27" s="435"/>
      <c r="BT27" s="435"/>
      <c r="BU27" s="435"/>
      <c r="BV27" s="435"/>
      <c r="BW27" s="435"/>
      <c r="BX27" s="435"/>
      <c r="BY27" s="435"/>
      <c r="BZ27" s="435"/>
      <c r="CA27" s="435"/>
      <c r="CB27" s="435"/>
      <c r="CC27" s="435"/>
      <c r="CD27" s="435"/>
      <c r="CE27" s="435"/>
    </row>
    <row r="28" spans="3:83" ht="42" customHeight="1" thickBot="1" x14ac:dyDescent="0.35">
      <c r="C28" s="430" t="s">
        <v>1570</v>
      </c>
      <c r="D28" s="431"/>
      <c r="E28" s="431"/>
      <c r="F28" s="431"/>
      <c r="G28" s="431"/>
      <c r="H28" s="431"/>
      <c r="I28" s="431"/>
      <c r="J28" s="431"/>
      <c r="K28" s="431"/>
      <c r="L28" s="431"/>
      <c r="M28" s="431"/>
      <c r="N28" s="431"/>
      <c r="O28" s="431"/>
      <c r="P28" s="431"/>
      <c r="Q28" s="431"/>
      <c r="R28" s="456">
        <f>AA21+AA22+IF('운용리스 입력'!C16="미포함",'운용리스 입력'!D16,0)+IF('운용리스 입력'!C17="미포함",'운용리스 입력'!F18,0)+IF('운용리스 입력'!C19="미포함",'운용리스 입력'!D19,0)+IF('운용리스 입력'!C20="미포함",'운용리스 입력'!D20,0)</f>
        <v>0</v>
      </c>
      <c r="S28" s="457"/>
      <c r="T28" s="457"/>
      <c r="U28" s="457"/>
      <c r="V28" s="457"/>
      <c r="W28" s="457"/>
      <c r="X28" s="457"/>
      <c r="Y28" s="457"/>
      <c r="Z28" s="457"/>
      <c r="AA28" s="457"/>
      <c r="AB28" s="457"/>
      <c r="AC28" s="457"/>
      <c r="AD28" s="457"/>
      <c r="AE28" s="457"/>
      <c r="AF28" s="457"/>
      <c r="AG28" s="457"/>
      <c r="AH28" s="457"/>
      <c r="AI28" s="457"/>
      <c r="AJ28" s="457"/>
      <c r="AK28" s="457"/>
      <c r="AL28" s="457"/>
      <c r="AM28" s="458"/>
      <c r="AN28" s="456">
        <f>AW21+AW22+IF('운용리스 입력'!C16="미포함",'운용리스 입력'!D16,0)+IF('운용리스 입력'!C17="미포함",'운용리스 입력'!F18,0)+IF('운용리스 입력'!C19="미포함",'운용리스 입력'!D19,0)+IF('운용리스 입력'!C20="미포함",'운용리스 입력'!D20,0)</f>
        <v>0</v>
      </c>
      <c r="AO28" s="457"/>
      <c r="AP28" s="457"/>
      <c r="AQ28" s="457"/>
      <c r="AR28" s="457"/>
      <c r="AS28" s="457"/>
      <c r="AT28" s="457"/>
      <c r="AU28" s="457"/>
      <c r="AV28" s="457"/>
      <c r="AW28" s="457"/>
      <c r="AX28" s="457"/>
      <c r="AY28" s="457"/>
      <c r="AZ28" s="457"/>
      <c r="BA28" s="457"/>
      <c r="BB28" s="457"/>
      <c r="BC28" s="457"/>
      <c r="BD28" s="457"/>
      <c r="BE28" s="457"/>
      <c r="BF28" s="457"/>
      <c r="BG28" s="457"/>
      <c r="BH28" s="457"/>
      <c r="BI28" s="458"/>
      <c r="BJ28" s="456">
        <f>BS21+BS22+IF('운용리스 입력'!C16="미포함",'운용리스 입력'!D16,0)+IF('운용리스 입력'!C17="미포함",'운용리스 입력'!F18,0)+IF('운용리스 입력'!C19="미포함",'운용리스 입력'!D19,0)+IF('운용리스 입력'!C20="미포함",'운용리스 입력'!D20,0)</f>
        <v>0</v>
      </c>
      <c r="BK28" s="457"/>
      <c r="BL28" s="457"/>
      <c r="BM28" s="457"/>
      <c r="BN28" s="457"/>
      <c r="BO28" s="457"/>
      <c r="BP28" s="457"/>
      <c r="BQ28" s="457"/>
      <c r="BR28" s="457"/>
      <c r="BS28" s="457"/>
      <c r="BT28" s="457"/>
      <c r="BU28" s="457"/>
      <c r="BV28" s="457"/>
      <c r="BW28" s="457"/>
      <c r="BX28" s="457"/>
      <c r="BY28" s="457"/>
      <c r="BZ28" s="457"/>
      <c r="CA28" s="457"/>
      <c r="CB28" s="457"/>
      <c r="CC28" s="457"/>
      <c r="CD28" s="457"/>
      <c r="CE28" s="459"/>
    </row>
    <row r="29" spans="3:83" ht="42" customHeight="1" x14ac:dyDescent="0.3">
      <c r="C29" s="432" t="s">
        <v>1554</v>
      </c>
      <c r="D29" s="433"/>
      <c r="E29" s="433"/>
      <c r="F29" s="433"/>
      <c r="G29" s="433"/>
      <c r="H29" s="433"/>
      <c r="I29" s="433"/>
      <c r="J29" s="433"/>
      <c r="K29" s="433"/>
      <c r="L29" s="433"/>
      <c r="M29" s="433"/>
      <c r="N29" s="433"/>
      <c r="O29" s="433"/>
      <c r="P29" s="433"/>
      <c r="Q29" s="433"/>
      <c r="R29" s="437">
        <f>'운용리스 입력'!J5</f>
        <v>20000</v>
      </c>
      <c r="S29" s="438"/>
      <c r="T29" s="438"/>
      <c r="U29" s="438"/>
      <c r="V29" s="438"/>
      <c r="W29" s="438"/>
      <c r="X29" s="438"/>
      <c r="Y29" s="438"/>
      <c r="Z29" s="438"/>
      <c r="AA29" s="438"/>
      <c r="AB29" s="438"/>
      <c r="AC29" s="438"/>
      <c r="AD29" s="438"/>
      <c r="AE29" s="438"/>
      <c r="AF29" s="438"/>
      <c r="AG29" s="438"/>
      <c r="AH29" s="438"/>
      <c r="AI29" s="438"/>
      <c r="AJ29" s="438"/>
      <c r="AK29" s="438"/>
      <c r="AL29" s="438"/>
      <c r="AM29" s="439"/>
      <c r="AN29" s="437">
        <f>'운용리스 입력'!Q5</f>
        <v>20000</v>
      </c>
      <c r="AO29" s="438"/>
      <c r="AP29" s="438"/>
      <c r="AQ29" s="438"/>
      <c r="AR29" s="438"/>
      <c r="AS29" s="438"/>
      <c r="AT29" s="438"/>
      <c r="AU29" s="438"/>
      <c r="AV29" s="438"/>
      <c r="AW29" s="438"/>
      <c r="AX29" s="438"/>
      <c r="AY29" s="438"/>
      <c r="AZ29" s="438"/>
      <c r="BA29" s="438"/>
      <c r="BB29" s="438"/>
      <c r="BC29" s="438"/>
      <c r="BD29" s="438"/>
      <c r="BE29" s="438"/>
      <c r="BF29" s="438"/>
      <c r="BG29" s="438"/>
      <c r="BH29" s="438"/>
      <c r="BI29" s="439"/>
      <c r="BJ29" s="437">
        <f>'운용리스 입력'!X5</f>
        <v>20000</v>
      </c>
      <c r="BK29" s="438"/>
      <c r="BL29" s="438"/>
      <c r="BM29" s="438"/>
      <c r="BN29" s="438"/>
      <c r="BO29" s="438"/>
      <c r="BP29" s="438"/>
      <c r="BQ29" s="438"/>
      <c r="BR29" s="438"/>
      <c r="BS29" s="438"/>
      <c r="BT29" s="438"/>
      <c r="BU29" s="438"/>
      <c r="BV29" s="438"/>
      <c r="BW29" s="438"/>
      <c r="BX29" s="438"/>
      <c r="BY29" s="438"/>
      <c r="BZ29" s="438"/>
      <c r="CA29" s="438"/>
      <c r="CB29" s="438"/>
      <c r="CC29" s="438"/>
      <c r="CD29" s="438"/>
      <c r="CE29" s="438"/>
    </row>
    <row r="30" spans="3:83" ht="42" customHeight="1" x14ac:dyDescent="0.3">
      <c r="C30" s="477" t="s">
        <v>1555</v>
      </c>
      <c r="D30" s="478"/>
      <c r="E30" s="478"/>
      <c r="F30" s="478"/>
      <c r="G30" s="478"/>
      <c r="H30" s="478"/>
      <c r="I30" s="478"/>
      <c r="J30" s="478"/>
      <c r="K30" s="478"/>
      <c r="L30" s="478"/>
      <c r="M30" s="478"/>
      <c r="N30" s="478"/>
      <c r="O30" s="478"/>
      <c r="P30" s="478"/>
      <c r="Q30" s="478"/>
      <c r="R30" s="508" t="str">
        <f>'운용리스 입력'!J2</f>
        <v>메리츠캐피탈</v>
      </c>
      <c r="S30" s="509"/>
      <c r="T30" s="509"/>
      <c r="U30" s="509"/>
      <c r="V30" s="509"/>
      <c r="W30" s="509"/>
      <c r="X30" s="509"/>
      <c r="Y30" s="509"/>
      <c r="Z30" s="509"/>
      <c r="AA30" s="509"/>
      <c r="AB30" s="509"/>
      <c r="AC30" s="509"/>
      <c r="AD30" s="509"/>
      <c r="AE30" s="509"/>
      <c r="AF30" s="509"/>
      <c r="AG30" s="509"/>
      <c r="AH30" s="509"/>
      <c r="AI30" s="509"/>
      <c r="AJ30" s="509"/>
      <c r="AK30" s="509"/>
      <c r="AL30" s="509"/>
      <c r="AM30" s="477"/>
      <c r="AN30" s="508" t="str">
        <f>'운용리스 입력'!Q2</f>
        <v>메리츠캐피탈</v>
      </c>
      <c r="AO30" s="509"/>
      <c r="AP30" s="509"/>
      <c r="AQ30" s="509"/>
      <c r="AR30" s="509"/>
      <c r="AS30" s="509"/>
      <c r="AT30" s="509"/>
      <c r="AU30" s="509"/>
      <c r="AV30" s="509"/>
      <c r="AW30" s="509"/>
      <c r="AX30" s="509"/>
      <c r="AY30" s="509"/>
      <c r="AZ30" s="509"/>
      <c r="BA30" s="509"/>
      <c r="BB30" s="509"/>
      <c r="BC30" s="509"/>
      <c r="BD30" s="509"/>
      <c r="BE30" s="509"/>
      <c r="BF30" s="509"/>
      <c r="BG30" s="509"/>
      <c r="BH30" s="509"/>
      <c r="BI30" s="477"/>
      <c r="BJ30" s="508" t="str">
        <f>'운용리스 입력'!X2</f>
        <v>메리츠캐피탈</v>
      </c>
      <c r="BK30" s="509"/>
      <c r="BL30" s="509"/>
      <c r="BM30" s="509"/>
      <c r="BN30" s="509"/>
      <c r="BO30" s="509"/>
      <c r="BP30" s="509"/>
      <c r="BQ30" s="509"/>
      <c r="BR30" s="509"/>
      <c r="BS30" s="509"/>
      <c r="BT30" s="509"/>
      <c r="BU30" s="509"/>
      <c r="BV30" s="509"/>
      <c r="BW30" s="509"/>
      <c r="BX30" s="509"/>
      <c r="BY30" s="509"/>
      <c r="BZ30" s="509"/>
      <c r="CA30" s="509"/>
      <c r="CB30" s="509"/>
      <c r="CC30" s="509"/>
      <c r="CD30" s="509"/>
      <c r="CE30" s="509"/>
    </row>
    <row r="31" spans="3:83" ht="42" customHeight="1" thickBot="1" x14ac:dyDescent="0.35">
      <c r="C31" s="524" t="str">
        <f>IF($R$30="고객명","차량설정금액",IF($AN$30="고객명","차량설정금액",IF($BJ$30="고객명","차량설정금액","")))</f>
        <v/>
      </c>
      <c r="D31" s="525"/>
      <c r="E31" s="525"/>
      <c r="F31" s="525"/>
      <c r="G31" s="525"/>
      <c r="H31" s="525"/>
      <c r="I31" s="525"/>
      <c r="J31" s="525"/>
      <c r="K31" s="525"/>
      <c r="L31" s="525"/>
      <c r="M31" s="525"/>
      <c r="N31" s="525"/>
      <c r="O31" s="525"/>
      <c r="P31" s="525"/>
      <c r="Q31" s="525"/>
      <c r="R31" s="510">
        <f>'운용리스 입력'!D14</f>
        <v>65800000</v>
      </c>
      <c r="S31" s="511"/>
      <c r="T31" s="511"/>
      <c r="U31" s="511"/>
      <c r="V31" s="511"/>
      <c r="W31" s="511"/>
      <c r="X31" s="511"/>
      <c r="Y31" s="511"/>
      <c r="Z31" s="511"/>
      <c r="AA31" s="511"/>
      <c r="AB31" s="511"/>
      <c r="AC31" s="511"/>
      <c r="AD31" s="511"/>
      <c r="AE31" s="511"/>
      <c r="AF31" s="511"/>
      <c r="AG31" s="511"/>
      <c r="AH31" s="511"/>
      <c r="AI31" s="511"/>
      <c r="AJ31" s="511"/>
      <c r="AK31" s="511"/>
      <c r="AL31" s="511"/>
      <c r="AM31" s="512"/>
      <c r="AN31" s="510">
        <f>'운용리스 입력'!D14</f>
        <v>65800000</v>
      </c>
      <c r="AO31" s="511"/>
      <c r="AP31" s="511"/>
      <c r="AQ31" s="511"/>
      <c r="AR31" s="511"/>
      <c r="AS31" s="511"/>
      <c r="AT31" s="511"/>
      <c r="AU31" s="511"/>
      <c r="AV31" s="511"/>
      <c r="AW31" s="511"/>
      <c r="AX31" s="511"/>
      <c r="AY31" s="511"/>
      <c r="AZ31" s="511"/>
      <c r="BA31" s="511"/>
      <c r="BB31" s="511"/>
      <c r="BC31" s="511"/>
      <c r="BD31" s="511"/>
      <c r="BE31" s="511"/>
      <c r="BF31" s="511"/>
      <c r="BG31" s="511"/>
      <c r="BH31" s="511"/>
      <c r="BI31" s="512"/>
      <c r="BJ31" s="510">
        <f>'운용리스 입력'!D14</f>
        <v>65800000</v>
      </c>
      <c r="BK31" s="511"/>
      <c r="BL31" s="511"/>
      <c r="BM31" s="511"/>
      <c r="BN31" s="511"/>
      <c r="BO31" s="511"/>
      <c r="BP31" s="511"/>
      <c r="BQ31" s="511"/>
      <c r="BR31" s="511"/>
      <c r="BS31" s="511"/>
      <c r="BT31" s="511"/>
      <c r="BU31" s="511"/>
      <c r="BV31" s="511"/>
      <c r="BW31" s="511"/>
      <c r="BX31" s="511"/>
      <c r="BY31" s="511"/>
      <c r="BZ31" s="511"/>
      <c r="CA31" s="511"/>
      <c r="CB31" s="511"/>
      <c r="CC31" s="511"/>
      <c r="CD31" s="511"/>
      <c r="CE31" s="511"/>
    </row>
    <row r="32" spans="3:83" ht="19.5" customHeight="1" thickBot="1" x14ac:dyDescent="0.35"/>
    <row r="33" spans="2:84" s="94" customFormat="1" ht="30" customHeight="1" x14ac:dyDescent="0.3">
      <c r="C33" s="547" t="s">
        <v>1531</v>
      </c>
      <c r="D33" s="547"/>
      <c r="E33" s="547"/>
      <c r="F33" s="547"/>
      <c r="G33" s="547"/>
      <c r="H33" s="547"/>
      <c r="I33" s="547"/>
      <c r="J33" s="547"/>
      <c r="K33" s="547"/>
      <c r="L33" s="547"/>
      <c r="M33" s="547"/>
      <c r="N33" s="547"/>
      <c r="O33" s="547"/>
      <c r="P33" s="547"/>
      <c r="Q33" s="548"/>
      <c r="R33" s="551"/>
      <c r="S33" s="552"/>
      <c r="T33" s="552"/>
      <c r="U33" s="552"/>
      <c r="V33" s="552"/>
      <c r="W33" s="552"/>
      <c r="X33" s="552"/>
      <c r="Y33" s="552"/>
      <c r="Z33" s="552"/>
      <c r="AA33" s="553" t="str">
        <f>IF('운용리스 내부'!I35='운용리스 내부'!H27,"해당없음",'운용리스 내부'!I35)</f>
        <v>해당없음</v>
      </c>
      <c r="AB33" s="543"/>
      <c r="AC33" s="543"/>
      <c r="AD33" s="543"/>
      <c r="AE33" s="543"/>
      <c r="AF33" s="543"/>
      <c r="AG33" s="543"/>
      <c r="AH33" s="543"/>
      <c r="AI33" s="543"/>
      <c r="AJ33" s="543"/>
      <c r="AK33" s="543"/>
      <c r="AL33" s="543"/>
      <c r="AM33" s="554"/>
      <c r="AN33" s="551"/>
      <c r="AO33" s="552"/>
      <c r="AP33" s="552"/>
      <c r="AQ33" s="552"/>
      <c r="AR33" s="552"/>
      <c r="AS33" s="552"/>
      <c r="AT33" s="552"/>
      <c r="AU33" s="552"/>
      <c r="AV33" s="552"/>
      <c r="AW33" s="543" t="str">
        <f>IF('운용리스 내부'!N35='운용리스 내부'!M27,"해당없음",'운용리스 내부'!N35)</f>
        <v>해당없음</v>
      </c>
      <c r="AX33" s="543"/>
      <c r="AY33" s="543"/>
      <c r="AZ33" s="543"/>
      <c r="BA33" s="543"/>
      <c r="BB33" s="543"/>
      <c r="BC33" s="543"/>
      <c r="BD33" s="543"/>
      <c r="BE33" s="543"/>
      <c r="BF33" s="543"/>
      <c r="BG33" s="543"/>
      <c r="BH33" s="543"/>
      <c r="BI33" s="554"/>
      <c r="BJ33" s="551"/>
      <c r="BK33" s="552"/>
      <c r="BL33" s="552"/>
      <c r="BM33" s="552"/>
      <c r="BN33" s="552"/>
      <c r="BO33" s="552"/>
      <c r="BP33" s="552"/>
      <c r="BQ33" s="552"/>
      <c r="BR33" s="552"/>
      <c r="BS33" s="543" t="str">
        <f>IF('운용리스 내부'!S35='운용리스 내부'!R27,"해당없음",'운용리스 내부'!S35)</f>
        <v>해당없음</v>
      </c>
      <c r="BT33" s="543"/>
      <c r="BU33" s="543"/>
      <c r="BV33" s="543"/>
      <c r="BW33" s="543"/>
      <c r="BX33" s="543"/>
      <c r="BY33" s="543"/>
      <c r="BZ33" s="543"/>
      <c r="CA33" s="543"/>
      <c r="CB33" s="543"/>
      <c r="CC33" s="543"/>
      <c r="CD33" s="543"/>
      <c r="CE33" s="543"/>
    </row>
    <row r="34" spans="2:84" s="94" customFormat="1" ht="30" customHeight="1" x14ac:dyDescent="0.3">
      <c r="C34" s="549" t="s">
        <v>1532</v>
      </c>
      <c r="D34" s="549"/>
      <c r="E34" s="549"/>
      <c r="F34" s="549"/>
      <c r="G34" s="549"/>
      <c r="H34" s="549"/>
      <c r="I34" s="549"/>
      <c r="J34" s="549"/>
      <c r="K34" s="549"/>
      <c r="L34" s="549"/>
      <c r="M34" s="549"/>
      <c r="N34" s="549"/>
      <c r="O34" s="549"/>
      <c r="P34" s="549"/>
      <c r="Q34" s="550"/>
      <c r="R34" s="544" t="str">
        <f>IF(AA33="해당없음","",'운용리스 내부'!H36)</f>
        <v/>
      </c>
      <c r="S34" s="545"/>
      <c r="T34" s="545"/>
      <c r="U34" s="545"/>
      <c r="V34" s="545"/>
      <c r="W34" s="545"/>
      <c r="X34" s="545"/>
      <c r="Y34" s="545"/>
      <c r="Z34" s="545"/>
      <c r="AA34" s="546" t="str">
        <f>IF(AA33="해당없음","해당없음",'운용리스 내부'!I36)</f>
        <v>해당없음</v>
      </c>
      <c r="AB34" s="546"/>
      <c r="AC34" s="546"/>
      <c r="AD34" s="546"/>
      <c r="AE34" s="546"/>
      <c r="AF34" s="546"/>
      <c r="AG34" s="546"/>
      <c r="AH34" s="546"/>
      <c r="AI34" s="546"/>
      <c r="AJ34" s="546"/>
      <c r="AK34" s="546"/>
      <c r="AL34" s="546"/>
      <c r="AM34" s="555"/>
      <c r="AN34" s="544" t="str">
        <f>IF(AW33="해당없음","",'운용리스 내부'!M36)</f>
        <v/>
      </c>
      <c r="AO34" s="545"/>
      <c r="AP34" s="545"/>
      <c r="AQ34" s="545"/>
      <c r="AR34" s="545"/>
      <c r="AS34" s="545"/>
      <c r="AT34" s="545"/>
      <c r="AU34" s="545"/>
      <c r="AV34" s="545"/>
      <c r="AW34" s="546" t="str">
        <f>IF(AW33="해당없음","해당없음",'운용리스 내부'!N36)</f>
        <v>해당없음</v>
      </c>
      <c r="AX34" s="546"/>
      <c r="AY34" s="546"/>
      <c r="AZ34" s="546"/>
      <c r="BA34" s="546"/>
      <c r="BB34" s="546"/>
      <c r="BC34" s="546"/>
      <c r="BD34" s="546"/>
      <c r="BE34" s="546"/>
      <c r="BF34" s="546"/>
      <c r="BG34" s="546"/>
      <c r="BH34" s="546"/>
      <c r="BI34" s="555"/>
      <c r="BJ34" s="544" t="str">
        <f>IF(BS33="해당없음","",'운용리스 내부'!R36)</f>
        <v/>
      </c>
      <c r="BK34" s="545"/>
      <c r="BL34" s="545"/>
      <c r="BM34" s="545"/>
      <c r="BN34" s="545"/>
      <c r="BO34" s="545"/>
      <c r="BP34" s="545"/>
      <c r="BQ34" s="545"/>
      <c r="BR34" s="545"/>
      <c r="BS34" s="546" t="str">
        <f>IF(BS33="해당없음","해당없음",'운용리스 내부'!S36)</f>
        <v>해당없음</v>
      </c>
      <c r="BT34" s="546"/>
      <c r="BU34" s="546"/>
      <c r="BV34" s="546"/>
      <c r="BW34" s="546"/>
      <c r="BX34" s="546"/>
      <c r="BY34" s="546"/>
      <c r="BZ34" s="546"/>
      <c r="CA34" s="546"/>
      <c r="CB34" s="546"/>
      <c r="CC34" s="546"/>
      <c r="CD34" s="546"/>
      <c r="CE34" s="546"/>
    </row>
    <row r="35" spans="2:84" s="94" customFormat="1" ht="30" customHeight="1" thickBot="1" x14ac:dyDescent="0.35">
      <c r="C35" s="536" t="s">
        <v>1533</v>
      </c>
      <c r="D35" s="536"/>
      <c r="E35" s="536"/>
      <c r="F35" s="536"/>
      <c r="G35" s="536"/>
      <c r="H35" s="536"/>
      <c r="I35" s="536"/>
      <c r="J35" s="536"/>
      <c r="K35" s="536"/>
      <c r="L35" s="536"/>
      <c r="M35" s="536"/>
      <c r="N35" s="536"/>
      <c r="O35" s="536"/>
      <c r="P35" s="536"/>
      <c r="Q35" s="537"/>
      <c r="R35" s="530" t="str">
        <f>IF(AA33="해당없음","",'운용리스 내부'!H37)</f>
        <v/>
      </c>
      <c r="S35" s="531"/>
      <c r="T35" s="531"/>
      <c r="U35" s="531"/>
      <c r="V35" s="531"/>
      <c r="W35" s="531"/>
      <c r="X35" s="531"/>
      <c r="Y35" s="531"/>
      <c r="Z35" s="531"/>
      <c r="AA35" s="532" t="str">
        <f xml:space="preserve"> IF(AA33="해당없음","해당없음",'운용리스 내부'!I37)</f>
        <v>해당없음</v>
      </c>
      <c r="AB35" s="532"/>
      <c r="AC35" s="532"/>
      <c r="AD35" s="532"/>
      <c r="AE35" s="532"/>
      <c r="AF35" s="532"/>
      <c r="AG35" s="532"/>
      <c r="AH35" s="532"/>
      <c r="AI35" s="532"/>
      <c r="AJ35" s="532"/>
      <c r="AK35" s="532"/>
      <c r="AL35" s="532"/>
      <c r="AM35" s="533"/>
      <c r="AN35" s="530" t="str">
        <f>IF(AW33="해당없음","",'운용리스 내부'!M37)</f>
        <v/>
      </c>
      <c r="AO35" s="531"/>
      <c r="AP35" s="531"/>
      <c r="AQ35" s="531"/>
      <c r="AR35" s="531"/>
      <c r="AS35" s="531"/>
      <c r="AT35" s="531"/>
      <c r="AU35" s="531"/>
      <c r="AV35" s="531"/>
      <c r="AW35" s="532" t="str">
        <f>IF(AW33="해당없음","해당없음",'운용리스 내부'!N37)</f>
        <v>해당없음</v>
      </c>
      <c r="AX35" s="532"/>
      <c r="AY35" s="532"/>
      <c r="AZ35" s="532"/>
      <c r="BA35" s="532"/>
      <c r="BB35" s="532"/>
      <c r="BC35" s="532"/>
      <c r="BD35" s="532"/>
      <c r="BE35" s="532"/>
      <c r="BF35" s="532"/>
      <c r="BG35" s="532"/>
      <c r="BH35" s="532"/>
      <c r="BI35" s="533"/>
      <c r="BJ35" s="530" t="str">
        <f>IF(BS33="해당없음","",'운용리스 내부'!R37)</f>
        <v/>
      </c>
      <c r="BK35" s="531"/>
      <c r="BL35" s="531"/>
      <c r="BM35" s="531"/>
      <c r="BN35" s="531"/>
      <c r="BO35" s="531"/>
      <c r="BP35" s="531"/>
      <c r="BQ35" s="531"/>
      <c r="BR35" s="531"/>
      <c r="BS35" s="532" t="str">
        <f>IF(BS33="해당없음","해당없음",'운용리스 내부'!S37)</f>
        <v>해당없음</v>
      </c>
      <c r="BT35" s="532"/>
      <c r="BU35" s="532"/>
      <c r="BV35" s="532"/>
      <c r="BW35" s="532"/>
      <c r="BX35" s="532"/>
      <c r="BY35" s="532"/>
      <c r="BZ35" s="532"/>
      <c r="CA35" s="532"/>
      <c r="CB35" s="532"/>
      <c r="CC35" s="532"/>
      <c r="CD35" s="532"/>
      <c r="CE35" s="532"/>
    </row>
    <row r="36" spans="2:84" s="94" customFormat="1" ht="19.5" customHeight="1" thickBot="1" x14ac:dyDescent="0.35">
      <c r="C36" s="173"/>
      <c r="D36" s="173"/>
      <c r="E36" s="173"/>
      <c r="F36" s="173"/>
      <c r="G36" s="173"/>
      <c r="H36" s="173"/>
      <c r="I36" s="173"/>
      <c r="J36" s="173"/>
      <c r="K36" s="173"/>
      <c r="L36" s="173"/>
      <c r="M36" s="173"/>
      <c r="N36" s="173"/>
      <c r="O36" s="173"/>
      <c r="P36" s="173"/>
      <c r="Q36" s="174"/>
      <c r="R36" s="170"/>
      <c r="S36" s="171"/>
      <c r="T36" s="171"/>
      <c r="U36" s="171"/>
      <c r="V36" s="171"/>
      <c r="W36" s="171"/>
      <c r="X36" s="171"/>
      <c r="Y36" s="171"/>
      <c r="Z36" s="171"/>
      <c r="AA36" s="172"/>
      <c r="AB36" s="172"/>
      <c r="AC36" s="172"/>
      <c r="AD36" s="172"/>
      <c r="AE36" s="172"/>
      <c r="AF36" s="172"/>
      <c r="AG36" s="172"/>
      <c r="AH36" s="172"/>
      <c r="AI36" s="172"/>
      <c r="AJ36" s="172"/>
      <c r="AK36" s="172"/>
      <c r="AL36" s="172"/>
      <c r="AM36" s="172"/>
      <c r="AN36" s="171"/>
      <c r="AO36" s="171"/>
      <c r="AP36" s="171"/>
      <c r="AQ36" s="171"/>
      <c r="AR36" s="171"/>
      <c r="AS36" s="171"/>
      <c r="AT36" s="171"/>
      <c r="AU36" s="171"/>
      <c r="AV36" s="171"/>
      <c r="AW36" s="172"/>
      <c r="AX36" s="172"/>
      <c r="AY36" s="172"/>
      <c r="AZ36" s="172"/>
      <c r="BA36" s="172"/>
      <c r="BB36" s="172"/>
      <c r="BC36" s="172"/>
      <c r="BD36" s="172"/>
      <c r="BE36" s="172"/>
      <c r="BF36" s="172"/>
      <c r="BG36" s="172"/>
      <c r="BH36" s="172"/>
      <c r="BI36" s="172"/>
      <c r="BJ36" s="171"/>
      <c r="BK36" s="171"/>
      <c r="BL36" s="171"/>
      <c r="BM36" s="171"/>
      <c r="BN36" s="171"/>
      <c r="BO36" s="171"/>
      <c r="BP36" s="171"/>
      <c r="BQ36" s="171"/>
      <c r="BR36" s="171"/>
      <c r="BS36" s="172"/>
      <c r="BT36" s="172"/>
      <c r="BU36" s="172"/>
      <c r="BV36" s="172"/>
      <c r="BW36" s="172"/>
      <c r="BX36" s="172"/>
      <c r="BY36" s="172"/>
      <c r="BZ36" s="172"/>
      <c r="CA36" s="172"/>
      <c r="CB36" s="172"/>
      <c r="CC36" s="172"/>
      <c r="CD36" s="172"/>
      <c r="CE36" s="172"/>
    </row>
    <row r="37" spans="2:84" ht="47.25" customHeight="1" thickBot="1" x14ac:dyDescent="0.35">
      <c r="C37" s="534" t="s">
        <v>1529</v>
      </c>
      <c r="D37" s="535"/>
      <c r="E37" s="535"/>
      <c r="F37" s="535"/>
      <c r="G37" s="535"/>
      <c r="H37" s="535"/>
      <c r="I37" s="535"/>
      <c r="J37" s="535"/>
      <c r="K37" s="535"/>
      <c r="L37" s="535"/>
      <c r="M37" s="535"/>
      <c r="N37" s="535"/>
      <c r="O37" s="535"/>
      <c r="P37" s="535"/>
      <c r="Q37" s="535"/>
      <c r="R37" s="538"/>
      <c r="S37" s="539"/>
      <c r="T37" s="539"/>
      <c r="U37" s="539"/>
      <c r="V37" s="539"/>
      <c r="W37" s="539"/>
      <c r="X37" s="539"/>
      <c r="Y37" s="539"/>
      <c r="Z37" s="539"/>
      <c r="AA37" s="539"/>
      <c r="AB37" s="539"/>
      <c r="AC37" s="539"/>
      <c r="AD37" s="539"/>
      <c r="AE37" s="539"/>
      <c r="AF37" s="539"/>
      <c r="AG37" s="539"/>
      <c r="AH37" s="539"/>
      <c r="AI37" s="539"/>
      <c r="AJ37" s="539"/>
      <c r="AK37" s="539"/>
      <c r="AL37" s="539"/>
      <c r="AM37" s="539"/>
      <c r="AN37" s="539"/>
      <c r="AO37" s="539"/>
      <c r="AP37" s="539"/>
      <c r="AQ37" s="539"/>
      <c r="AR37" s="539"/>
      <c r="AS37" s="539"/>
      <c r="AT37" s="539"/>
      <c r="AU37" s="539"/>
      <c r="AV37" s="539"/>
      <c r="AW37" s="539"/>
      <c r="AX37" s="539"/>
      <c r="AY37" s="539"/>
      <c r="AZ37" s="539"/>
      <c r="BA37" s="539"/>
      <c r="BB37" s="539"/>
      <c r="BC37" s="539"/>
      <c r="BD37" s="539"/>
      <c r="BE37" s="539"/>
      <c r="BF37" s="539"/>
      <c r="BG37" s="539"/>
      <c r="BH37" s="539"/>
      <c r="BI37" s="539"/>
      <c r="BJ37" s="539"/>
      <c r="BK37" s="539"/>
      <c r="BL37" s="539"/>
      <c r="BM37" s="539"/>
      <c r="BN37" s="539"/>
      <c r="BO37" s="539"/>
      <c r="BP37" s="539"/>
      <c r="BQ37" s="539"/>
      <c r="BR37" s="539"/>
      <c r="BS37" s="539"/>
      <c r="BT37" s="539"/>
      <c r="BU37" s="539"/>
      <c r="BV37" s="539"/>
      <c r="BW37" s="539"/>
      <c r="BX37" s="539"/>
      <c r="BY37" s="539"/>
      <c r="BZ37" s="539"/>
      <c r="CA37" s="539"/>
      <c r="CB37" s="539"/>
      <c r="CC37" s="539"/>
      <c r="CD37" s="539"/>
      <c r="CE37" s="539"/>
    </row>
    <row r="38" spans="2:84" ht="18" customHeight="1" thickBot="1" x14ac:dyDescent="0.35"/>
    <row r="39" spans="2:84" ht="34.5" customHeight="1" x14ac:dyDescent="0.3">
      <c r="C39" s="526" t="s">
        <v>1543</v>
      </c>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s="526"/>
      <c r="AH39" s="526"/>
      <c r="AI39" s="526"/>
      <c r="AJ39" s="526"/>
      <c r="AK39" s="526"/>
      <c r="AL39" s="526"/>
      <c r="AM39" s="526"/>
      <c r="AN39" s="526"/>
      <c r="AO39" s="526"/>
      <c r="AP39" s="526"/>
      <c r="AQ39" s="526"/>
      <c r="AR39" s="526"/>
      <c r="AS39" s="526"/>
      <c r="AT39" s="526"/>
      <c r="AU39" s="526"/>
      <c r="AV39" s="526"/>
      <c r="AW39" s="526"/>
      <c r="AX39" s="526"/>
      <c r="AY39" s="526"/>
      <c r="AZ39" s="526"/>
      <c r="BA39" s="526"/>
      <c r="BB39" s="526"/>
      <c r="BC39" s="526"/>
      <c r="BD39" s="526"/>
      <c r="BE39" s="526"/>
      <c r="BF39" s="526"/>
      <c r="BG39" s="526"/>
      <c r="BH39" s="526"/>
      <c r="BI39" s="526"/>
      <c r="BJ39" s="526"/>
      <c r="BK39" s="526"/>
      <c r="BL39" s="526"/>
      <c r="BM39" s="526"/>
      <c r="BN39" s="526"/>
      <c r="BO39" s="526"/>
      <c r="BP39" s="526"/>
      <c r="BQ39" s="526"/>
      <c r="BR39" s="526"/>
      <c r="BS39" s="526"/>
      <c r="BT39" s="526"/>
      <c r="BU39" s="526"/>
      <c r="BV39" s="526"/>
      <c r="BW39" s="526"/>
      <c r="BX39" s="526"/>
      <c r="BY39" s="526"/>
      <c r="BZ39" s="526"/>
      <c r="CA39" s="526"/>
      <c r="CB39" s="526"/>
      <c r="CC39" s="526"/>
      <c r="CD39" s="526"/>
      <c r="CE39" s="526"/>
      <c r="CF39" s="95"/>
    </row>
    <row r="40" spans="2:84" ht="34.5" customHeight="1" x14ac:dyDescent="0.3">
      <c r="B40" s="83"/>
      <c r="C40" s="527" t="s">
        <v>1547</v>
      </c>
      <c r="D40" s="527"/>
      <c r="E40" s="527"/>
      <c r="F40" s="527"/>
      <c r="G40" s="527"/>
      <c r="H40" s="527"/>
      <c r="I40" s="527"/>
      <c r="J40" s="527"/>
      <c r="K40" s="527"/>
      <c r="L40" s="527"/>
      <c r="M40" s="527"/>
      <c r="N40" s="527"/>
      <c r="O40" s="527"/>
      <c r="P40" s="527"/>
      <c r="Q40" s="527"/>
      <c r="R40" s="527"/>
      <c r="S40" s="527"/>
      <c r="T40" s="527"/>
      <c r="U40" s="527"/>
      <c r="V40" s="527"/>
      <c r="W40" s="527"/>
      <c r="X40" s="527"/>
      <c r="Y40" s="527"/>
      <c r="Z40" s="527"/>
      <c r="AA40" s="527"/>
      <c r="AB40" s="527"/>
      <c r="AC40" s="527"/>
      <c r="AD40" s="527"/>
      <c r="AE40" s="527"/>
      <c r="AF40" s="527"/>
      <c r="AG40" s="527"/>
      <c r="AH40" s="527"/>
      <c r="AI40" s="527"/>
      <c r="AJ40" s="527"/>
      <c r="AK40" s="527"/>
      <c r="AL40" s="527"/>
      <c r="AM40" s="527"/>
      <c r="AN40" s="527"/>
      <c r="AO40" s="527"/>
      <c r="AP40" s="527"/>
      <c r="AQ40" s="527"/>
      <c r="AR40" s="527"/>
      <c r="AS40" s="527"/>
      <c r="AT40" s="527"/>
      <c r="AU40" s="527"/>
      <c r="AV40" s="527"/>
      <c r="AW40" s="527"/>
      <c r="AX40" s="527"/>
      <c r="AY40" s="527"/>
      <c r="AZ40" s="527"/>
      <c r="BA40" s="527"/>
      <c r="BB40" s="527"/>
      <c r="BC40" s="527"/>
      <c r="BD40" s="527"/>
      <c r="BE40" s="527"/>
      <c r="BF40" s="527"/>
      <c r="BG40" s="527"/>
      <c r="BH40" s="527"/>
      <c r="BI40" s="527"/>
      <c r="BJ40" s="527"/>
      <c r="BK40" s="527"/>
      <c r="BL40" s="527"/>
      <c r="BM40" s="527"/>
      <c r="BN40" s="527"/>
      <c r="BO40" s="527"/>
      <c r="BP40" s="527"/>
      <c r="BQ40" s="527"/>
      <c r="BR40" s="527"/>
      <c r="BS40" s="527"/>
      <c r="BT40" s="527"/>
      <c r="BU40" s="527"/>
      <c r="BV40" s="527"/>
      <c r="BW40" s="527"/>
      <c r="BX40" s="527"/>
      <c r="BY40" s="527"/>
      <c r="BZ40" s="527"/>
      <c r="CA40" s="527"/>
      <c r="CB40" s="527"/>
      <c r="CC40" s="527"/>
      <c r="CD40" s="527"/>
      <c r="CE40" s="527"/>
      <c r="CF40" s="95"/>
    </row>
    <row r="41" spans="2:84" ht="34.5" customHeight="1" x14ac:dyDescent="0.3">
      <c r="B41" s="83"/>
      <c r="C41" s="529" t="s">
        <v>1541</v>
      </c>
      <c r="D41" s="529"/>
      <c r="E41" s="529"/>
      <c r="F41" s="529"/>
      <c r="G41" s="529"/>
      <c r="H41" s="529"/>
      <c r="I41" s="529"/>
      <c r="J41" s="529"/>
      <c r="K41" s="529"/>
      <c r="L41" s="529"/>
      <c r="M41" s="529"/>
      <c r="N41" s="529"/>
      <c r="O41" s="529"/>
      <c r="P41" s="529"/>
      <c r="Q41" s="529"/>
      <c r="R41" s="529"/>
      <c r="S41" s="529"/>
      <c r="T41" s="529"/>
      <c r="U41" s="529"/>
      <c r="V41" s="529"/>
      <c r="W41" s="529"/>
      <c r="X41" s="529"/>
      <c r="Y41" s="529"/>
      <c r="Z41" s="529"/>
      <c r="AA41" s="529"/>
      <c r="AB41" s="529"/>
      <c r="AC41" s="529"/>
      <c r="AD41" s="529"/>
      <c r="AE41" s="529"/>
      <c r="AF41" s="529"/>
      <c r="AG41" s="529"/>
      <c r="AH41" s="529"/>
      <c r="AI41" s="529"/>
      <c r="AJ41" s="529"/>
      <c r="AK41" s="529"/>
      <c r="AL41" s="529"/>
      <c r="AM41" s="529"/>
      <c r="AN41" s="529"/>
      <c r="AO41" s="529"/>
      <c r="AP41" s="529"/>
      <c r="AQ41" s="529"/>
      <c r="AR41" s="529"/>
      <c r="AS41" s="529"/>
      <c r="AT41" s="529"/>
      <c r="AU41" s="529"/>
      <c r="AV41" s="529"/>
      <c r="AW41" s="529"/>
      <c r="AX41" s="529"/>
      <c r="AY41" s="529"/>
      <c r="AZ41" s="529"/>
      <c r="BA41" s="529"/>
      <c r="BB41" s="529"/>
      <c r="BC41" s="529"/>
      <c r="BD41" s="529"/>
      <c r="BE41" s="529"/>
      <c r="BF41" s="529"/>
      <c r="BG41" s="529"/>
      <c r="BH41" s="529"/>
      <c r="BI41" s="529"/>
      <c r="BJ41" s="529"/>
      <c r="BK41" s="529"/>
      <c r="BL41" s="529"/>
      <c r="BM41" s="529"/>
      <c r="BN41" s="529"/>
      <c r="BO41" s="529"/>
      <c r="BP41" s="529"/>
      <c r="BQ41" s="529"/>
      <c r="BR41" s="529"/>
      <c r="BS41" s="529"/>
      <c r="BT41" s="529"/>
      <c r="BU41" s="529"/>
      <c r="BV41" s="529"/>
      <c r="BW41" s="529"/>
      <c r="BX41" s="529"/>
      <c r="BY41" s="529"/>
      <c r="BZ41" s="529"/>
      <c r="CA41" s="529"/>
      <c r="CB41" s="529"/>
      <c r="CC41" s="529"/>
      <c r="CD41" s="529"/>
      <c r="CE41" s="529"/>
      <c r="CF41" s="95"/>
    </row>
    <row r="42" spans="2:84" ht="34.5" customHeight="1" x14ac:dyDescent="0.3">
      <c r="B42" s="83"/>
      <c r="C42" s="527" t="s">
        <v>1542</v>
      </c>
      <c r="D42" s="527"/>
      <c r="E42" s="527"/>
      <c r="F42" s="527"/>
      <c r="G42" s="527"/>
      <c r="H42" s="527"/>
      <c r="I42" s="527"/>
      <c r="J42" s="527"/>
      <c r="K42" s="527"/>
      <c r="L42" s="527"/>
      <c r="M42" s="527"/>
      <c r="N42" s="527"/>
      <c r="O42" s="527"/>
      <c r="P42" s="527"/>
      <c r="Q42" s="527"/>
      <c r="R42" s="527"/>
      <c r="S42" s="527"/>
      <c r="T42" s="527"/>
      <c r="U42" s="527"/>
      <c r="V42" s="527"/>
      <c r="W42" s="527"/>
      <c r="X42" s="527"/>
      <c r="Y42" s="527"/>
      <c r="Z42" s="527"/>
      <c r="AA42" s="527"/>
      <c r="AB42" s="527"/>
      <c r="AC42" s="527"/>
      <c r="AD42" s="527"/>
      <c r="AE42" s="527"/>
      <c r="AF42" s="527"/>
      <c r="AG42" s="527"/>
      <c r="AH42" s="527"/>
      <c r="AI42" s="527"/>
      <c r="AJ42" s="527"/>
      <c r="AK42" s="527"/>
      <c r="AL42" s="527"/>
      <c r="AM42" s="527"/>
      <c r="AN42" s="527"/>
      <c r="AO42" s="527"/>
      <c r="AP42" s="527"/>
      <c r="AQ42" s="527"/>
      <c r="AR42" s="527"/>
      <c r="AS42" s="527"/>
      <c r="AT42" s="527"/>
      <c r="AU42" s="527"/>
      <c r="AV42" s="527"/>
      <c r="AW42" s="527"/>
      <c r="AX42" s="527"/>
      <c r="AY42" s="527"/>
      <c r="AZ42" s="527"/>
      <c r="BA42" s="527"/>
      <c r="BB42" s="527"/>
      <c r="BC42" s="527"/>
      <c r="BD42" s="527"/>
      <c r="BE42" s="527"/>
      <c r="BF42" s="527"/>
      <c r="BG42" s="527"/>
      <c r="BH42" s="527"/>
      <c r="BI42" s="527"/>
      <c r="BJ42" s="527"/>
      <c r="BK42" s="527"/>
      <c r="BL42" s="527"/>
      <c r="BM42" s="527"/>
      <c r="BN42" s="527"/>
      <c r="BO42" s="527"/>
      <c r="BP42" s="527"/>
      <c r="BQ42" s="527"/>
      <c r="BR42" s="527"/>
      <c r="BS42" s="527"/>
      <c r="BT42" s="527"/>
      <c r="BU42" s="527"/>
      <c r="BV42" s="527"/>
      <c r="BW42" s="527"/>
      <c r="BX42" s="527"/>
      <c r="BY42" s="527"/>
      <c r="BZ42" s="527"/>
      <c r="CA42" s="527"/>
      <c r="CB42" s="527"/>
      <c r="CC42" s="527"/>
      <c r="CD42" s="527"/>
      <c r="CE42" s="527"/>
      <c r="CF42" s="95"/>
    </row>
    <row r="43" spans="2:84" ht="34.5" customHeight="1" thickBot="1" x14ac:dyDescent="0.35">
      <c r="C43" s="528" t="s">
        <v>1544</v>
      </c>
      <c r="D43" s="528"/>
      <c r="E43" s="528"/>
      <c r="F43" s="528"/>
      <c r="G43" s="528"/>
      <c r="H43" s="528"/>
      <c r="I43" s="528"/>
      <c r="J43" s="528"/>
      <c r="K43" s="528"/>
      <c r="L43" s="528"/>
      <c r="M43" s="528"/>
      <c r="N43" s="528"/>
      <c r="O43" s="528"/>
      <c r="P43" s="528"/>
      <c r="Q43" s="528"/>
      <c r="R43" s="528"/>
      <c r="S43" s="528"/>
      <c r="T43" s="528"/>
      <c r="U43" s="528"/>
      <c r="V43" s="528"/>
      <c r="W43" s="528"/>
      <c r="X43" s="528"/>
      <c r="Y43" s="528"/>
      <c r="Z43" s="528"/>
      <c r="AA43" s="528"/>
      <c r="AB43" s="528"/>
      <c r="AC43" s="528"/>
      <c r="AD43" s="528"/>
      <c r="AE43" s="528"/>
      <c r="AF43" s="528"/>
      <c r="AG43" s="528"/>
      <c r="AH43" s="528"/>
      <c r="AI43" s="528"/>
      <c r="AJ43" s="528"/>
      <c r="AK43" s="528"/>
      <c r="AL43" s="528"/>
      <c r="AM43" s="528"/>
      <c r="AN43" s="528"/>
      <c r="AO43" s="528"/>
      <c r="AP43" s="528"/>
      <c r="AQ43" s="528"/>
      <c r="AR43" s="528"/>
      <c r="AS43" s="528"/>
      <c r="AT43" s="528"/>
      <c r="AU43" s="528"/>
      <c r="AV43" s="528"/>
      <c r="AW43" s="528"/>
      <c r="AX43" s="528"/>
      <c r="AY43" s="528"/>
      <c r="AZ43" s="528"/>
      <c r="BA43" s="528"/>
      <c r="BB43" s="528"/>
      <c r="BC43" s="528"/>
      <c r="BD43" s="528"/>
      <c r="BE43" s="528"/>
      <c r="BF43" s="528"/>
      <c r="BG43" s="528"/>
      <c r="BH43" s="528"/>
      <c r="BI43" s="528"/>
      <c r="BJ43" s="528"/>
      <c r="BK43" s="528"/>
      <c r="BL43" s="528"/>
      <c r="BM43" s="528"/>
      <c r="BN43" s="528"/>
      <c r="BO43" s="528"/>
      <c r="BP43" s="528"/>
      <c r="BQ43" s="528"/>
      <c r="BR43" s="528"/>
      <c r="BS43" s="528"/>
      <c r="BT43" s="528"/>
      <c r="BU43" s="528"/>
      <c r="BV43" s="528"/>
      <c r="BW43" s="528"/>
      <c r="BX43" s="528"/>
      <c r="BY43" s="528"/>
      <c r="BZ43" s="528"/>
      <c r="CA43" s="528"/>
      <c r="CB43" s="528"/>
      <c r="CC43" s="528"/>
      <c r="CD43" s="528"/>
      <c r="CE43" s="528"/>
      <c r="CF43" s="95"/>
    </row>
    <row r="44" spans="2:84" ht="39.75" customHeight="1" x14ac:dyDescent="0.3">
      <c r="C44" s="540" t="s">
        <v>1545</v>
      </c>
      <c r="D44" s="540"/>
      <c r="E44" s="540"/>
      <c r="F44" s="540"/>
      <c r="G44" s="540"/>
      <c r="H44" s="540"/>
      <c r="I44" s="540"/>
      <c r="J44" s="540"/>
      <c r="K44" s="540"/>
      <c r="L44" s="540"/>
      <c r="M44" s="540"/>
      <c r="N44" s="540"/>
      <c r="O44" s="540"/>
      <c r="P44" s="540"/>
      <c r="Q44" s="540"/>
      <c r="R44" s="540"/>
      <c r="S44" s="540"/>
      <c r="T44" s="540"/>
      <c r="U44" s="540"/>
      <c r="V44" s="540"/>
      <c r="W44" s="540"/>
      <c r="X44" s="540"/>
      <c r="Y44" s="540"/>
      <c r="Z44" s="540"/>
      <c r="AA44" s="540"/>
      <c r="AB44" s="540"/>
      <c r="AC44" s="540"/>
      <c r="AD44" s="540"/>
      <c r="AE44" s="540"/>
      <c r="AF44" s="540"/>
      <c r="AG44" s="540"/>
      <c r="AH44" s="540"/>
      <c r="AI44" s="540"/>
      <c r="AJ44" s="540"/>
      <c r="AK44" s="540"/>
      <c r="AL44" s="540"/>
      <c r="AM44" s="540"/>
      <c r="AN44" s="540"/>
      <c r="AO44" s="540"/>
      <c r="AP44" s="540"/>
      <c r="AQ44" s="540"/>
      <c r="AR44" s="540"/>
      <c r="AS44" s="540"/>
      <c r="AT44" s="540"/>
      <c r="AU44" s="540"/>
      <c r="AV44" s="540"/>
      <c r="AW44" s="540"/>
      <c r="AX44" s="540"/>
      <c r="AY44" s="540"/>
      <c r="AZ44" s="540"/>
      <c r="BA44" s="540"/>
      <c r="BB44" s="540"/>
      <c r="BC44" s="540"/>
      <c r="BD44" s="540"/>
      <c r="BE44" s="540"/>
      <c r="BF44" s="540"/>
      <c r="BG44" s="540"/>
      <c r="BH44" s="540"/>
      <c r="BI44" s="540"/>
      <c r="BJ44" s="540"/>
      <c r="BK44" s="540"/>
      <c r="BL44" s="540"/>
      <c r="BM44" s="540"/>
      <c r="BN44" s="540"/>
      <c r="BO44" s="540"/>
      <c r="BP44" s="540"/>
      <c r="BQ44" s="540"/>
      <c r="BR44" s="540"/>
      <c r="BS44" s="540"/>
      <c r="BT44" s="540"/>
      <c r="BU44" s="540"/>
      <c r="BV44" s="540"/>
      <c r="BW44" s="540"/>
      <c r="BX44" s="540"/>
      <c r="BY44" s="540"/>
      <c r="BZ44" s="540"/>
      <c r="CA44" s="540"/>
      <c r="CB44" s="540"/>
      <c r="CC44" s="540"/>
      <c r="CD44" s="540"/>
      <c r="CE44" s="540"/>
    </row>
    <row r="45" spans="2:84" ht="39.75" customHeight="1" x14ac:dyDescent="0.3">
      <c r="C45" s="540"/>
      <c r="D45" s="540"/>
      <c r="E45" s="540"/>
      <c r="F45" s="540"/>
      <c r="G45" s="540"/>
      <c r="H45" s="540"/>
      <c r="I45" s="540"/>
      <c r="J45" s="540"/>
      <c r="K45" s="540"/>
      <c r="L45" s="540"/>
      <c r="M45" s="540"/>
      <c r="N45" s="540"/>
      <c r="O45" s="540"/>
      <c r="P45" s="540"/>
      <c r="Q45" s="540"/>
      <c r="R45" s="540"/>
      <c r="S45" s="540"/>
      <c r="T45" s="540"/>
      <c r="U45" s="540"/>
      <c r="V45" s="540"/>
      <c r="W45" s="540"/>
      <c r="X45" s="540"/>
      <c r="Y45" s="540"/>
      <c r="Z45" s="540"/>
      <c r="AA45" s="540"/>
      <c r="AB45" s="540"/>
      <c r="AC45" s="540"/>
      <c r="AD45" s="540"/>
      <c r="AE45" s="540"/>
      <c r="AF45" s="540"/>
      <c r="AG45" s="540"/>
      <c r="AH45" s="540"/>
      <c r="AI45" s="540"/>
      <c r="AJ45" s="540"/>
      <c r="AK45" s="540"/>
      <c r="AL45" s="540"/>
      <c r="AM45" s="540"/>
      <c r="AN45" s="540"/>
      <c r="AO45" s="540"/>
      <c r="AP45" s="540"/>
      <c r="AQ45" s="540"/>
      <c r="AR45" s="540"/>
      <c r="AS45" s="540"/>
      <c r="AT45" s="540"/>
      <c r="AU45" s="540"/>
      <c r="AV45" s="540"/>
      <c r="AW45" s="540"/>
      <c r="AX45" s="540"/>
      <c r="AY45" s="540"/>
      <c r="AZ45" s="540"/>
      <c r="BA45" s="540"/>
      <c r="BB45" s="540"/>
      <c r="BC45" s="540"/>
      <c r="BD45" s="540"/>
      <c r="BE45" s="540"/>
      <c r="BF45" s="540"/>
      <c r="BG45" s="540"/>
      <c r="BH45" s="540"/>
      <c r="BI45" s="540"/>
      <c r="BJ45" s="540"/>
      <c r="BK45" s="540"/>
      <c r="BL45" s="540"/>
      <c r="BM45" s="540"/>
      <c r="BN45" s="540"/>
      <c r="BO45" s="540"/>
      <c r="BP45" s="540"/>
      <c r="BQ45" s="540"/>
      <c r="BR45" s="540"/>
      <c r="BS45" s="540"/>
      <c r="BT45" s="540"/>
      <c r="BU45" s="540"/>
      <c r="BV45" s="540"/>
      <c r="BW45" s="540"/>
      <c r="BX45" s="540"/>
      <c r="BY45" s="540"/>
      <c r="BZ45" s="540"/>
      <c r="CA45" s="540"/>
      <c r="CB45" s="540"/>
      <c r="CC45" s="540"/>
      <c r="CD45" s="540"/>
      <c r="CE45" s="540"/>
    </row>
  </sheetData>
  <sheetProtection algorithmName="SHA-512" hashValue="lajYuTR9JqSUkx4YoPjqJJk9Zjo0fLH0JcuyHzLo6yGM94bjHlyb0mmJHnrqqGwUpz/eC/lSU0mW5aM8vp9YUw==" saltValue="lWhr84hvJnUdzYdx4jhm/A==" spinCount="100000" sheet="1" objects="1" scenarios="1"/>
  <mergeCells count="124">
    <mergeCell ref="C44:CE45"/>
    <mergeCell ref="AX6:BK6"/>
    <mergeCell ref="BL6:CE6"/>
    <mergeCell ref="BS33:CE33"/>
    <mergeCell ref="BJ34:BR34"/>
    <mergeCell ref="BS34:CE34"/>
    <mergeCell ref="BJ35:BR35"/>
    <mergeCell ref="BS35:CE35"/>
    <mergeCell ref="C33:Q33"/>
    <mergeCell ref="C34:Q34"/>
    <mergeCell ref="R33:Z33"/>
    <mergeCell ref="AA33:AM33"/>
    <mergeCell ref="R34:Z34"/>
    <mergeCell ref="AA34:AM34"/>
    <mergeCell ref="AN33:AV33"/>
    <mergeCell ref="AW33:BI33"/>
    <mergeCell ref="AN34:AV34"/>
    <mergeCell ref="AW34:BI34"/>
    <mergeCell ref="BJ33:BR33"/>
    <mergeCell ref="BJ30:CE30"/>
    <mergeCell ref="BJ31:CE31"/>
    <mergeCell ref="AN27:BI27"/>
    <mergeCell ref="BJ27:CE27"/>
    <mergeCell ref="R28:AM28"/>
    <mergeCell ref="C39:CE39"/>
    <mergeCell ref="C40:CE40"/>
    <mergeCell ref="C42:CE42"/>
    <mergeCell ref="C43:CE43"/>
    <mergeCell ref="C41:CE41"/>
    <mergeCell ref="R35:Z35"/>
    <mergeCell ref="AN35:AV35"/>
    <mergeCell ref="AW35:BI35"/>
    <mergeCell ref="C37:Q37"/>
    <mergeCell ref="C35:Q35"/>
    <mergeCell ref="R37:CE37"/>
    <mergeCell ref="AA35:AM35"/>
    <mergeCell ref="AN29:BI29"/>
    <mergeCell ref="R30:AM30"/>
    <mergeCell ref="R31:AM31"/>
    <mergeCell ref="AN30:BI30"/>
    <mergeCell ref="AN31:BI31"/>
    <mergeCell ref="C30:Q30"/>
    <mergeCell ref="R25:AM25"/>
    <mergeCell ref="C21:Q21"/>
    <mergeCell ref="C22:Q22"/>
    <mergeCell ref="C23:Q23"/>
    <mergeCell ref="C24:Q24"/>
    <mergeCell ref="C25:Q25"/>
    <mergeCell ref="AA23:AM23"/>
    <mergeCell ref="R21:Z21"/>
    <mergeCell ref="R22:Z22"/>
    <mergeCell ref="R23:Z23"/>
    <mergeCell ref="AW23:BI23"/>
    <mergeCell ref="C31:Q31"/>
    <mergeCell ref="BJ26:CE26"/>
    <mergeCell ref="R24:AM24"/>
    <mergeCell ref="AN24:BI24"/>
    <mergeCell ref="BJ24:CE24"/>
    <mergeCell ref="AW2:BG2"/>
    <mergeCell ref="AA21:AM21"/>
    <mergeCell ref="AA22:AM22"/>
    <mergeCell ref="AW21:BI21"/>
    <mergeCell ref="AW22:BI22"/>
    <mergeCell ref="BS21:CE21"/>
    <mergeCell ref="BS22:CE22"/>
    <mergeCell ref="BJ21:BR21"/>
    <mergeCell ref="BJ22:BR22"/>
    <mergeCell ref="AN21:AV21"/>
    <mergeCell ref="AN22:AV22"/>
    <mergeCell ref="BW8:CE8"/>
    <mergeCell ref="AC8:BV8"/>
    <mergeCell ref="AP13:BC13"/>
    <mergeCell ref="AP14:BC14"/>
    <mergeCell ref="AP10:BC10"/>
    <mergeCell ref="P9:AO9"/>
    <mergeCell ref="AN25:BI25"/>
    <mergeCell ref="AN20:BI20"/>
    <mergeCell ref="BJ20:CE20"/>
    <mergeCell ref="R20:AM20"/>
    <mergeCell ref="C19:Q19"/>
    <mergeCell ref="C20:Q20"/>
    <mergeCell ref="C13:O13"/>
    <mergeCell ref="C14:O14"/>
    <mergeCell ref="BD13:CE13"/>
    <mergeCell ref="BD14:CE14"/>
    <mergeCell ref="P13:AO13"/>
    <mergeCell ref="P14:AO14"/>
    <mergeCell ref="C15:AO15"/>
    <mergeCell ref="BD15:CE15"/>
    <mergeCell ref="C8:O8"/>
    <mergeCell ref="C9:O9"/>
    <mergeCell ref="C10:O10"/>
    <mergeCell ref="AP9:BC9"/>
    <mergeCell ref="BJ18:CE18"/>
    <mergeCell ref="C18:Q18"/>
    <mergeCell ref="R18:AM18"/>
    <mergeCell ref="R19:AM19"/>
    <mergeCell ref="AN19:BI19"/>
    <mergeCell ref="BJ19:CE19"/>
    <mergeCell ref="AN18:BI18"/>
    <mergeCell ref="C3:AZ5"/>
    <mergeCell ref="C26:Q26"/>
    <mergeCell ref="C27:Q27"/>
    <mergeCell ref="C28:Q28"/>
    <mergeCell ref="C29:Q29"/>
    <mergeCell ref="R27:AM27"/>
    <mergeCell ref="R29:AM29"/>
    <mergeCell ref="R26:AM26"/>
    <mergeCell ref="AN26:BI26"/>
    <mergeCell ref="P10:AO10"/>
    <mergeCell ref="BD9:CE9"/>
    <mergeCell ref="BD10:CE10"/>
    <mergeCell ref="P8:AB8"/>
    <mergeCell ref="AP15:BC15"/>
    <mergeCell ref="BQ3:CE3"/>
    <mergeCell ref="BS4:BV4"/>
    <mergeCell ref="BW4:CE4"/>
    <mergeCell ref="BJ29:CE29"/>
    <mergeCell ref="BS23:CE23"/>
    <mergeCell ref="BJ23:BR23"/>
    <mergeCell ref="AN23:AV23"/>
    <mergeCell ref="AN28:BI28"/>
    <mergeCell ref="BJ28:CE28"/>
    <mergeCell ref="BJ25:CE25"/>
  </mergeCells>
  <phoneticPr fontId="1" type="noConversion"/>
  <pageMargins left="0.7" right="0.7" top="0.75" bottom="0.75" header="0.3" footer="0.3"/>
  <pageSetup paperSize="9" scale="42"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Check Box 2">
              <controlPr locked="0" defaultSize="0" print="0" autoFill="0" autoLine="0" autoPict="0">
                <anchor moveWithCells="1" sizeWithCells="1">
                  <from>
                    <xdr:col>54</xdr:col>
                    <xdr:colOff>152400</xdr:colOff>
                    <xdr:row>17</xdr:row>
                    <xdr:rowOff>133350</xdr:rowOff>
                  </from>
                  <to>
                    <xdr:col>57</xdr:col>
                    <xdr:colOff>38100</xdr:colOff>
                    <xdr:row>17</xdr:row>
                    <xdr:rowOff>523875</xdr:rowOff>
                  </to>
                </anchor>
              </controlPr>
            </control>
          </mc:Choice>
        </mc:AlternateContent>
        <mc:AlternateContent xmlns:mc="http://schemas.openxmlformats.org/markup-compatibility/2006">
          <mc:Choice Requires="x14">
            <control shapeId="2051" r:id="rId5" name="Check Box 3">
              <controlPr locked="0" defaultSize="0" print="0" autoFill="0" autoLine="0" autoPict="0">
                <anchor moveWithCells="1" sizeWithCells="1">
                  <from>
                    <xdr:col>77</xdr:col>
                    <xdr:colOff>47625</xdr:colOff>
                    <xdr:row>17</xdr:row>
                    <xdr:rowOff>114300</xdr:rowOff>
                  </from>
                  <to>
                    <xdr:col>79</xdr:col>
                    <xdr:colOff>123825</xdr:colOff>
                    <xdr:row>17</xdr:row>
                    <xdr:rowOff>514350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8" id="{2CD8A4FD-F928-4979-A569-E9EB8E67C6EC}">
            <xm:f>'운용리스 입력'!$BB$15=FALSE</xm:f>
            <x14:dxf>
              <font>
                <color theme="0"/>
              </font>
            </x14:dxf>
          </x14:cfRule>
          <xm:sqref>AN33:BI36 AN29:BI31 AN25:BI27 AN19:BI23</xm:sqref>
        </x14:conditionalFormatting>
        <x14:conditionalFormatting xmlns:xm="http://schemas.microsoft.com/office/excel/2006/main">
          <x14:cfRule type="expression" priority="16" id="{7C8A83D3-F08B-4434-ABC7-68F936A5BD94}">
            <xm:f>'운용리스 입력'!$BB$15=FALSE</xm:f>
            <x14:dxf>
              <font>
                <color theme="0"/>
              </font>
            </x14:dxf>
          </x14:cfRule>
          <xm:sqref>AN30</xm:sqref>
        </x14:conditionalFormatting>
        <x14:conditionalFormatting xmlns:xm="http://schemas.microsoft.com/office/excel/2006/main">
          <x14:cfRule type="expression" priority="14" id="{A3BACC4A-3452-46F9-9AE7-FC808B01CA1C}">
            <xm:f>'운용리스 입력'!$BB$15=FALSE</xm:f>
            <x14:dxf>
              <font>
                <color theme="0"/>
              </font>
            </x14:dxf>
          </x14:cfRule>
          <xm:sqref>AN31</xm:sqref>
        </x14:conditionalFormatting>
        <x14:conditionalFormatting xmlns:xm="http://schemas.microsoft.com/office/excel/2006/main">
          <x14:cfRule type="expression" priority="6" id="{B712CFE4-D1F7-4CB9-A032-ED6D1E488631}">
            <xm:f>'운용리스 입력'!$BB$15=FALSE</xm:f>
            <x14:dxf>
              <font>
                <color theme="4" tint="0.59996337778862885"/>
              </font>
            </x14:dxf>
          </x14:cfRule>
          <xm:sqref>AN24:BI24 AN28:BI28</xm:sqref>
        </x14:conditionalFormatting>
        <x14:conditionalFormatting xmlns:xm="http://schemas.microsoft.com/office/excel/2006/main">
          <x14:cfRule type="expression" priority="5" id="{0C356D81-0326-4F11-88F4-E4AF75A645F9}">
            <xm:f>'운용리스 입력'!$BB$22=FALSE</xm:f>
            <x14:dxf>
              <font>
                <color theme="0"/>
              </font>
            </x14:dxf>
          </x14:cfRule>
          <xm:sqref>BJ33:CE36 BJ29:CE31 BJ25:CE27 BJ19:CE23</xm:sqref>
        </x14:conditionalFormatting>
        <x14:conditionalFormatting xmlns:xm="http://schemas.microsoft.com/office/excel/2006/main">
          <x14:cfRule type="expression" priority="4" id="{80BC4A38-9306-4BEF-B27A-8607AF0B6597}">
            <xm:f>'운용리스 입력'!$BB$22=FALSE</xm:f>
            <x14:dxf>
              <font>
                <color theme="4" tint="0.59996337778862885"/>
              </font>
            </x14:dxf>
          </x14:cfRule>
          <xm:sqref>BJ24:CE24 BJ28:CE28</xm:sqref>
        </x14:conditionalFormatting>
        <x14:conditionalFormatting xmlns:xm="http://schemas.microsoft.com/office/excel/2006/main">
          <x14:cfRule type="expression" priority="3" id="{D9929310-F1C1-49B5-A21A-06F854635D3F}">
            <xm:f>'운용리스 입력'!$BB$7=TRUE</xm:f>
            <x14:dxf>
              <font>
                <color theme="0"/>
              </font>
            </x14:dxf>
          </x14:cfRule>
          <xm:sqref>R31</xm:sqref>
        </x14:conditionalFormatting>
        <x14:conditionalFormatting xmlns:xm="http://schemas.microsoft.com/office/excel/2006/main">
          <x14:cfRule type="expression" priority="2" id="{A88E4B70-A3A2-4C44-988C-3EB29527E719}">
            <xm:f>'운용리스 입력'!$BB$14=TRUE</xm:f>
            <x14:dxf>
              <font>
                <color theme="0"/>
              </font>
            </x14:dxf>
          </x14:cfRule>
          <xm:sqref>AN31:BI31</xm:sqref>
        </x14:conditionalFormatting>
        <x14:conditionalFormatting xmlns:xm="http://schemas.microsoft.com/office/excel/2006/main">
          <x14:cfRule type="expression" priority="1" id="{6D580EBC-1754-4DE5-894E-43DA24049317}">
            <xm:f>'운용리스 입력'!$BB$21=TRUE</xm:f>
            <x14:dxf>
              <font>
                <color theme="0"/>
              </font>
            </x14:dxf>
          </x14:cfRule>
          <xm:sqref>BJ31:CE31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C00000"/>
    <pageSetUpPr fitToPage="1"/>
  </sheetPr>
  <dimension ref="A1:BK29"/>
  <sheetViews>
    <sheetView zoomScale="90" zoomScaleNormal="90" workbookViewId="0">
      <selection activeCell="D5" sqref="D5:G5"/>
    </sheetView>
  </sheetViews>
  <sheetFormatPr defaultRowHeight="17.25" customHeight="1" x14ac:dyDescent="0.3"/>
  <cols>
    <col min="1" max="1" width="3.875" style="96" customWidth="1"/>
    <col min="2" max="2" width="8.75" style="96" customWidth="1"/>
    <col min="3" max="5" width="9.125" style="96" customWidth="1"/>
    <col min="6" max="6" width="7.375" style="96" customWidth="1"/>
    <col min="7" max="7" width="18.25" style="96" customWidth="1"/>
    <col min="8" max="8" width="4" style="96" customWidth="1"/>
    <col min="9" max="9" width="13.375" style="96" customWidth="1"/>
    <col min="10" max="11" width="7.125" style="96" customWidth="1"/>
    <col min="12" max="12" width="4.125" style="96" customWidth="1"/>
    <col min="13" max="13" width="7.125" style="96" customWidth="1"/>
    <col min="14" max="14" width="7.125" style="97" customWidth="1"/>
    <col min="15" max="15" width="2.625" style="96" customWidth="1"/>
    <col min="16" max="16" width="13.375" style="96" customWidth="1"/>
    <col min="17" max="18" width="7.125" style="96" customWidth="1"/>
    <col min="19" max="19" width="4.125" style="96" customWidth="1"/>
    <col min="20" max="20" width="7.125" style="96" customWidth="1"/>
    <col min="21" max="21" width="7.125" style="97" customWidth="1"/>
    <col min="22" max="22" width="2.625" style="96" customWidth="1"/>
    <col min="23" max="23" width="13.375" style="96" customWidth="1"/>
    <col min="24" max="25" width="7.125" style="96" customWidth="1"/>
    <col min="26" max="26" width="4.125" style="96" customWidth="1"/>
    <col min="27" max="27" width="7.125" style="96" customWidth="1"/>
    <col min="28" max="28" width="7.125" style="97" customWidth="1"/>
    <col min="29" max="29" width="1.375" style="98" customWidth="1"/>
    <col min="30" max="33" width="10.5" style="98" customWidth="1"/>
    <col min="34" max="34" width="9" style="96"/>
    <col min="35" max="35" width="10.5" style="96" bestFit="1" customWidth="1"/>
    <col min="36" max="50" width="9" style="96"/>
    <col min="51" max="51" width="9" style="99"/>
    <col min="52" max="52" width="9.125" style="272" customWidth="1"/>
    <col min="53" max="53" width="9" style="99"/>
    <col min="54" max="54" width="9" style="276"/>
    <col min="55" max="55" width="9" style="99"/>
    <col min="56" max="56" width="9" style="272"/>
    <col min="57" max="57" width="9" style="99"/>
    <col min="58" max="16384" width="9" style="96"/>
  </cols>
  <sheetData>
    <row r="1" spans="1:63" ht="20.25" customHeight="1" thickBot="1" x14ac:dyDescent="0.35">
      <c r="AD1" s="408"/>
    </row>
    <row r="2" spans="1:63" ht="21.75" customHeight="1" thickBot="1" x14ac:dyDescent="0.35">
      <c r="A2" s="100"/>
      <c r="B2" s="631" t="s">
        <v>1431</v>
      </c>
      <c r="C2" s="632"/>
      <c r="D2" s="633" t="s">
        <v>1812</v>
      </c>
      <c r="E2" s="634"/>
      <c r="F2" s="101" t="s">
        <v>1460</v>
      </c>
      <c r="G2" s="102">
        <f ca="1">TODAY()</f>
        <v>45904</v>
      </c>
      <c r="H2" s="100"/>
      <c r="I2" s="151" t="s">
        <v>1321</v>
      </c>
      <c r="J2" s="626" t="str">
        <f>IF(BB7=TRUE,"메리츠캐피탈","고객명")</f>
        <v>메리츠캐피탈</v>
      </c>
      <c r="K2" s="627"/>
      <c r="L2" s="641" t="s">
        <v>1325</v>
      </c>
      <c r="M2" s="641"/>
      <c r="N2" s="642"/>
      <c r="O2" s="100"/>
      <c r="P2" s="151" t="s">
        <v>1321</v>
      </c>
      <c r="Q2" s="626" t="str">
        <f>IF(BB14=TRUE,"메리츠캐피탈","고객명")</f>
        <v>메리츠캐피탈</v>
      </c>
      <c r="R2" s="627"/>
      <c r="S2" s="640" t="s">
        <v>1326</v>
      </c>
      <c r="T2" s="641"/>
      <c r="U2" s="642"/>
      <c r="V2" s="100"/>
      <c r="W2" s="151" t="s">
        <v>1321</v>
      </c>
      <c r="X2" s="639" t="str">
        <f>IF(BB21=TRUE,"메리츠캐피탈","고객명")</f>
        <v>메리츠캐피탈</v>
      </c>
      <c r="Y2" s="639"/>
      <c r="Z2" s="640" t="s">
        <v>1327</v>
      </c>
      <c r="AA2" s="641"/>
      <c r="AB2" s="642"/>
      <c r="AC2" s="103"/>
      <c r="BA2" s="99" t="s">
        <v>1272</v>
      </c>
    </row>
    <row r="3" spans="1:63" ht="9.75" customHeight="1" thickBot="1" x14ac:dyDescent="0.35">
      <c r="A3" s="100"/>
      <c r="H3" s="100"/>
      <c r="I3" s="100"/>
      <c r="J3" s="100"/>
      <c r="K3" s="100"/>
      <c r="L3" s="100"/>
      <c r="M3" s="100"/>
      <c r="N3" s="104"/>
      <c r="O3" s="100"/>
      <c r="P3" s="105"/>
      <c r="Q3" s="100"/>
      <c r="R3" s="100"/>
      <c r="S3" s="100"/>
      <c r="T3" s="100"/>
      <c r="U3" s="104"/>
      <c r="V3" s="100"/>
      <c r="W3" s="105"/>
      <c r="X3" s="100"/>
      <c r="Y3" s="100"/>
      <c r="Z3" s="100"/>
      <c r="AA3" s="100"/>
      <c r="AB3" s="104"/>
      <c r="AC3" s="103"/>
      <c r="BA3" s="99" t="s">
        <v>1273</v>
      </c>
      <c r="BB3" s="276" t="b">
        <v>1</v>
      </c>
    </row>
    <row r="4" spans="1:63" ht="21.75" customHeight="1" x14ac:dyDescent="0.3">
      <c r="A4" s="100"/>
      <c r="B4" s="576" t="s">
        <v>1</v>
      </c>
      <c r="C4" s="577"/>
      <c r="D4" s="630" t="s">
        <v>1696</v>
      </c>
      <c r="E4" s="628"/>
      <c r="F4" s="628"/>
      <c r="G4" s="629"/>
      <c r="H4" s="100"/>
      <c r="I4" s="152" t="s">
        <v>5</v>
      </c>
      <c r="J4" s="630">
        <v>36</v>
      </c>
      <c r="K4" s="628"/>
      <c r="L4" s="628"/>
      <c r="M4" s="628"/>
      <c r="N4" s="629"/>
      <c r="O4" s="100"/>
      <c r="P4" s="152" t="s">
        <v>5</v>
      </c>
      <c r="Q4" s="628">
        <v>48</v>
      </c>
      <c r="R4" s="628"/>
      <c r="S4" s="628"/>
      <c r="T4" s="628"/>
      <c r="U4" s="629"/>
      <c r="V4" s="100"/>
      <c r="W4" s="152" t="s">
        <v>5</v>
      </c>
      <c r="X4" s="628">
        <v>60</v>
      </c>
      <c r="Y4" s="628"/>
      <c r="Z4" s="628"/>
      <c r="AA4" s="628"/>
      <c r="AB4" s="629"/>
      <c r="AC4" s="105"/>
      <c r="AD4" s="106"/>
      <c r="AG4" s="106"/>
      <c r="BA4" s="99" t="s">
        <v>1274</v>
      </c>
      <c r="BB4" s="276" t="b">
        <v>1</v>
      </c>
    </row>
    <row r="5" spans="1:63" ht="21.75" customHeight="1" thickBot="1" x14ac:dyDescent="0.35">
      <c r="A5" s="100"/>
      <c r="B5" s="588" t="s">
        <v>0</v>
      </c>
      <c r="C5" s="589"/>
      <c r="D5" s="585" t="s">
        <v>14</v>
      </c>
      <c r="E5" s="586"/>
      <c r="F5" s="586"/>
      <c r="G5" s="587"/>
      <c r="H5" s="100"/>
      <c r="I5" s="153" t="s">
        <v>6</v>
      </c>
      <c r="J5" s="645">
        <v>20000</v>
      </c>
      <c r="K5" s="646"/>
      <c r="L5" s="646"/>
      <c r="M5" s="646"/>
      <c r="N5" s="647"/>
      <c r="O5" s="100"/>
      <c r="P5" s="153" t="s">
        <v>6</v>
      </c>
      <c r="Q5" s="643">
        <v>20000</v>
      </c>
      <c r="R5" s="643"/>
      <c r="S5" s="643"/>
      <c r="T5" s="643"/>
      <c r="U5" s="644"/>
      <c r="V5" s="100"/>
      <c r="W5" s="153" t="s">
        <v>6</v>
      </c>
      <c r="X5" s="643">
        <v>20000</v>
      </c>
      <c r="Y5" s="643"/>
      <c r="Z5" s="643"/>
      <c r="AA5" s="643"/>
      <c r="AB5" s="644"/>
      <c r="AC5" s="105"/>
      <c r="AD5" s="106"/>
      <c r="AG5" s="106"/>
      <c r="BA5" s="99" t="s">
        <v>1275</v>
      </c>
      <c r="BB5" s="276" t="b">
        <v>1</v>
      </c>
    </row>
    <row r="6" spans="1:63" ht="21.75" customHeight="1" thickBot="1" x14ac:dyDescent="0.35">
      <c r="A6" s="100"/>
      <c r="B6" s="590" t="s">
        <v>1426</v>
      </c>
      <c r="C6" s="591"/>
      <c r="D6" s="592" t="s">
        <v>1811</v>
      </c>
      <c r="E6" s="593"/>
      <c r="F6" s="593"/>
      <c r="G6" s="594"/>
      <c r="H6" s="100"/>
      <c r="I6" s="373"/>
      <c r="J6" s="100"/>
      <c r="K6" s="100"/>
      <c r="L6" s="100"/>
      <c r="M6" s="100"/>
      <c r="N6" s="104"/>
      <c r="O6" s="100"/>
      <c r="P6" s="373"/>
      <c r="Q6" s="100"/>
      <c r="R6" s="100"/>
      <c r="S6" s="100"/>
      <c r="T6" s="100"/>
      <c r="U6" s="104"/>
      <c r="V6" s="100"/>
      <c r="W6" s="373"/>
      <c r="X6" s="100"/>
      <c r="Y6" s="100"/>
      <c r="Z6" s="100"/>
      <c r="AA6" s="100"/>
      <c r="AB6" s="104"/>
      <c r="AC6" s="103"/>
      <c r="BA6" s="99" t="s">
        <v>1276</v>
      </c>
      <c r="BB6" s="276" t="b">
        <v>1</v>
      </c>
      <c r="BF6" s="662" t="s">
        <v>1592</v>
      </c>
      <c r="BG6" s="663"/>
      <c r="BH6" s="626" t="s">
        <v>1593</v>
      </c>
      <c r="BI6" s="639"/>
      <c r="BJ6" s="639"/>
      <c r="BK6" s="627"/>
    </row>
    <row r="7" spans="1:63" ht="21.75" customHeight="1" thickBot="1" x14ac:dyDescent="0.35">
      <c r="A7" s="100"/>
      <c r="B7" s="590" t="s">
        <v>1427</v>
      </c>
      <c r="C7" s="591"/>
      <c r="D7" s="592" t="s">
        <v>1805</v>
      </c>
      <c r="E7" s="593"/>
      <c r="F7" s="593"/>
      <c r="G7" s="594"/>
      <c r="H7" s="100"/>
      <c r="I7" s="152" t="s">
        <v>7</v>
      </c>
      <c r="J7" s="620">
        <v>0</v>
      </c>
      <c r="K7" s="621"/>
      <c r="L7" s="606">
        <f>ROUNDDOWN((D14*J7),-3)</f>
        <v>0</v>
      </c>
      <c r="M7" s="607"/>
      <c r="N7" s="608"/>
      <c r="O7" s="100"/>
      <c r="P7" s="152" t="s">
        <v>7</v>
      </c>
      <c r="Q7" s="620">
        <v>0</v>
      </c>
      <c r="R7" s="621"/>
      <c r="S7" s="606">
        <f>ROUNDDOWN((D14*Q7),-3)</f>
        <v>0</v>
      </c>
      <c r="T7" s="607"/>
      <c r="U7" s="608"/>
      <c r="V7" s="100"/>
      <c r="W7" s="152" t="s">
        <v>7</v>
      </c>
      <c r="X7" s="620">
        <v>0</v>
      </c>
      <c r="Y7" s="621"/>
      <c r="Z7" s="606">
        <f>ROUNDDOWN((D14*X7),-3)</f>
        <v>0</v>
      </c>
      <c r="AA7" s="607"/>
      <c r="AB7" s="608"/>
      <c r="AC7" s="103"/>
      <c r="BA7" s="99" t="s">
        <v>1322</v>
      </c>
      <c r="BB7" s="276" t="b">
        <v>1</v>
      </c>
    </row>
    <row r="8" spans="1:63" ht="21.75" customHeight="1" thickBot="1" x14ac:dyDescent="0.35">
      <c r="A8" s="100"/>
      <c r="B8" s="570" t="s">
        <v>1592</v>
      </c>
      <c r="C8" s="571"/>
      <c r="D8" s="572" t="s">
        <v>1593</v>
      </c>
      <c r="E8" s="573"/>
      <c r="F8" s="573"/>
      <c r="G8" s="574"/>
      <c r="H8" s="100"/>
      <c r="I8" s="154" t="str">
        <f>IF(BB9=TRUE,"% 입력","금액 입력")</f>
        <v>% 입력</v>
      </c>
      <c r="J8" s="622">
        <f>L8/D14</f>
        <v>0.45592705167173253</v>
      </c>
      <c r="K8" s="623"/>
      <c r="L8" s="615">
        <v>30000000</v>
      </c>
      <c r="M8" s="616"/>
      <c r="N8" s="617"/>
      <c r="O8" s="100"/>
      <c r="P8" s="154" t="str">
        <f>IF(BB16=TRUE,"% 입력","금액 입력")</f>
        <v>% 입력</v>
      </c>
      <c r="Q8" s="622">
        <f>S8/D14</f>
        <v>0.45592705167173253</v>
      </c>
      <c r="R8" s="623"/>
      <c r="S8" s="615">
        <v>30000000</v>
      </c>
      <c r="T8" s="616"/>
      <c r="U8" s="617"/>
      <c r="V8" s="100"/>
      <c r="W8" s="154" t="str">
        <f>IF(BB23=TRUE,"% 입력","금액 입력")</f>
        <v>% 입력</v>
      </c>
      <c r="X8" s="622">
        <f>Z8/D14</f>
        <v>0.45592705167173253</v>
      </c>
      <c r="Y8" s="623"/>
      <c r="Z8" s="615">
        <v>30000000</v>
      </c>
      <c r="AA8" s="616"/>
      <c r="AB8" s="617"/>
      <c r="AC8" s="103"/>
      <c r="AE8" s="107"/>
      <c r="BA8" s="99" t="s">
        <v>1277</v>
      </c>
      <c r="BB8" s="276" t="b">
        <v>0</v>
      </c>
    </row>
    <row r="9" spans="1:63" ht="21.75" customHeight="1" thickBot="1" x14ac:dyDescent="0.35">
      <c r="A9" s="100"/>
      <c r="B9" s="660" t="s">
        <v>11</v>
      </c>
      <c r="C9" s="661"/>
      <c r="D9" s="657">
        <f>'운용리스 내부'!D8</f>
        <v>0</v>
      </c>
      <c r="E9" s="658"/>
      <c r="F9" s="658"/>
      <c r="G9" s="659"/>
      <c r="H9" s="100"/>
      <c r="I9" s="152" t="s">
        <v>1286</v>
      </c>
      <c r="J9" s="620">
        <v>0</v>
      </c>
      <c r="K9" s="621"/>
      <c r="L9" s="606">
        <f>ROUNDDOWN((D14*J9),-3)</f>
        <v>0</v>
      </c>
      <c r="M9" s="607"/>
      <c r="N9" s="608"/>
      <c r="O9" s="100"/>
      <c r="P9" s="152" t="s">
        <v>1286</v>
      </c>
      <c r="Q9" s="620">
        <v>0</v>
      </c>
      <c r="R9" s="621"/>
      <c r="S9" s="606">
        <f>ROUNDDOWN((D14*Q9),-3)</f>
        <v>0</v>
      </c>
      <c r="T9" s="607"/>
      <c r="U9" s="608"/>
      <c r="V9" s="100"/>
      <c r="W9" s="152" t="s">
        <v>1286</v>
      </c>
      <c r="X9" s="620">
        <v>0</v>
      </c>
      <c r="Y9" s="621"/>
      <c r="Z9" s="606">
        <f>ROUNDDOWN((D14*X9),-3)</f>
        <v>0</v>
      </c>
      <c r="AA9" s="607"/>
      <c r="AB9" s="608"/>
      <c r="AC9" s="103"/>
      <c r="BA9" s="99" t="s">
        <v>1280</v>
      </c>
      <c r="BB9" s="276" t="b">
        <v>1</v>
      </c>
    </row>
    <row r="10" spans="1:63" ht="21.75" customHeight="1" thickBot="1" x14ac:dyDescent="0.35">
      <c r="A10" s="100"/>
      <c r="B10" s="575" t="str">
        <f>IF(AND(D8="25MY",'운용리스 내부'!X1=1%),"고잔가 프로모션 대상차종 (주행거리 10,000KM, 15,000KM 가능)","")</f>
        <v/>
      </c>
      <c r="C10" s="575"/>
      <c r="D10" s="575"/>
      <c r="E10" s="575"/>
      <c r="F10" s="575"/>
      <c r="G10" s="575"/>
      <c r="H10" s="100"/>
      <c r="I10" s="155" t="str">
        <f>IF(BB10=TRUE,"% 입력","금액 입력")</f>
        <v>% 입력</v>
      </c>
      <c r="J10" s="622">
        <f>L10/D14</f>
        <v>0</v>
      </c>
      <c r="K10" s="623"/>
      <c r="L10" s="615">
        <v>0</v>
      </c>
      <c r="M10" s="616"/>
      <c r="N10" s="617"/>
      <c r="O10" s="100"/>
      <c r="P10" s="155" t="str">
        <f>IF(BB17=TRUE,"% 입력","금액 입력")</f>
        <v>% 입력</v>
      </c>
      <c r="Q10" s="622">
        <f>S10/D14</f>
        <v>0</v>
      </c>
      <c r="R10" s="623"/>
      <c r="S10" s="615">
        <v>0</v>
      </c>
      <c r="T10" s="616"/>
      <c r="U10" s="617"/>
      <c r="V10" s="100"/>
      <c r="W10" s="155" t="str">
        <f>IF(BB24=TRUE,"% 입력","금액 입력")</f>
        <v>% 입력</v>
      </c>
      <c r="X10" s="622">
        <f>Z10/D14</f>
        <v>0</v>
      </c>
      <c r="Y10" s="623"/>
      <c r="Z10" s="615">
        <v>0</v>
      </c>
      <c r="AA10" s="616"/>
      <c r="AB10" s="617"/>
      <c r="AC10" s="103"/>
      <c r="BA10" s="99" t="s">
        <v>1318</v>
      </c>
      <c r="BB10" s="276" t="b">
        <v>1</v>
      </c>
    </row>
    <row r="11" spans="1:63" ht="21.75" customHeight="1" x14ac:dyDescent="0.3">
      <c r="A11" s="100"/>
      <c r="B11" s="576" t="s">
        <v>1428</v>
      </c>
      <c r="C11" s="577"/>
      <c r="D11" s="578">
        <v>65800000</v>
      </c>
      <c r="E11" s="579"/>
      <c r="F11" s="579"/>
      <c r="G11" s="580"/>
      <c r="H11" s="100"/>
      <c r="I11" s="152" t="s">
        <v>8</v>
      </c>
      <c r="J11" s="620">
        <v>0.63</v>
      </c>
      <c r="K11" s="621"/>
      <c r="L11" s="606">
        <f>ROUNDDOWN((D14*J11),-3)</f>
        <v>41454000</v>
      </c>
      <c r="M11" s="607"/>
      <c r="N11" s="608"/>
      <c r="O11" s="100"/>
      <c r="P11" s="152" t="s">
        <v>8</v>
      </c>
      <c r="Q11" s="620">
        <v>0.55000000000000004</v>
      </c>
      <c r="R11" s="621"/>
      <c r="S11" s="606">
        <f>ROUNDDOWN((D14*Q11),-3)</f>
        <v>36190000</v>
      </c>
      <c r="T11" s="607"/>
      <c r="U11" s="608"/>
      <c r="V11" s="100"/>
      <c r="W11" s="152" t="s">
        <v>8</v>
      </c>
      <c r="X11" s="620">
        <v>0.49</v>
      </c>
      <c r="Y11" s="621"/>
      <c r="Z11" s="606">
        <f>ROUNDDOWN((D14*X11),-3)</f>
        <v>32242000</v>
      </c>
      <c r="AA11" s="607"/>
      <c r="AB11" s="608"/>
      <c r="AC11" s="103"/>
      <c r="BA11" s="99" t="s">
        <v>1281</v>
      </c>
      <c r="BB11" s="276" t="b">
        <v>1</v>
      </c>
    </row>
    <row r="12" spans="1:63" ht="21.75" customHeight="1" thickBot="1" x14ac:dyDescent="0.35">
      <c r="A12" s="100"/>
      <c r="B12" s="590" t="s">
        <v>1390</v>
      </c>
      <c r="C12" s="591"/>
      <c r="D12" s="581">
        <v>0</v>
      </c>
      <c r="E12" s="582"/>
      <c r="F12" s="582"/>
      <c r="G12" s="583"/>
      <c r="H12" s="100"/>
      <c r="I12" s="155" t="str">
        <f>IF(BB11=TRUE,"% 입력","금액 입력")</f>
        <v>% 입력</v>
      </c>
      <c r="J12" s="622">
        <f>L12/D14</f>
        <v>0</v>
      </c>
      <c r="K12" s="623"/>
      <c r="L12" s="615">
        <v>0</v>
      </c>
      <c r="M12" s="616"/>
      <c r="N12" s="617"/>
      <c r="O12" s="100"/>
      <c r="P12" s="155" t="str">
        <f>IF(BB18=TRUE,"% 입력","금액 입력")</f>
        <v>% 입력</v>
      </c>
      <c r="Q12" s="622">
        <f>S12/D14</f>
        <v>0</v>
      </c>
      <c r="R12" s="623"/>
      <c r="S12" s="615">
        <v>0</v>
      </c>
      <c r="T12" s="616"/>
      <c r="U12" s="617"/>
      <c r="V12" s="100"/>
      <c r="W12" s="155" t="str">
        <f>IF(BB25=TRUE,"% 입력","금액 입력")</f>
        <v>% 입력</v>
      </c>
      <c r="X12" s="622">
        <f>Z12/D14</f>
        <v>0.45592705167173253</v>
      </c>
      <c r="Y12" s="623"/>
      <c r="Z12" s="615">
        <v>30000000</v>
      </c>
      <c r="AA12" s="616"/>
      <c r="AB12" s="617"/>
      <c r="AC12" s="103"/>
      <c r="BA12" s="99" t="s">
        <v>1375</v>
      </c>
      <c r="BB12" s="276" t="b">
        <v>0</v>
      </c>
    </row>
    <row r="13" spans="1:63" ht="21.75" customHeight="1" thickBot="1" x14ac:dyDescent="0.35">
      <c r="A13" s="100"/>
      <c r="B13" s="660" t="s">
        <v>1391</v>
      </c>
      <c r="C13" s="661"/>
      <c r="D13" s="664">
        <v>0</v>
      </c>
      <c r="E13" s="665"/>
      <c r="F13" s="665"/>
      <c r="G13" s="666"/>
      <c r="H13" s="100"/>
      <c r="I13" s="154" t="s">
        <v>1374</v>
      </c>
      <c r="J13" s="618">
        <v>0</v>
      </c>
      <c r="K13" s="619"/>
      <c r="L13" s="612">
        <f>$D$14*J13</f>
        <v>0</v>
      </c>
      <c r="M13" s="613"/>
      <c r="N13" s="614"/>
      <c r="O13" s="100"/>
      <c r="P13" s="154" t="s">
        <v>1374</v>
      </c>
      <c r="Q13" s="618">
        <v>0</v>
      </c>
      <c r="R13" s="619"/>
      <c r="S13" s="612">
        <f>$D$14*Q13</f>
        <v>0</v>
      </c>
      <c r="T13" s="613"/>
      <c r="U13" s="614"/>
      <c r="V13" s="100"/>
      <c r="W13" s="154" t="s">
        <v>1374</v>
      </c>
      <c r="X13" s="618">
        <v>0</v>
      </c>
      <c r="Y13" s="619"/>
      <c r="Z13" s="612">
        <f>$D$14*X13</f>
        <v>0</v>
      </c>
      <c r="AA13" s="613"/>
      <c r="AB13" s="614"/>
      <c r="AC13" s="103"/>
      <c r="BA13" s="99" t="s">
        <v>1371</v>
      </c>
      <c r="BB13" s="276" t="b">
        <v>0</v>
      </c>
    </row>
    <row r="14" spans="1:63" ht="21.75" customHeight="1" thickTop="1" thickBot="1" x14ac:dyDescent="0.35">
      <c r="A14" s="100"/>
      <c r="B14" s="568" t="s">
        <v>1429</v>
      </c>
      <c r="C14" s="569"/>
      <c r="D14" s="565">
        <f>D11+D12-D13</f>
        <v>65800000</v>
      </c>
      <c r="E14" s="566"/>
      <c r="F14" s="566"/>
      <c r="G14" s="567"/>
      <c r="H14" s="100"/>
      <c r="I14" s="156" t="s">
        <v>220</v>
      </c>
      <c r="J14" s="667">
        <f>'운용리스 내부'!H9</f>
        <v>0.62999999999999989</v>
      </c>
      <c r="K14" s="668"/>
      <c r="L14" s="595">
        <f>'운용리스 내부'!I9</f>
        <v>41454000</v>
      </c>
      <c r="M14" s="596"/>
      <c r="N14" s="597"/>
      <c r="O14" s="100"/>
      <c r="P14" s="156" t="s">
        <v>220</v>
      </c>
      <c r="Q14" s="667">
        <f>'운용리스 내부'!M9</f>
        <v>0.55000000000000004</v>
      </c>
      <c r="R14" s="668"/>
      <c r="S14" s="595">
        <f>'운용리스 내부'!N9</f>
        <v>36190000</v>
      </c>
      <c r="T14" s="596"/>
      <c r="U14" s="597"/>
      <c r="V14" s="100"/>
      <c r="W14" s="162" t="s">
        <v>220</v>
      </c>
      <c r="X14" s="667">
        <f>'운용리스 내부'!R9</f>
        <v>0.49000000000000005</v>
      </c>
      <c r="Y14" s="668"/>
      <c r="Z14" s="595">
        <f>'운용리스 내부'!S9</f>
        <v>32242000</v>
      </c>
      <c r="AA14" s="596"/>
      <c r="AB14" s="597"/>
      <c r="AC14" s="103"/>
      <c r="BA14" s="99" t="s">
        <v>1323</v>
      </c>
      <c r="BB14" s="276" t="b">
        <v>1</v>
      </c>
    </row>
    <row r="15" spans="1:63" ht="21.75" customHeight="1" thickBot="1" x14ac:dyDescent="0.35">
      <c r="A15" s="100"/>
      <c r="B15" s="584" t="str">
        <f>IF(OR(D8="23MY",D8="24MY"),"차량 최대할인 입력필수 / 미입력시 진행 불가","")</f>
        <v/>
      </c>
      <c r="C15" s="584"/>
      <c r="D15" s="584"/>
      <c r="E15" s="584"/>
      <c r="F15" s="584"/>
      <c r="G15" s="584"/>
      <c r="H15" s="100"/>
      <c r="I15" s="157" t="s">
        <v>221</v>
      </c>
      <c r="J15" s="601">
        <f>'운용리스 내부'!H10</f>
        <v>0.3</v>
      </c>
      <c r="K15" s="602"/>
      <c r="L15" s="603">
        <f>'운용리스 내부'!I10</f>
        <v>19740000</v>
      </c>
      <c r="M15" s="604"/>
      <c r="N15" s="605"/>
      <c r="O15" s="100"/>
      <c r="P15" s="157" t="s">
        <v>221</v>
      </c>
      <c r="Q15" s="601">
        <f>'운용리스 내부'!M10</f>
        <v>0.2</v>
      </c>
      <c r="R15" s="602"/>
      <c r="S15" s="603">
        <f>'운용리스 내부'!N10</f>
        <v>13160000</v>
      </c>
      <c r="T15" s="604"/>
      <c r="U15" s="605"/>
      <c r="V15" s="100"/>
      <c r="W15" s="153" t="s">
        <v>221</v>
      </c>
      <c r="X15" s="601">
        <f>'운용리스 내부'!R10</f>
        <v>0.15</v>
      </c>
      <c r="Y15" s="602"/>
      <c r="Z15" s="603">
        <f>'운용리스 내부'!S10</f>
        <v>9870000</v>
      </c>
      <c r="AA15" s="604"/>
      <c r="AB15" s="605"/>
      <c r="AC15" s="103"/>
      <c r="BA15" s="99" t="s">
        <v>1278</v>
      </c>
      <c r="BB15" s="276" t="b">
        <v>1</v>
      </c>
    </row>
    <row r="16" spans="1:63" ht="21.75" customHeight="1" thickBot="1" x14ac:dyDescent="0.35">
      <c r="A16" s="100"/>
      <c r="B16" s="164" t="s">
        <v>1387</v>
      </c>
      <c r="C16" s="165" t="str">
        <f>IF(BB3=TRUE,"포함","미포함")</f>
        <v>포함</v>
      </c>
      <c r="D16" s="624">
        <f>취득세!C6</f>
        <v>4187270</v>
      </c>
      <c r="E16" s="607"/>
      <c r="F16" s="607"/>
      <c r="G16" s="608"/>
      <c r="H16" s="100"/>
      <c r="I16" s="100"/>
      <c r="J16" s="100"/>
      <c r="K16" s="100"/>
      <c r="L16" s="100"/>
      <c r="M16" s="100"/>
      <c r="N16" s="104"/>
      <c r="O16" s="100"/>
      <c r="P16" s="100"/>
      <c r="Q16" s="100"/>
      <c r="R16" s="100"/>
      <c r="S16" s="100"/>
      <c r="T16" s="100"/>
      <c r="U16" s="104"/>
      <c r="V16" s="100"/>
      <c r="W16" s="100"/>
      <c r="X16" s="100"/>
      <c r="Y16" s="100"/>
      <c r="Z16" s="100"/>
      <c r="AA16" s="100"/>
      <c r="AB16" s="104"/>
      <c r="AC16" s="103"/>
      <c r="BA16" s="99" t="s">
        <v>1282</v>
      </c>
      <c r="BB16" s="276" t="b">
        <v>1</v>
      </c>
    </row>
    <row r="17" spans="1:54" ht="21.75" customHeight="1" thickBot="1" x14ac:dyDescent="0.35">
      <c r="A17" s="100"/>
      <c r="B17" s="558" t="s">
        <v>2</v>
      </c>
      <c r="C17" s="560" t="str">
        <f>IF(BB4=TRUE,"포함","미포함")</f>
        <v>포함</v>
      </c>
      <c r="D17" s="363" t="s">
        <v>1424</v>
      </c>
      <c r="E17" s="625" t="s">
        <v>1414</v>
      </c>
      <c r="F17" s="593"/>
      <c r="G17" s="594"/>
      <c r="H17" s="100"/>
      <c r="I17" s="151" t="s">
        <v>1586</v>
      </c>
      <c r="J17" s="609">
        <v>0</v>
      </c>
      <c r="K17" s="610"/>
      <c r="L17" s="610"/>
      <c r="M17" s="610"/>
      <c r="N17" s="611"/>
      <c r="P17" s="151" t="s">
        <v>1586</v>
      </c>
      <c r="Q17" s="609">
        <v>0</v>
      </c>
      <c r="R17" s="610"/>
      <c r="S17" s="610"/>
      <c r="T17" s="610"/>
      <c r="U17" s="611"/>
      <c r="W17" s="151" t="s">
        <v>1586</v>
      </c>
      <c r="X17" s="609">
        <v>0</v>
      </c>
      <c r="Y17" s="610"/>
      <c r="Z17" s="610"/>
      <c r="AA17" s="610"/>
      <c r="AB17" s="611"/>
      <c r="AC17" s="103"/>
      <c r="AD17" s="347" t="str">
        <f>IF(취득세!B6="전기","&gt; 전기차 보조금 딜러사 확인 후 입력","")</f>
        <v/>
      </c>
      <c r="BA17" s="99" t="s">
        <v>1319</v>
      </c>
      <c r="BB17" s="276" t="b">
        <v>1</v>
      </c>
    </row>
    <row r="18" spans="1:54" ht="21.75" customHeight="1" thickBot="1" x14ac:dyDescent="0.35">
      <c r="A18" s="100"/>
      <c r="B18" s="559"/>
      <c r="C18" s="561"/>
      <c r="D18" s="109" t="s">
        <v>1425</v>
      </c>
      <c r="E18" s="178">
        <v>0</v>
      </c>
      <c r="F18" s="556">
        <f>'공채&amp;차세'!F4</f>
        <v>0</v>
      </c>
      <c r="G18" s="557"/>
      <c r="H18" s="100"/>
      <c r="I18" s="151" t="s">
        <v>1314</v>
      </c>
      <c r="J18" s="598">
        <v>0</v>
      </c>
      <c r="K18" s="599"/>
      <c r="L18" s="599"/>
      <c r="M18" s="599"/>
      <c r="N18" s="600"/>
      <c r="O18" s="100"/>
      <c r="P18" s="151" t="s">
        <v>1314</v>
      </c>
      <c r="Q18" s="598">
        <v>0</v>
      </c>
      <c r="R18" s="599"/>
      <c r="S18" s="599"/>
      <c r="T18" s="599"/>
      <c r="U18" s="600"/>
      <c r="V18" s="100"/>
      <c r="W18" s="151" t="s">
        <v>1314</v>
      </c>
      <c r="X18" s="598">
        <v>0</v>
      </c>
      <c r="Y18" s="599"/>
      <c r="Z18" s="599"/>
      <c r="AA18" s="599"/>
      <c r="AB18" s="600"/>
      <c r="AC18" s="103"/>
      <c r="BA18" s="99" t="s">
        <v>1283</v>
      </c>
      <c r="BB18" s="276" t="b">
        <v>1</v>
      </c>
    </row>
    <row r="19" spans="1:54" ht="21.75" customHeight="1" thickBot="1" x14ac:dyDescent="0.35">
      <c r="A19" s="100"/>
      <c r="B19" s="166" t="s">
        <v>4</v>
      </c>
      <c r="C19" s="167" t="str">
        <f>IF(BB5=TRUE,"포함","미포함")</f>
        <v>포함</v>
      </c>
      <c r="D19" s="581">
        <v>0</v>
      </c>
      <c r="E19" s="582"/>
      <c r="F19" s="582"/>
      <c r="G19" s="583"/>
      <c r="H19" s="100"/>
      <c r="I19" s="648" t="s">
        <v>1740</v>
      </c>
      <c r="J19" s="649"/>
      <c r="K19" s="649"/>
      <c r="L19" s="649"/>
      <c r="M19" s="649"/>
      <c r="N19" s="650"/>
      <c r="P19" s="648" t="s">
        <v>1740</v>
      </c>
      <c r="Q19" s="649"/>
      <c r="R19" s="649"/>
      <c r="S19" s="649"/>
      <c r="T19" s="649"/>
      <c r="U19" s="650"/>
      <c r="W19" s="648" t="s">
        <v>1740</v>
      </c>
      <c r="X19" s="649"/>
      <c r="Y19" s="649"/>
      <c r="Z19" s="649"/>
      <c r="AA19" s="649"/>
      <c r="AB19" s="650"/>
      <c r="AC19" s="103"/>
      <c r="BA19" s="99" t="s">
        <v>1376</v>
      </c>
      <c r="BB19" s="276" t="b">
        <v>0</v>
      </c>
    </row>
    <row r="20" spans="1:54" ht="21.75" customHeight="1" thickBot="1" x14ac:dyDescent="0.35">
      <c r="A20" s="100"/>
      <c r="B20" s="168" t="s">
        <v>3</v>
      </c>
      <c r="C20" s="169" t="str">
        <f>IF(BB6=TRUE,"포함","미포함")</f>
        <v>포함</v>
      </c>
      <c r="D20" s="664">
        <v>100000</v>
      </c>
      <c r="E20" s="665"/>
      <c r="F20" s="665"/>
      <c r="G20" s="666"/>
      <c r="H20" s="100"/>
      <c r="I20" s="151" t="s">
        <v>1464</v>
      </c>
      <c r="J20" s="682">
        <f>'운용리스 내부'!I14</f>
        <v>0.1</v>
      </c>
      <c r="K20" s="683"/>
      <c r="L20" s="683"/>
      <c r="M20" s="683"/>
      <c r="N20" s="684"/>
      <c r="O20" s="100"/>
      <c r="P20" s="151" t="s">
        <v>1464</v>
      </c>
      <c r="Q20" s="682">
        <f>'운용리스 내부'!N14</f>
        <v>0.1</v>
      </c>
      <c r="R20" s="683"/>
      <c r="S20" s="683"/>
      <c r="T20" s="683"/>
      <c r="U20" s="684"/>
      <c r="V20" s="100"/>
      <c r="W20" s="151" t="s">
        <v>1464</v>
      </c>
      <c r="X20" s="682">
        <f>'운용리스 내부'!S14</f>
        <v>0.1</v>
      </c>
      <c r="Y20" s="683"/>
      <c r="Z20" s="683"/>
      <c r="AA20" s="683"/>
      <c r="AB20" s="684"/>
      <c r="AC20" s="103"/>
      <c r="BA20" s="99" t="s">
        <v>1372</v>
      </c>
      <c r="BB20" s="276" t="b">
        <v>0</v>
      </c>
    </row>
    <row r="21" spans="1:54" ht="21.75" customHeight="1" thickBot="1" x14ac:dyDescent="0.35">
      <c r="A21" s="100"/>
      <c r="B21" s="568" t="s">
        <v>1434</v>
      </c>
      <c r="C21" s="569"/>
      <c r="D21" s="562">
        <f>IF(C16="포함",D16,0)+IF(C17="포함",F18,0)+IF(C19="포함",D19,0)+IF(C20="포함",D20,0)</f>
        <v>4287270</v>
      </c>
      <c r="E21" s="563"/>
      <c r="F21" s="563"/>
      <c r="G21" s="564"/>
      <c r="H21" s="100"/>
      <c r="I21" s="152" t="s">
        <v>1307</v>
      </c>
      <c r="J21" s="685">
        <v>0</v>
      </c>
      <c r="K21" s="686"/>
      <c r="L21" s="606">
        <f>'운용리스 내부'!I15</f>
        <v>0</v>
      </c>
      <c r="M21" s="607"/>
      <c r="N21" s="608"/>
      <c r="O21" s="100"/>
      <c r="P21" s="152" t="s">
        <v>1307</v>
      </c>
      <c r="Q21" s="678">
        <v>0</v>
      </c>
      <c r="R21" s="679"/>
      <c r="S21" s="606">
        <f>'운용리스 내부'!N15</f>
        <v>0</v>
      </c>
      <c r="T21" s="607"/>
      <c r="U21" s="608"/>
      <c r="V21" s="100"/>
      <c r="W21" s="152" t="s">
        <v>1307</v>
      </c>
      <c r="X21" s="678">
        <v>0</v>
      </c>
      <c r="Y21" s="679"/>
      <c r="Z21" s="606">
        <f>'운용리스 내부'!S15</f>
        <v>0</v>
      </c>
      <c r="AA21" s="607"/>
      <c r="AB21" s="608"/>
      <c r="AC21" s="103"/>
      <c r="BA21" s="99" t="s">
        <v>1324</v>
      </c>
      <c r="BB21" s="276" t="b">
        <v>1</v>
      </c>
    </row>
    <row r="22" spans="1:54" ht="21.75" customHeight="1" thickBot="1" x14ac:dyDescent="0.35">
      <c r="A22" s="100"/>
      <c r="B22" s="108"/>
      <c r="C22" s="108"/>
      <c r="D22" s="108"/>
      <c r="E22" s="108"/>
      <c r="F22" s="108"/>
      <c r="G22" s="370"/>
      <c r="H22" s="100"/>
      <c r="I22" s="153" t="s">
        <v>1308</v>
      </c>
      <c r="J22" s="687">
        <v>0</v>
      </c>
      <c r="K22" s="688"/>
      <c r="L22" s="603">
        <f>'운용리스 내부'!I16</f>
        <v>0</v>
      </c>
      <c r="M22" s="604"/>
      <c r="N22" s="605"/>
      <c r="O22" s="100"/>
      <c r="P22" s="153" t="s">
        <v>1308</v>
      </c>
      <c r="Q22" s="680">
        <v>0</v>
      </c>
      <c r="R22" s="681"/>
      <c r="S22" s="603">
        <f>'운용리스 내부'!N16</f>
        <v>0</v>
      </c>
      <c r="T22" s="604"/>
      <c r="U22" s="605"/>
      <c r="V22" s="100"/>
      <c r="W22" s="153" t="s">
        <v>1308</v>
      </c>
      <c r="X22" s="680">
        <v>0</v>
      </c>
      <c r="Y22" s="681"/>
      <c r="Z22" s="603">
        <f>'운용리스 내부'!S16</f>
        <v>0</v>
      </c>
      <c r="AA22" s="604"/>
      <c r="AB22" s="605"/>
      <c r="AC22" s="103"/>
      <c r="BA22" s="99" t="s">
        <v>1279</v>
      </c>
      <c r="BB22" s="276" t="b">
        <v>1</v>
      </c>
    </row>
    <row r="23" spans="1:54" ht="21.75" customHeight="1" thickBot="1" x14ac:dyDescent="0.35">
      <c r="A23" s="100"/>
      <c r="B23" s="568" t="s">
        <v>1430</v>
      </c>
      <c r="C23" s="569"/>
      <c r="D23" s="565">
        <f>D14+D21</f>
        <v>70087270</v>
      </c>
      <c r="E23" s="566"/>
      <c r="F23" s="566"/>
      <c r="G23" s="567"/>
      <c r="H23" s="100"/>
      <c r="I23" s="236"/>
      <c r="J23" s="635"/>
      <c r="K23" s="636"/>
      <c r="L23" s="637"/>
      <c r="M23" s="638"/>
      <c r="N23" s="638"/>
      <c r="O23" s="100"/>
      <c r="P23" s="236"/>
      <c r="Q23" s="635"/>
      <c r="R23" s="636"/>
      <c r="S23" s="637"/>
      <c r="T23" s="638"/>
      <c r="U23" s="638"/>
      <c r="V23" s="100"/>
      <c r="W23" s="236"/>
      <c r="X23" s="635"/>
      <c r="Y23" s="636"/>
      <c r="Z23" s="637"/>
      <c r="AA23" s="638"/>
      <c r="AB23" s="638"/>
      <c r="AC23" s="103"/>
      <c r="BA23" s="99" t="s">
        <v>1284</v>
      </c>
      <c r="BB23" s="276" t="b">
        <v>1</v>
      </c>
    </row>
    <row r="24" spans="1:54" ht="21.75" customHeight="1" thickBot="1" x14ac:dyDescent="0.35">
      <c r="A24" s="100"/>
      <c r="B24" s="106"/>
      <c r="C24" s="106"/>
      <c r="D24" s="106"/>
      <c r="E24" s="106"/>
      <c r="F24" s="106"/>
      <c r="G24" s="106"/>
      <c r="H24" s="100"/>
      <c r="I24" s="159" t="s">
        <v>222</v>
      </c>
      <c r="J24" s="624">
        <f>'운용리스 내부'!H27</f>
        <v>1079400</v>
      </c>
      <c r="K24" s="607"/>
      <c r="L24" s="607"/>
      <c r="M24" s="607"/>
      <c r="N24" s="608"/>
      <c r="O24" s="100"/>
      <c r="P24" s="159" t="s">
        <v>222</v>
      </c>
      <c r="Q24" s="624">
        <f>'운용리스 내부'!M27</f>
        <v>971000</v>
      </c>
      <c r="R24" s="607"/>
      <c r="S24" s="607"/>
      <c r="T24" s="607"/>
      <c r="U24" s="608"/>
      <c r="V24" s="100"/>
      <c r="W24" s="159" t="s">
        <v>222</v>
      </c>
      <c r="X24" s="624">
        <f>'운용리스 내부'!R27</f>
        <v>882700</v>
      </c>
      <c r="Y24" s="607"/>
      <c r="Z24" s="607"/>
      <c r="AA24" s="607"/>
      <c r="AB24" s="608"/>
      <c r="AC24" s="103"/>
      <c r="BA24" s="99" t="s">
        <v>1320</v>
      </c>
      <c r="BB24" s="276" t="b">
        <v>1</v>
      </c>
    </row>
    <row r="25" spans="1:54" ht="21.75" customHeight="1" thickBot="1" x14ac:dyDescent="0.35">
      <c r="A25" s="100"/>
      <c r="B25" s="662" t="s">
        <v>1385</v>
      </c>
      <c r="C25" s="663"/>
      <c r="D25" s="669" t="s">
        <v>1537</v>
      </c>
      <c r="E25" s="670"/>
      <c r="F25" s="670"/>
      <c r="G25" s="671"/>
      <c r="H25" s="100"/>
      <c r="I25" s="160" t="s">
        <v>10</v>
      </c>
      <c r="J25" s="654">
        <f>'운용리스 내부'!H28</f>
        <v>0</v>
      </c>
      <c r="K25" s="655"/>
      <c r="L25" s="655"/>
      <c r="M25" s="655"/>
      <c r="N25" s="557"/>
      <c r="O25" s="100"/>
      <c r="P25" s="160" t="s">
        <v>10</v>
      </c>
      <c r="Q25" s="654">
        <f>'운용리스 내부'!M28</f>
        <v>0</v>
      </c>
      <c r="R25" s="655"/>
      <c r="S25" s="655"/>
      <c r="T25" s="655"/>
      <c r="U25" s="557"/>
      <c r="V25" s="100"/>
      <c r="W25" s="160" t="s">
        <v>10</v>
      </c>
      <c r="X25" s="654">
        <f>'운용리스 내부'!R28</f>
        <v>0</v>
      </c>
      <c r="Y25" s="655"/>
      <c r="Z25" s="655"/>
      <c r="AA25" s="655"/>
      <c r="AB25" s="557"/>
      <c r="AC25" s="103"/>
      <c r="BA25" s="99" t="s">
        <v>1285</v>
      </c>
      <c r="BB25" s="276" t="b">
        <v>1</v>
      </c>
    </row>
    <row r="26" spans="1:54" ht="21.75" customHeight="1" thickBot="1" x14ac:dyDescent="0.35">
      <c r="A26" s="100"/>
      <c r="B26" s="662" t="s">
        <v>1535</v>
      </c>
      <c r="C26" s="663"/>
      <c r="D26" s="669" t="s">
        <v>1536</v>
      </c>
      <c r="E26" s="670"/>
      <c r="F26" s="670"/>
      <c r="G26" s="671"/>
      <c r="H26" s="100"/>
      <c r="I26" s="161" t="s">
        <v>1313</v>
      </c>
      <c r="J26" s="656">
        <f>'운용리스 내부'!H29</f>
        <v>0</v>
      </c>
      <c r="K26" s="604"/>
      <c r="L26" s="604"/>
      <c r="M26" s="604"/>
      <c r="N26" s="605"/>
      <c r="O26" s="110"/>
      <c r="P26" s="161" t="s">
        <v>1313</v>
      </c>
      <c r="Q26" s="656">
        <f>'운용리스 내부'!M29</f>
        <v>0</v>
      </c>
      <c r="R26" s="604"/>
      <c r="S26" s="604"/>
      <c r="T26" s="604"/>
      <c r="U26" s="605"/>
      <c r="V26" s="110"/>
      <c r="W26" s="161" t="s">
        <v>1313</v>
      </c>
      <c r="X26" s="656">
        <f>'운용리스 내부'!R29</f>
        <v>0</v>
      </c>
      <c r="Y26" s="604"/>
      <c r="Z26" s="604"/>
      <c r="AA26" s="604"/>
      <c r="AB26" s="605"/>
      <c r="AC26" s="103"/>
      <c r="BA26" s="99" t="s">
        <v>1377</v>
      </c>
      <c r="BB26" s="276" t="b">
        <v>0</v>
      </c>
    </row>
    <row r="27" spans="1:54" ht="21.75" customHeight="1" thickBot="1" x14ac:dyDescent="0.35">
      <c r="A27" s="100"/>
      <c r="B27" s="672" t="s">
        <v>1591</v>
      </c>
      <c r="C27" s="673"/>
      <c r="D27" s="673"/>
      <c r="E27" s="673"/>
      <c r="F27" s="673"/>
      <c r="G27" s="674"/>
      <c r="H27" s="100"/>
      <c r="I27" s="111" t="s">
        <v>223</v>
      </c>
      <c r="J27" s="562">
        <f>IF('운용리스 내부'!H30="",'운용리스 내부'!J30,'운용리스 내부'!H30)</f>
        <v>1079400</v>
      </c>
      <c r="K27" s="563"/>
      <c r="L27" s="563"/>
      <c r="M27" s="563"/>
      <c r="N27" s="564"/>
      <c r="O27" s="100"/>
      <c r="P27" s="111" t="s">
        <v>223</v>
      </c>
      <c r="Q27" s="562">
        <f>IF('운용리스 내부'!M30="",'운용리스 내부'!O30,'운용리스 내부'!M30)</f>
        <v>971000</v>
      </c>
      <c r="R27" s="563"/>
      <c r="S27" s="563"/>
      <c r="T27" s="563"/>
      <c r="U27" s="564"/>
      <c r="V27" s="100"/>
      <c r="W27" s="111" t="s">
        <v>223</v>
      </c>
      <c r="X27" s="562">
        <f>IF('운용리스 내부'!R30="",'운용리스 내부'!T30,'운용리스 내부'!R30)</f>
        <v>882700</v>
      </c>
      <c r="Y27" s="563"/>
      <c r="Z27" s="563"/>
      <c r="AA27" s="563"/>
      <c r="AB27" s="564"/>
      <c r="AC27" s="103"/>
      <c r="BA27" s="99" t="s">
        <v>1373</v>
      </c>
      <c r="BB27" s="276" t="b">
        <v>0</v>
      </c>
    </row>
    <row r="28" spans="1:54" ht="21.75" customHeight="1" thickBot="1" x14ac:dyDescent="0.35">
      <c r="A28" s="100"/>
      <c r="B28" s="675" t="s">
        <v>1590</v>
      </c>
      <c r="C28" s="676"/>
      <c r="D28" s="676"/>
      <c r="E28" s="676"/>
      <c r="F28" s="676"/>
      <c r="G28" s="677"/>
      <c r="H28" s="100"/>
      <c r="I28" s="158" t="s">
        <v>1370</v>
      </c>
      <c r="J28" s="651">
        <f>'운용리스 내부'!H32</f>
        <v>6.0221054135445283E-2</v>
      </c>
      <c r="K28" s="652"/>
      <c r="L28" s="652"/>
      <c r="M28" s="652"/>
      <c r="N28" s="653"/>
      <c r="O28" s="100"/>
      <c r="P28" s="158" t="s">
        <v>1370</v>
      </c>
      <c r="Q28" s="651">
        <f>'운용리스 내부'!M32</f>
        <v>5.8680513366842463E-2</v>
      </c>
      <c r="R28" s="652"/>
      <c r="S28" s="652"/>
      <c r="T28" s="652"/>
      <c r="U28" s="653"/>
      <c r="V28" s="100"/>
      <c r="W28" s="158" t="s">
        <v>1310</v>
      </c>
      <c r="X28" s="651">
        <f>'운용리스 내부'!R32</f>
        <v>5.7712436235028947E-2</v>
      </c>
      <c r="Y28" s="652"/>
      <c r="Z28" s="652"/>
      <c r="AA28" s="652"/>
      <c r="AB28" s="653"/>
      <c r="AC28" s="103"/>
    </row>
    <row r="29" spans="1:54" ht="21.75" customHeight="1" x14ac:dyDescent="0.3"/>
  </sheetData>
  <sheetProtection algorithmName="SHA-512" hashValue="iwzSF7mw9zx1r/7He4AP3Rr2sRZB20uIXbbQqFTwUub2DpR855dX4HPXjyAepSk1T+jd71tKXLyJhFhLEg/ZJg==" saltValue="64+sPsPOnuuo5SXey4MZzQ==" spinCount="100000" sheet="1" objects="1" scenarios="1"/>
  <dataConsolidate/>
  <mergeCells count="154">
    <mergeCell ref="Z8:AB8"/>
    <mergeCell ref="Z9:AB9"/>
    <mergeCell ref="L10:N10"/>
    <mergeCell ref="Z10:AB10"/>
    <mergeCell ref="J7:K7"/>
    <mergeCell ref="Z7:AB7"/>
    <mergeCell ref="Q8:R8"/>
    <mergeCell ref="S10:U10"/>
    <mergeCell ref="S8:U8"/>
    <mergeCell ref="L9:N9"/>
    <mergeCell ref="L8:N8"/>
    <mergeCell ref="L7:N7"/>
    <mergeCell ref="Q7:R7"/>
    <mergeCell ref="S7:U7"/>
    <mergeCell ref="Q9:R9"/>
    <mergeCell ref="S9:U9"/>
    <mergeCell ref="Q10:R10"/>
    <mergeCell ref="X8:Y8"/>
    <mergeCell ref="X10:Y10"/>
    <mergeCell ref="X9:Y9"/>
    <mergeCell ref="X7:Y7"/>
    <mergeCell ref="X21:Y21"/>
    <mergeCell ref="X22:Y22"/>
    <mergeCell ref="J20:N20"/>
    <mergeCell ref="L21:N21"/>
    <mergeCell ref="L22:N22"/>
    <mergeCell ref="S21:U21"/>
    <mergeCell ref="S22:U22"/>
    <mergeCell ref="J21:K21"/>
    <mergeCell ref="J22:K22"/>
    <mergeCell ref="Q21:R21"/>
    <mergeCell ref="Q22:R22"/>
    <mergeCell ref="Q20:U20"/>
    <mergeCell ref="X20:AB20"/>
    <mergeCell ref="B23:C23"/>
    <mergeCell ref="D23:G23"/>
    <mergeCell ref="D25:G25"/>
    <mergeCell ref="D26:G26"/>
    <mergeCell ref="B25:C25"/>
    <mergeCell ref="B26:C26"/>
    <mergeCell ref="B27:G27"/>
    <mergeCell ref="B28:G28"/>
    <mergeCell ref="J23:K23"/>
    <mergeCell ref="J28:N28"/>
    <mergeCell ref="L23:N23"/>
    <mergeCell ref="BH6:BK6"/>
    <mergeCell ref="D9:G9"/>
    <mergeCell ref="B9:C9"/>
    <mergeCell ref="BF6:BG6"/>
    <mergeCell ref="B12:C12"/>
    <mergeCell ref="B13:C13"/>
    <mergeCell ref="D13:G13"/>
    <mergeCell ref="D19:G19"/>
    <mergeCell ref="D20:G20"/>
    <mergeCell ref="Q15:R15"/>
    <mergeCell ref="S15:U15"/>
    <mergeCell ref="J15:K15"/>
    <mergeCell ref="L15:N15"/>
    <mergeCell ref="J17:N17"/>
    <mergeCell ref="Q17:U17"/>
    <mergeCell ref="X14:Y14"/>
    <mergeCell ref="S14:U14"/>
    <mergeCell ref="J14:K14"/>
    <mergeCell ref="L14:N14"/>
    <mergeCell ref="J10:K10"/>
    <mergeCell ref="J9:K9"/>
    <mergeCell ref="J8:K8"/>
    <mergeCell ref="J13:K13"/>
    <mergeCell ref="Q14:R14"/>
    <mergeCell ref="Q28:U28"/>
    <mergeCell ref="X28:AB28"/>
    <mergeCell ref="X24:AB24"/>
    <mergeCell ref="J27:N27"/>
    <mergeCell ref="Q27:U27"/>
    <mergeCell ref="X27:AB27"/>
    <mergeCell ref="X25:AB25"/>
    <mergeCell ref="J26:N26"/>
    <mergeCell ref="Q26:U26"/>
    <mergeCell ref="X26:AB26"/>
    <mergeCell ref="J25:N25"/>
    <mergeCell ref="Q25:U25"/>
    <mergeCell ref="J24:N24"/>
    <mergeCell ref="Q24:U24"/>
    <mergeCell ref="Q23:R23"/>
    <mergeCell ref="S23:U23"/>
    <mergeCell ref="X23:Y23"/>
    <mergeCell ref="Z23:AB23"/>
    <mergeCell ref="Z21:AB21"/>
    <mergeCell ref="X2:Y2"/>
    <mergeCell ref="S2:U2"/>
    <mergeCell ref="L2:N2"/>
    <mergeCell ref="Z2:AB2"/>
    <mergeCell ref="X5:AB5"/>
    <mergeCell ref="Q5:U5"/>
    <mergeCell ref="J5:N5"/>
    <mergeCell ref="I19:N19"/>
    <mergeCell ref="P19:U19"/>
    <mergeCell ref="W19:AB19"/>
    <mergeCell ref="L11:N11"/>
    <mergeCell ref="L13:N13"/>
    <mergeCell ref="Q12:R12"/>
    <mergeCell ref="Q11:R11"/>
    <mergeCell ref="Q13:R13"/>
    <mergeCell ref="L12:N12"/>
    <mergeCell ref="J11:K11"/>
    <mergeCell ref="J12:K12"/>
    <mergeCell ref="Z22:AB22"/>
    <mergeCell ref="B4:C4"/>
    <mergeCell ref="Q2:R2"/>
    <mergeCell ref="X4:AB4"/>
    <mergeCell ref="J2:K2"/>
    <mergeCell ref="Q4:U4"/>
    <mergeCell ref="D4:G4"/>
    <mergeCell ref="B2:C2"/>
    <mergeCell ref="D2:E2"/>
    <mergeCell ref="J4:N4"/>
    <mergeCell ref="D5:G5"/>
    <mergeCell ref="B5:C5"/>
    <mergeCell ref="B7:C7"/>
    <mergeCell ref="D7:G7"/>
    <mergeCell ref="D6:G6"/>
    <mergeCell ref="B6:C6"/>
    <mergeCell ref="Z14:AB14"/>
    <mergeCell ref="J18:N18"/>
    <mergeCell ref="Q18:U18"/>
    <mergeCell ref="X15:Y15"/>
    <mergeCell ref="Z15:AB15"/>
    <mergeCell ref="S11:U11"/>
    <mergeCell ref="X18:AB18"/>
    <mergeCell ref="X17:AB17"/>
    <mergeCell ref="S13:U13"/>
    <mergeCell ref="S12:U12"/>
    <mergeCell ref="Z13:AB13"/>
    <mergeCell ref="X13:Y13"/>
    <mergeCell ref="Z12:AB12"/>
    <mergeCell ref="Z11:AB11"/>
    <mergeCell ref="X11:Y11"/>
    <mergeCell ref="X12:Y12"/>
    <mergeCell ref="D16:G16"/>
    <mergeCell ref="E17:G17"/>
    <mergeCell ref="F18:G18"/>
    <mergeCell ref="B17:B18"/>
    <mergeCell ref="C17:C18"/>
    <mergeCell ref="D21:G21"/>
    <mergeCell ref="D14:G14"/>
    <mergeCell ref="B14:C14"/>
    <mergeCell ref="B8:C8"/>
    <mergeCell ref="D8:G8"/>
    <mergeCell ref="B10:G10"/>
    <mergeCell ref="B11:C11"/>
    <mergeCell ref="D11:G11"/>
    <mergeCell ref="D12:G12"/>
    <mergeCell ref="B21:C21"/>
    <mergeCell ref="B15:G15"/>
  </mergeCells>
  <phoneticPr fontId="1" type="noConversion"/>
  <conditionalFormatting sqref="J7">
    <cfRule type="expression" dxfId="120" priority="374">
      <formula>$BB$9=TRUE</formula>
    </cfRule>
  </conditionalFormatting>
  <conditionalFormatting sqref="L8">
    <cfRule type="expression" dxfId="119" priority="375">
      <formula>$BB$9=FALSE</formula>
    </cfRule>
  </conditionalFormatting>
  <conditionalFormatting sqref="L10">
    <cfRule type="expression" dxfId="118" priority="376">
      <formula>$BB$10=FALSE</formula>
    </cfRule>
  </conditionalFormatting>
  <conditionalFormatting sqref="J9">
    <cfRule type="expression" dxfId="117" priority="377">
      <formula>$BB$10=TRUE</formula>
    </cfRule>
  </conditionalFormatting>
  <conditionalFormatting sqref="L7 J7">
    <cfRule type="expression" dxfId="116" priority="378">
      <formula>$BB$9=FALSE</formula>
    </cfRule>
  </conditionalFormatting>
  <conditionalFormatting sqref="L8 J8">
    <cfRule type="expression" dxfId="115" priority="380">
      <formula>$BB$9=TRUE</formula>
    </cfRule>
  </conditionalFormatting>
  <conditionalFormatting sqref="L9 J9">
    <cfRule type="expression" dxfId="114" priority="382">
      <formula>$BB$10=FALSE</formula>
    </cfRule>
  </conditionalFormatting>
  <conditionalFormatting sqref="L10 J10">
    <cfRule type="expression" dxfId="113" priority="384">
      <formula>$BB$10=TRUE</formula>
    </cfRule>
  </conditionalFormatting>
  <conditionalFormatting sqref="L12">
    <cfRule type="expression" dxfId="112" priority="386">
      <formula>$BB$11=FALSE</formula>
    </cfRule>
  </conditionalFormatting>
  <conditionalFormatting sqref="J11">
    <cfRule type="expression" dxfId="111" priority="387">
      <formula>$BB$11=TRUE</formula>
    </cfRule>
  </conditionalFormatting>
  <conditionalFormatting sqref="L11 J11">
    <cfRule type="expression" dxfId="110" priority="388">
      <formula>$BB$11=FALSE</formula>
    </cfRule>
  </conditionalFormatting>
  <conditionalFormatting sqref="L12 J12">
    <cfRule type="expression" dxfId="109" priority="390">
      <formula>$BB$11=TRUE</formula>
    </cfRule>
  </conditionalFormatting>
  <conditionalFormatting sqref="S8">
    <cfRule type="expression" dxfId="108" priority="392">
      <formula>$BB$16=FALSE</formula>
    </cfRule>
  </conditionalFormatting>
  <conditionalFormatting sqref="Q7">
    <cfRule type="expression" dxfId="107" priority="393">
      <formula>$BB$16=TRUE</formula>
    </cfRule>
  </conditionalFormatting>
  <conditionalFormatting sqref="Q7 S7">
    <cfRule type="expression" dxfId="106" priority="394">
      <formula>$BB$16=FALSE</formula>
    </cfRule>
  </conditionalFormatting>
  <conditionalFormatting sqref="S8 Q8">
    <cfRule type="expression" dxfId="105" priority="396">
      <formula>$BB$16=TRUE</formula>
    </cfRule>
  </conditionalFormatting>
  <conditionalFormatting sqref="S10">
    <cfRule type="expression" dxfId="104" priority="398">
      <formula>$BB$17=FALSE</formula>
    </cfRule>
  </conditionalFormatting>
  <conditionalFormatting sqref="Q9">
    <cfRule type="expression" dxfId="103" priority="399">
      <formula>$BB$17=TRUE</formula>
    </cfRule>
  </conditionalFormatting>
  <conditionalFormatting sqref="Q9 S9">
    <cfRule type="expression" dxfId="102" priority="400">
      <formula>$BB$17=FALSE</formula>
    </cfRule>
  </conditionalFormatting>
  <conditionalFormatting sqref="S10 Q10">
    <cfRule type="expression" dxfId="101" priority="402">
      <formula>$BB$17=TRUE</formula>
    </cfRule>
  </conditionalFormatting>
  <conditionalFormatting sqref="Z8">
    <cfRule type="expression" dxfId="100" priority="404">
      <formula>$BB$23=FALSE</formula>
    </cfRule>
  </conditionalFormatting>
  <conditionalFormatting sqref="X7">
    <cfRule type="expression" dxfId="99" priority="405">
      <formula>$BB$23=TRUE</formula>
    </cfRule>
  </conditionalFormatting>
  <conditionalFormatting sqref="X7:AB7">
    <cfRule type="expression" dxfId="98" priority="406">
      <formula>$BB$23=FALSE</formula>
    </cfRule>
  </conditionalFormatting>
  <conditionalFormatting sqref="X8:AB8">
    <cfRule type="expression" dxfId="97" priority="410">
      <formula>$BB$23=TRUE</formula>
    </cfRule>
  </conditionalFormatting>
  <conditionalFormatting sqref="S12">
    <cfRule type="expression" dxfId="96" priority="411">
      <formula>$BB$18=FALSE</formula>
    </cfRule>
  </conditionalFormatting>
  <conditionalFormatting sqref="Q11">
    <cfRule type="expression" dxfId="95" priority="412">
      <formula>$BB$18=TRUE</formula>
    </cfRule>
  </conditionalFormatting>
  <conditionalFormatting sqref="Q11 S11">
    <cfRule type="expression" dxfId="94" priority="413">
      <formula>$BB$18=FALSE</formula>
    </cfRule>
  </conditionalFormatting>
  <conditionalFormatting sqref="S12 Q12">
    <cfRule type="expression" dxfId="93" priority="415">
      <formula>$BB$18=TRUE</formula>
    </cfRule>
  </conditionalFormatting>
  <conditionalFormatting sqref="Z10">
    <cfRule type="expression" dxfId="92" priority="417">
      <formula>$BB$24=FALSE</formula>
    </cfRule>
  </conditionalFormatting>
  <conditionalFormatting sqref="X9">
    <cfRule type="expression" dxfId="91" priority="418">
      <formula>$BB$24=TRUE</formula>
    </cfRule>
  </conditionalFormatting>
  <conditionalFormatting sqref="X9:AB9">
    <cfRule type="expression" dxfId="90" priority="419">
      <formula>$BB$24=FALSE</formula>
    </cfRule>
  </conditionalFormatting>
  <conditionalFormatting sqref="X10:AB10">
    <cfRule type="expression" dxfId="89" priority="420">
      <formula>$BB$24=TRUE</formula>
    </cfRule>
  </conditionalFormatting>
  <conditionalFormatting sqref="Z12">
    <cfRule type="expression" dxfId="88" priority="421">
      <formula>$BB$25=FALSE</formula>
    </cfRule>
  </conditionalFormatting>
  <conditionalFormatting sqref="X11">
    <cfRule type="expression" dxfId="87" priority="422">
      <formula>$BB$25=TRUE</formula>
    </cfRule>
  </conditionalFormatting>
  <conditionalFormatting sqref="X11:AB11">
    <cfRule type="expression" dxfId="86" priority="423">
      <formula>$BB$25=FALSE</formula>
    </cfRule>
  </conditionalFormatting>
  <conditionalFormatting sqref="X12:AB12">
    <cfRule type="expression" dxfId="85" priority="427">
      <formula>$BB$25=TRUE</formula>
    </cfRule>
  </conditionalFormatting>
  <conditionalFormatting sqref="J13:N13">
    <cfRule type="expression" dxfId="84" priority="428">
      <formula>$BB$12=FALSE</formula>
    </cfRule>
  </conditionalFormatting>
  <conditionalFormatting sqref="J13:K13">
    <cfRule type="expression" dxfId="83" priority="429">
      <formula>$BB$12=FALSE</formula>
    </cfRule>
  </conditionalFormatting>
  <conditionalFormatting sqref="Q13:U13">
    <cfRule type="expression" dxfId="82" priority="430">
      <formula>$BB$19=FALSE</formula>
    </cfRule>
  </conditionalFormatting>
  <conditionalFormatting sqref="X13:AB13">
    <cfRule type="expression" dxfId="81" priority="431">
      <formula>$BB$26=FALSE</formula>
    </cfRule>
  </conditionalFormatting>
  <conditionalFormatting sqref="J20">
    <cfRule type="expression" dxfId="80" priority="6">
      <formula>$J$20="수수료 초과"</formula>
    </cfRule>
  </conditionalFormatting>
  <conditionalFormatting sqref="Q20">
    <cfRule type="expression" dxfId="79" priority="5">
      <formula>$Q$20="수수료 초과"</formula>
    </cfRule>
  </conditionalFormatting>
  <conditionalFormatting sqref="X20">
    <cfRule type="expression" dxfId="78" priority="4">
      <formula>$X$20="수수료 초과"</formula>
    </cfRule>
  </conditionalFormatting>
  <conditionalFormatting sqref="B15:G15">
    <cfRule type="expression" dxfId="77" priority="2">
      <formula>OR($D$8="23MY",$D$8="24MY")</formula>
    </cfRule>
  </conditionalFormatting>
  <dataValidations count="4">
    <dataValidation type="list" allowBlank="1" showInputMessage="1" showErrorMessage="1" sqref="X4:AB4 Q4:U4 J4">
      <formula1>"12,24,36,48,60"</formula1>
    </dataValidation>
    <dataValidation type="list" allowBlank="1" showInputMessage="1" showErrorMessage="1" sqref="X5:AB5 J5:N5 Q5:U5">
      <formula1>"10000,15000,20000,30000"</formula1>
    </dataValidation>
    <dataValidation type="list" allowBlank="1" showInputMessage="1" showErrorMessage="1" sqref="D6">
      <formula1>INDIRECT($D$5)</formula1>
    </dataValidation>
    <dataValidation type="list" allowBlank="1" showInputMessage="1" showErrorMessage="1" sqref="BH6:BK6 D8:G8">
      <formula1>"23MY,24MY,25MY"</formula1>
    </dataValidation>
  </dataValidations>
  <pageMargins left="0.25" right="0.25" top="0.75" bottom="0.75" header="0.3" footer="0.3"/>
  <pageSetup paperSize="9" scale="62" orientation="landscape" r:id="rId1"/>
  <colBreaks count="1" manualBreakCount="1">
    <brk id="29"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33" r:id="rId4" name="Check Box 9">
              <controlPr locked="0" defaultSize="0" autoFill="0" autoLine="0" autoPict="0">
                <anchor moveWithCells="1">
                  <from>
                    <xdr:col>2</xdr:col>
                    <xdr:colOff>438150</xdr:colOff>
                    <xdr:row>15</xdr:row>
                    <xdr:rowOff>28575</xdr:rowOff>
                  </from>
                  <to>
                    <xdr:col>3</xdr:col>
                    <xdr:colOff>19050</xdr:colOff>
                    <xdr:row>15</xdr:row>
                    <xdr:rowOff>228600</xdr:rowOff>
                  </to>
                </anchor>
              </controlPr>
            </control>
          </mc:Choice>
        </mc:AlternateContent>
        <mc:AlternateContent xmlns:mc="http://schemas.openxmlformats.org/markup-compatibility/2006">
          <mc:Choice Requires="x14">
            <control shapeId="1035" r:id="rId5" name="Check Box 11">
              <controlPr locked="0" defaultSize="0" autoFill="0" autoLine="0" autoPict="0">
                <anchor moveWithCells="1">
                  <from>
                    <xdr:col>2</xdr:col>
                    <xdr:colOff>438150</xdr:colOff>
                    <xdr:row>16</xdr:row>
                    <xdr:rowOff>180975</xdr:rowOff>
                  </from>
                  <to>
                    <xdr:col>3</xdr:col>
                    <xdr:colOff>19050</xdr:colOff>
                    <xdr:row>17</xdr:row>
                    <xdr:rowOff>85725</xdr:rowOff>
                  </to>
                </anchor>
              </controlPr>
            </control>
          </mc:Choice>
        </mc:AlternateContent>
        <mc:AlternateContent xmlns:mc="http://schemas.openxmlformats.org/markup-compatibility/2006">
          <mc:Choice Requires="x14">
            <control shapeId="1036" r:id="rId6" name="Check Box 12">
              <controlPr locked="0" defaultSize="0" autoFill="0" autoLine="0" autoPict="0">
                <anchor moveWithCells="1">
                  <from>
                    <xdr:col>2</xdr:col>
                    <xdr:colOff>438150</xdr:colOff>
                    <xdr:row>18</xdr:row>
                    <xdr:rowOff>38100</xdr:rowOff>
                  </from>
                  <to>
                    <xdr:col>3</xdr:col>
                    <xdr:colOff>19050</xdr:colOff>
                    <xdr:row>18</xdr:row>
                    <xdr:rowOff>228600</xdr:rowOff>
                  </to>
                </anchor>
              </controlPr>
            </control>
          </mc:Choice>
        </mc:AlternateContent>
        <mc:AlternateContent xmlns:mc="http://schemas.openxmlformats.org/markup-compatibility/2006">
          <mc:Choice Requires="x14">
            <control shapeId="1037" r:id="rId7" name="Check Box 13">
              <controlPr locked="0" defaultSize="0" autoFill="0" autoLine="0" autoPict="0">
                <anchor moveWithCells="1">
                  <from>
                    <xdr:col>2</xdr:col>
                    <xdr:colOff>438150</xdr:colOff>
                    <xdr:row>19</xdr:row>
                    <xdr:rowOff>38100</xdr:rowOff>
                  </from>
                  <to>
                    <xdr:col>3</xdr:col>
                    <xdr:colOff>19050</xdr:colOff>
                    <xdr:row>19</xdr:row>
                    <xdr:rowOff>228600</xdr:rowOff>
                  </to>
                </anchor>
              </controlPr>
            </control>
          </mc:Choice>
        </mc:AlternateContent>
        <mc:AlternateContent xmlns:mc="http://schemas.openxmlformats.org/markup-compatibility/2006">
          <mc:Choice Requires="x14">
            <control shapeId="1039" r:id="rId8" name="Check Box 15">
              <controlPr locked="0" defaultSize="0" autoFill="0" autoLine="0" autoPict="0">
                <anchor moveWithCells="1">
                  <from>
                    <xdr:col>8</xdr:col>
                    <xdr:colOff>771525</xdr:colOff>
                    <xdr:row>7</xdr:row>
                    <xdr:rowOff>47625</xdr:rowOff>
                  </from>
                  <to>
                    <xdr:col>9</xdr:col>
                    <xdr:colOff>28575</xdr:colOff>
                    <xdr:row>7</xdr:row>
                    <xdr:rowOff>247650</xdr:rowOff>
                  </to>
                </anchor>
              </controlPr>
            </control>
          </mc:Choice>
        </mc:AlternateContent>
        <mc:AlternateContent xmlns:mc="http://schemas.openxmlformats.org/markup-compatibility/2006">
          <mc:Choice Requires="x14">
            <control shapeId="1041" r:id="rId9" name="Check Box 17">
              <controlPr locked="0" defaultSize="0" autoFill="0" autoLine="0" autoPict="0">
                <anchor moveWithCells="1">
                  <from>
                    <xdr:col>8</xdr:col>
                    <xdr:colOff>771525</xdr:colOff>
                    <xdr:row>9</xdr:row>
                    <xdr:rowOff>47625</xdr:rowOff>
                  </from>
                  <to>
                    <xdr:col>9</xdr:col>
                    <xdr:colOff>28575</xdr:colOff>
                    <xdr:row>9</xdr:row>
                    <xdr:rowOff>247650</xdr:rowOff>
                  </to>
                </anchor>
              </controlPr>
            </control>
          </mc:Choice>
        </mc:AlternateContent>
        <mc:AlternateContent xmlns:mc="http://schemas.openxmlformats.org/markup-compatibility/2006">
          <mc:Choice Requires="x14">
            <control shapeId="1044" r:id="rId10" name="Check Box 20">
              <controlPr locked="0" defaultSize="0" autoFill="0" autoLine="0" autoPict="0">
                <anchor moveWithCells="1">
                  <from>
                    <xdr:col>15</xdr:col>
                    <xdr:colOff>771525</xdr:colOff>
                    <xdr:row>7</xdr:row>
                    <xdr:rowOff>47625</xdr:rowOff>
                  </from>
                  <to>
                    <xdr:col>16</xdr:col>
                    <xdr:colOff>28575</xdr:colOff>
                    <xdr:row>7</xdr:row>
                    <xdr:rowOff>247650</xdr:rowOff>
                  </to>
                </anchor>
              </controlPr>
            </control>
          </mc:Choice>
        </mc:AlternateContent>
        <mc:AlternateContent xmlns:mc="http://schemas.openxmlformats.org/markup-compatibility/2006">
          <mc:Choice Requires="x14">
            <control shapeId="1045" r:id="rId11" name="Check Box 21">
              <controlPr locked="0" defaultSize="0" autoFill="0" autoLine="0" autoPict="0">
                <anchor moveWithCells="1">
                  <from>
                    <xdr:col>15</xdr:col>
                    <xdr:colOff>771525</xdr:colOff>
                    <xdr:row>9</xdr:row>
                    <xdr:rowOff>47625</xdr:rowOff>
                  </from>
                  <to>
                    <xdr:col>16</xdr:col>
                    <xdr:colOff>28575</xdr:colOff>
                    <xdr:row>9</xdr:row>
                    <xdr:rowOff>247650</xdr:rowOff>
                  </to>
                </anchor>
              </controlPr>
            </control>
          </mc:Choice>
        </mc:AlternateContent>
        <mc:AlternateContent xmlns:mc="http://schemas.openxmlformats.org/markup-compatibility/2006">
          <mc:Choice Requires="x14">
            <control shapeId="1046" r:id="rId12" name="Check Box 22">
              <controlPr locked="0" defaultSize="0" autoFill="0" autoLine="0" autoPict="0">
                <anchor moveWithCells="1">
                  <from>
                    <xdr:col>15</xdr:col>
                    <xdr:colOff>771525</xdr:colOff>
                    <xdr:row>11</xdr:row>
                    <xdr:rowOff>47625</xdr:rowOff>
                  </from>
                  <to>
                    <xdr:col>16</xdr:col>
                    <xdr:colOff>28575</xdr:colOff>
                    <xdr:row>11</xdr:row>
                    <xdr:rowOff>247650</xdr:rowOff>
                  </to>
                </anchor>
              </controlPr>
            </control>
          </mc:Choice>
        </mc:AlternateContent>
        <mc:AlternateContent xmlns:mc="http://schemas.openxmlformats.org/markup-compatibility/2006">
          <mc:Choice Requires="x14">
            <control shapeId="1047" r:id="rId13" name="Check Box 23">
              <controlPr locked="0" defaultSize="0" autoFill="0" autoLine="0" autoPict="0">
                <anchor moveWithCells="1">
                  <from>
                    <xdr:col>22</xdr:col>
                    <xdr:colOff>771525</xdr:colOff>
                    <xdr:row>7</xdr:row>
                    <xdr:rowOff>47625</xdr:rowOff>
                  </from>
                  <to>
                    <xdr:col>23</xdr:col>
                    <xdr:colOff>28575</xdr:colOff>
                    <xdr:row>7</xdr:row>
                    <xdr:rowOff>247650</xdr:rowOff>
                  </to>
                </anchor>
              </controlPr>
            </control>
          </mc:Choice>
        </mc:AlternateContent>
        <mc:AlternateContent xmlns:mc="http://schemas.openxmlformats.org/markup-compatibility/2006">
          <mc:Choice Requires="x14">
            <control shapeId="1048" r:id="rId14" name="Check Box 24">
              <controlPr locked="0" defaultSize="0" autoFill="0" autoLine="0" autoPict="0">
                <anchor moveWithCells="1">
                  <from>
                    <xdr:col>22</xdr:col>
                    <xdr:colOff>771525</xdr:colOff>
                    <xdr:row>9</xdr:row>
                    <xdr:rowOff>47625</xdr:rowOff>
                  </from>
                  <to>
                    <xdr:col>23</xdr:col>
                    <xdr:colOff>28575</xdr:colOff>
                    <xdr:row>9</xdr:row>
                    <xdr:rowOff>247650</xdr:rowOff>
                  </to>
                </anchor>
              </controlPr>
            </control>
          </mc:Choice>
        </mc:AlternateContent>
        <mc:AlternateContent xmlns:mc="http://schemas.openxmlformats.org/markup-compatibility/2006">
          <mc:Choice Requires="x14">
            <control shapeId="1049" r:id="rId15" name="Check Box 25">
              <controlPr locked="0" defaultSize="0" autoFill="0" autoLine="0" autoPict="0">
                <anchor moveWithCells="1">
                  <from>
                    <xdr:col>22</xdr:col>
                    <xdr:colOff>771525</xdr:colOff>
                    <xdr:row>11</xdr:row>
                    <xdr:rowOff>47625</xdr:rowOff>
                  </from>
                  <to>
                    <xdr:col>23</xdr:col>
                    <xdr:colOff>28575</xdr:colOff>
                    <xdr:row>11</xdr:row>
                    <xdr:rowOff>247650</xdr:rowOff>
                  </to>
                </anchor>
              </controlPr>
            </control>
          </mc:Choice>
        </mc:AlternateContent>
        <mc:AlternateContent xmlns:mc="http://schemas.openxmlformats.org/markup-compatibility/2006">
          <mc:Choice Requires="x14">
            <control shapeId="1060" r:id="rId16" name="Check Box 36">
              <controlPr locked="0" defaultSize="0" autoFill="0" autoLine="0" autoPict="0">
                <anchor moveWithCells="1">
                  <from>
                    <xdr:col>8</xdr:col>
                    <xdr:colOff>771525</xdr:colOff>
                    <xdr:row>11</xdr:row>
                    <xdr:rowOff>47625</xdr:rowOff>
                  </from>
                  <to>
                    <xdr:col>9</xdr:col>
                    <xdr:colOff>28575</xdr:colOff>
                    <xdr:row>11</xdr:row>
                    <xdr:rowOff>247650</xdr:rowOff>
                  </to>
                </anchor>
              </controlPr>
            </control>
          </mc:Choice>
        </mc:AlternateContent>
        <mc:AlternateContent xmlns:mc="http://schemas.openxmlformats.org/markup-compatibility/2006">
          <mc:Choice Requires="x14">
            <control shapeId="1065" r:id="rId17" name="Check Box 41">
              <controlPr locked="0" defaultSize="0" autoFill="0" autoLine="0" autoPict="0">
                <anchor moveWithCells="1">
                  <from>
                    <xdr:col>8</xdr:col>
                    <xdr:colOff>762000</xdr:colOff>
                    <xdr:row>1</xdr:row>
                    <xdr:rowOff>28575</xdr:rowOff>
                  </from>
                  <to>
                    <xdr:col>9</xdr:col>
                    <xdr:colOff>28575</xdr:colOff>
                    <xdr:row>1</xdr:row>
                    <xdr:rowOff>228600</xdr:rowOff>
                  </to>
                </anchor>
              </controlPr>
            </control>
          </mc:Choice>
        </mc:AlternateContent>
        <mc:AlternateContent xmlns:mc="http://schemas.openxmlformats.org/markup-compatibility/2006">
          <mc:Choice Requires="x14">
            <control shapeId="1069" r:id="rId18" name="Check Box 45">
              <controlPr locked="0" defaultSize="0" autoFill="0" autoLine="0" autoPict="0">
                <anchor moveWithCells="1">
                  <from>
                    <xdr:col>15</xdr:col>
                    <xdr:colOff>781050</xdr:colOff>
                    <xdr:row>1</xdr:row>
                    <xdr:rowOff>28575</xdr:rowOff>
                  </from>
                  <to>
                    <xdr:col>16</xdr:col>
                    <xdr:colOff>38100</xdr:colOff>
                    <xdr:row>1</xdr:row>
                    <xdr:rowOff>228600</xdr:rowOff>
                  </to>
                </anchor>
              </controlPr>
            </control>
          </mc:Choice>
        </mc:AlternateContent>
        <mc:AlternateContent xmlns:mc="http://schemas.openxmlformats.org/markup-compatibility/2006">
          <mc:Choice Requires="x14">
            <control shapeId="1071" r:id="rId19" name="Check Box 47">
              <controlPr locked="0" defaultSize="0" autoFill="0" autoLine="0" autoPict="0">
                <anchor moveWithCells="1">
                  <from>
                    <xdr:col>22</xdr:col>
                    <xdr:colOff>781050</xdr:colOff>
                    <xdr:row>1</xdr:row>
                    <xdr:rowOff>28575</xdr:rowOff>
                  </from>
                  <to>
                    <xdr:col>23</xdr:col>
                    <xdr:colOff>38100</xdr:colOff>
                    <xdr:row>1</xdr:row>
                    <xdr:rowOff>228600</xdr:rowOff>
                  </to>
                </anchor>
              </controlPr>
            </control>
          </mc:Choice>
        </mc:AlternateContent>
        <mc:AlternateContent xmlns:mc="http://schemas.openxmlformats.org/markup-compatibility/2006">
          <mc:Choice Requires="x14">
            <control shapeId="1075" r:id="rId20" name="Check Box 51">
              <controlPr locked="0" defaultSize="0" autoFill="0" autoLine="0" autoPict="0">
                <anchor moveWithCells="1">
                  <from>
                    <xdr:col>15</xdr:col>
                    <xdr:colOff>771525</xdr:colOff>
                    <xdr:row>12</xdr:row>
                    <xdr:rowOff>38100</xdr:rowOff>
                  </from>
                  <to>
                    <xdr:col>16</xdr:col>
                    <xdr:colOff>28575</xdr:colOff>
                    <xdr:row>12</xdr:row>
                    <xdr:rowOff>228600</xdr:rowOff>
                  </to>
                </anchor>
              </controlPr>
            </control>
          </mc:Choice>
        </mc:AlternateContent>
        <mc:AlternateContent xmlns:mc="http://schemas.openxmlformats.org/markup-compatibility/2006">
          <mc:Choice Requires="x14">
            <control shapeId="1076" r:id="rId21" name="Check Box 52">
              <controlPr locked="0" defaultSize="0" autoFill="0" autoLine="0" autoPict="0">
                <anchor moveWithCells="1">
                  <from>
                    <xdr:col>22</xdr:col>
                    <xdr:colOff>771525</xdr:colOff>
                    <xdr:row>12</xdr:row>
                    <xdr:rowOff>38100</xdr:rowOff>
                  </from>
                  <to>
                    <xdr:col>23</xdr:col>
                    <xdr:colOff>28575</xdr:colOff>
                    <xdr:row>12</xdr:row>
                    <xdr:rowOff>228600</xdr:rowOff>
                  </to>
                </anchor>
              </controlPr>
            </control>
          </mc:Choice>
        </mc:AlternateContent>
        <mc:AlternateContent xmlns:mc="http://schemas.openxmlformats.org/markup-compatibility/2006">
          <mc:Choice Requires="x14">
            <control shapeId="1077" r:id="rId22" name="Check Box 53">
              <controlPr locked="0" defaultSize="0" autoFill="0" autoLine="0" autoPict="0">
                <anchor moveWithCells="1">
                  <from>
                    <xdr:col>8</xdr:col>
                    <xdr:colOff>771525</xdr:colOff>
                    <xdr:row>12</xdr:row>
                    <xdr:rowOff>38100</xdr:rowOff>
                  </from>
                  <to>
                    <xdr:col>9</xdr:col>
                    <xdr:colOff>28575</xdr:colOff>
                    <xdr:row>12</xdr:row>
                    <xdr:rowOff>228600</xdr:rowOff>
                  </to>
                </anchor>
              </controlPr>
            </control>
          </mc:Choice>
        </mc:AlternateContent>
        <mc:AlternateContent xmlns:mc="http://schemas.openxmlformats.org/markup-compatibility/2006">
          <mc:Choice Requires="x14">
            <control shapeId="1079" r:id="rId23" name="Check Box 55">
              <controlPr locked="0" defaultSize="0" autoFill="0" autoLine="0" autoPict="0">
                <anchor moveWithCells="1">
                  <from>
                    <xdr:col>15</xdr:col>
                    <xdr:colOff>742950</xdr:colOff>
                    <xdr:row>24</xdr:row>
                    <xdr:rowOff>28575</xdr:rowOff>
                  </from>
                  <to>
                    <xdr:col>16</xdr:col>
                    <xdr:colOff>0</xdr:colOff>
                    <xdr:row>24</xdr:row>
                    <xdr:rowOff>228600</xdr:rowOff>
                  </to>
                </anchor>
              </controlPr>
            </control>
          </mc:Choice>
        </mc:AlternateContent>
        <mc:AlternateContent xmlns:mc="http://schemas.openxmlformats.org/markup-compatibility/2006">
          <mc:Choice Requires="x14">
            <control shapeId="1080" r:id="rId24" name="Check Box 56">
              <controlPr locked="0" defaultSize="0" autoFill="0" autoLine="0" autoPict="0">
                <anchor moveWithCells="1">
                  <from>
                    <xdr:col>22</xdr:col>
                    <xdr:colOff>742950</xdr:colOff>
                    <xdr:row>24</xdr:row>
                    <xdr:rowOff>28575</xdr:rowOff>
                  </from>
                  <to>
                    <xdr:col>23</xdr:col>
                    <xdr:colOff>0</xdr:colOff>
                    <xdr:row>24</xdr:row>
                    <xdr:rowOff>228600</xdr:rowOff>
                  </to>
                </anchor>
              </controlPr>
            </control>
          </mc:Choice>
        </mc:AlternateContent>
        <mc:AlternateContent xmlns:mc="http://schemas.openxmlformats.org/markup-compatibility/2006">
          <mc:Choice Requires="x14">
            <control shapeId="1081" r:id="rId25" name="Check Box 57">
              <controlPr locked="0" defaultSize="0" autoFill="0" autoLine="0" autoPict="0">
                <anchor moveWithCells="1">
                  <from>
                    <xdr:col>8</xdr:col>
                    <xdr:colOff>742950</xdr:colOff>
                    <xdr:row>24</xdr:row>
                    <xdr:rowOff>28575</xdr:rowOff>
                  </from>
                  <to>
                    <xdr:col>9</xdr:col>
                    <xdr:colOff>0</xdr:colOff>
                    <xdr:row>24</xdr:row>
                    <xdr:rowOff>228600</xdr:rowOff>
                  </to>
                </anchor>
              </controlPr>
            </control>
          </mc:Choice>
        </mc:AlternateContent>
        <mc:AlternateContent xmlns:mc="http://schemas.openxmlformats.org/markup-compatibility/2006">
          <mc:Choice Requires="x14">
            <control shapeId="1089" r:id="rId26" name="Check Box 65">
              <controlPr defaultSize="0" autoFill="0" autoLine="0" autoPict="0">
                <anchor moveWithCells="1">
                  <from>
                    <xdr:col>2</xdr:col>
                    <xdr:colOff>409575</xdr:colOff>
                    <xdr:row>27</xdr:row>
                    <xdr:rowOff>9525</xdr:rowOff>
                  </from>
                  <to>
                    <xdr:col>2</xdr:col>
                    <xdr:colOff>647700</xdr:colOff>
                    <xdr:row>27</xdr:row>
                    <xdr:rowOff>219075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681" id="{86EB84DE-4E8F-4505-A7DB-125CFB6410D2}">
            <xm:f>AND(D8="25MY",'운용리스 내부'!X1=1%)</xm:f>
            <x14:dxf>
              <font>
                <color rgb="FFFFC000"/>
              </font>
              <fill>
                <patternFill>
                  <bgColor theme="1"/>
                </patternFill>
              </fill>
            </x14:dxf>
          </x14:cfRule>
          <xm:sqref>B10</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14:formula1>
            <xm:f>INDIRECT(딜러사!$E$3)</xm:f>
          </x14:formula1>
          <xm:sqref>D4</xm:sqref>
        </x14:dataValidation>
        <x14:dataValidation type="list" allowBlank="1" showInputMessage="1" showErrorMessage="1">
          <x14:formula1>
            <xm:f>'공채&amp;차세'!$I$7:$I$12</xm:f>
          </x14:formula1>
          <xm:sqref>E17</xm:sqref>
        </x14:dataValidation>
        <x14:dataValidation type="list" allowBlank="1" showInputMessage="1" showErrorMessage="1">
          <x14:formula1>
            <xm:f>브랜드!$B$2:$B$21</xm:f>
          </x14:formula1>
          <xm:sqref>D5:G5</xm:sqref>
        </x14:dataValidation>
        <x14:dataValidation type="list" allowBlank="1" showInputMessage="1" showErrorMessage="1">
          <x14:formula1>
            <xm:f>INDIRECT(브랜드!$B$39)</xm:f>
          </x14:formula1>
          <xm:sqref>D7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C00000"/>
    <pageSetUpPr fitToPage="1"/>
  </sheetPr>
  <dimension ref="B1:Y43"/>
  <sheetViews>
    <sheetView zoomScaleNormal="100" zoomScaleSheetLayoutView="100" workbookViewId="0">
      <selection activeCell="W24" sqref="W24"/>
    </sheetView>
  </sheetViews>
  <sheetFormatPr defaultRowHeight="15" customHeight="1" x14ac:dyDescent="0.3"/>
  <cols>
    <col min="1" max="1" width="2.625" style="181" customWidth="1"/>
    <col min="2" max="2" width="11" style="191" bestFit="1" customWidth="1"/>
    <col min="3" max="3" width="1.625" style="191" customWidth="1"/>
    <col min="4" max="4" width="18.875" style="181" customWidth="1"/>
    <col min="5" max="5" width="20.375" style="181" customWidth="1"/>
    <col min="6" max="6" width="2" style="181" customWidth="1"/>
    <col min="7" max="7" width="13.5" style="191" customWidth="1"/>
    <col min="8" max="8" width="11.375" style="181" customWidth="1"/>
    <col min="9" max="9" width="7.125" style="200" customWidth="1"/>
    <col min="10" max="10" width="12.25" style="181" customWidth="1"/>
    <col min="11" max="11" width="2" style="181" customWidth="1"/>
    <col min="12" max="12" width="13.5" style="191" customWidth="1"/>
    <col min="13" max="13" width="11.375" style="181" customWidth="1"/>
    <col min="14" max="14" width="7.125" style="200" customWidth="1"/>
    <col min="15" max="15" width="12.25" style="181" customWidth="1"/>
    <col min="16" max="16" width="2" style="181" customWidth="1"/>
    <col min="17" max="17" width="13.5" style="191" customWidth="1"/>
    <col min="18" max="18" width="11.375" style="181" customWidth="1"/>
    <col min="19" max="19" width="7.125" style="200" customWidth="1"/>
    <col min="20" max="20" width="12.25" style="181" customWidth="1"/>
    <col min="21" max="21" width="9" style="181"/>
    <col min="22" max="22" width="9" style="183"/>
    <col min="23" max="16384" width="9" style="181"/>
  </cols>
  <sheetData>
    <row r="1" spans="2:24" ht="15" customHeight="1" x14ac:dyDescent="0.3">
      <c r="X1" s="409">
        <f>VLOOKUP(D6,차종!E:Q,12,0)</f>
        <v>0</v>
      </c>
    </row>
    <row r="2" spans="2:24" ht="15" customHeight="1" thickBot="1" x14ac:dyDescent="0.35">
      <c r="B2" s="731" t="str">
        <f>'운용리스 입력'!D2</f>
        <v>2025_09_V1</v>
      </c>
      <c r="C2" s="733"/>
      <c r="D2" s="179" t="s">
        <v>1456</v>
      </c>
      <c r="E2" s="180">
        <f ca="1">TODAY()</f>
        <v>45904</v>
      </c>
      <c r="G2" s="731" t="s">
        <v>1381</v>
      </c>
      <c r="H2" s="732"/>
      <c r="I2" s="732"/>
      <c r="J2" s="733"/>
      <c r="K2" s="182"/>
      <c r="L2" s="731" t="s">
        <v>1382</v>
      </c>
      <c r="M2" s="732"/>
      <c r="N2" s="732"/>
      <c r="O2" s="733"/>
      <c r="P2" s="182"/>
      <c r="Q2" s="731" t="s">
        <v>1383</v>
      </c>
      <c r="R2" s="732"/>
      <c r="S2" s="732"/>
      <c r="T2" s="733"/>
      <c r="U2" s="182"/>
    </row>
    <row r="3" spans="2:24" ht="15" customHeight="1" x14ac:dyDescent="0.3">
      <c r="B3" s="727" t="s">
        <v>1</v>
      </c>
      <c r="C3" s="728"/>
      <c r="D3" s="742" t="str">
        <f>'운용리스 입력'!D4</f>
        <v>기타</v>
      </c>
      <c r="E3" s="743"/>
      <c r="G3" s="184" t="s">
        <v>5</v>
      </c>
      <c r="H3" s="734">
        <f>'운용리스 입력'!J4</f>
        <v>36</v>
      </c>
      <c r="I3" s="735"/>
      <c r="J3" s="736"/>
      <c r="L3" s="184" t="s">
        <v>5</v>
      </c>
      <c r="M3" s="734">
        <f>'운용리스 입력'!Q4</f>
        <v>48</v>
      </c>
      <c r="N3" s="735"/>
      <c r="O3" s="736"/>
      <c r="Q3" s="184" t="s">
        <v>5</v>
      </c>
      <c r="R3" s="734">
        <f>'운용리스 입력'!X4</f>
        <v>60</v>
      </c>
      <c r="S3" s="735"/>
      <c r="T3" s="736"/>
    </row>
    <row r="4" spans="2:24" ht="15" customHeight="1" thickBot="1" x14ac:dyDescent="0.35">
      <c r="B4" s="729" t="s">
        <v>0</v>
      </c>
      <c r="C4" s="730"/>
      <c r="D4" s="744" t="str">
        <f>'운용리스 입력'!D5</f>
        <v>Audi</v>
      </c>
      <c r="E4" s="745"/>
      <c r="G4" s="185" t="s">
        <v>6</v>
      </c>
      <c r="H4" s="737">
        <f>'운용리스 입력'!J5</f>
        <v>20000</v>
      </c>
      <c r="I4" s="738"/>
      <c r="J4" s="739"/>
      <c r="L4" s="185" t="s">
        <v>6</v>
      </c>
      <c r="M4" s="737">
        <f>'운용리스 입력'!Q5</f>
        <v>20000</v>
      </c>
      <c r="N4" s="738"/>
      <c r="O4" s="739"/>
      <c r="Q4" s="185" t="s">
        <v>6</v>
      </c>
      <c r="R4" s="737">
        <f>'운용리스 입력'!X5</f>
        <v>20000</v>
      </c>
      <c r="S4" s="738"/>
      <c r="T4" s="739"/>
    </row>
    <row r="5" spans="2:24" ht="15" customHeight="1" thickBot="1" x14ac:dyDescent="0.35">
      <c r="B5" s="729" t="s">
        <v>1235</v>
      </c>
      <c r="C5" s="730"/>
      <c r="D5" s="744" t="str">
        <f>'운용리스 입력'!D6</f>
        <v>e_tron</v>
      </c>
      <c r="E5" s="745"/>
      <c r="G5" s="186"/>
      <c r="H5" s="182"/>
      <c r="I5" s="187"/>
      <c r="J5" s="182"/>
      <c r="K5" s="182"/>
      <c r="L5" s="186"/>
      <c r="M5" s="182"/>
      <c r="N5" s="187"/>
      <c r="O5" s="182"/>
      <c r="P5" s="182"/>
      <c r="Q5" s="186"/>
      <c r="R5" s="182"/>
      <c r="S5" s="187"/>
      <c r="T5" s="182"/>
    </row>
    <row r="6" spans="2:24" ht="15" customHeight="1" x14ac:dyDescent="0.3">
      <c r="B6" s="729" t="s">
        <v>1236</v>
      </c>
      <c r="C6" s="730"/>
      <c r="D6" s="744" t="str">
        <f>'운용리스 입력'!D7</f>
        <v>A6 e-tron Performance Advanced</v>
      </c>
      <c r="E6" s="745"/>
      <c r="G6" s="184" t="s">
        <v>7</v>
      </c>
      <c r="H6" s="188">
        <f>IF('운용리스 입력'!BB9=TRUE,'운용리스 입력'!J7,'운용리스 내부'!I6/'운용리스 내부'!D13)</f>
        <v>0</v>
      </c>
      <c r="I6" s="740">
        <f>IF('운용리스 입력'!BB9=FALSE,'운용리스 입력'!L8,ROUNDDOWN(('운용리스 내부'!D13*'운용리스 내부'!H6),-3))</f>
        <v>0</v>
      </c>
      <c r="J6" s="741"/>
      <c r="L6" s="184" t="s">
        <v>7</v>
      </c>
      <c r="M6" s="188">
        <f>IF('운용리스 입력'!BB16=TRUE,'운용리스 입력'!Q7,'운용리스 내부'!N6/'운용리스 내부'!D13)</f>
        <v>0</v>
      </c>
      <c r="N6" s="740">
        <f>IF('운용리스 입력'!BB16=FALSE,'운용리스 입력'!S8,ROUNDDOWN(('운용리스 내부'!D13*'운용리스 내부'!M6),-3))</f>
        <v>0</v>
      </c>
      <c r="O6" s="741"/>
      <c r="Q6" s="184" t="s">
        <v>7</v>
      </c>
      <c r="R6" s="188">
        <f>IF('운용리스 입력'!BB23=TRUE,'운용리스 입력'!X7,'운용리스 내부'!S6/'운용리스 내부'!D13)</f>
        <v>0</v>
      </c>
      <c r="S6" s="740">
        <f>IF('운용리스 입력'!BB23=FALSE,'운용리스 입력'!Z8,ROUNDDOWN(('운용리스 내부'!D13*'운용리스 내부'!R6),-3))</f>
        <v>0</v>
      </c>
      <c r="T6" s="741"/>
    </row>
    <row r="7" spans="2:24" ht="15" customHeight="1" x14ac:dyDescent="0.3">
      <c r="B7" s="729" t="s">
        <v>1236</v>
      </c>
      <c r="C7" s="730"/>
      <c r="D7" s="744" t="str">
        <f>'운용리스 입력'!D8</f>
        <v>25MY</v>
      </c>
      <c r="E7" s="745"/>
      <c r="G7" s="189" t="s">
        <v>1286</v>
      </c>
      <c r="H7" s="190">
        <f>IF('운용리스 입력'!BB10=TRUE,'운용리스 입력'!J9,'운용리스 내부'!I7/'운용리스 내부'!D13)</f>
        <v>0</v>
      </c>
      <c r="I7" s="710">
        <f>IF('운용리스 입력'!BB10=FALSE,'운용리스 입력'!L10,ROUNDDOWN(('운용리스 내부'!D13*'운용리스 내부'!H7),-3))</f>
        <v>0</v>
      </c>
      <c r="J7" s="711"/>
      <c r="L7" s="189" t="s">
        <v>1286</v>
      </c>
      <c r="M7" s="190">
        <f>IF('운용리스 입력'!BB17=TRUE,'운용리스 입력'!Q9,'운용리스 내부'!N7/'운용리스 내부'!D13)</f>
        <v>0</v>
      </c>
      <c r="N7" s="710">
        <f>IF('운용리스 입력'!BB17=FALSE,'운용리스 입력'!S10,ROUNDDOWN(('운용리스 내부'!D13*'운용리스 내부'!M7),-3))</f>
        <v>0</v>
      </c>
      <c r="O7" s="711"/>
      <c r="Q7" s="189" t="s">
        <v>1286</v>
      </c>
      <c r="R7" s="190">
        <f>IF('운용리스 입력'!BB24=TRUE,'운용리스 입력'!X9,'운용리스 내부'!S7/'운용리스 내부'!D13)</f>
        <v>0</v>
      </c>
      <c r="S7" s="710">
        <f>IF('운용리스 입력'!BB24=FALSE,'운용리스 입력'!Z10,ROUNDDOWN(('운용리스 내부'!D13*'운용리스 내부'!R7),-3))</f>
        <v>0</v>
      </c>
      <c r="T7" s="711"/>
    </row>
    <row r="8" spans="2:24" ht="15" customHeight="1" thickBot="1" x14ac:dyDescent="0.35">
      <c r="B8" s="777" t="s">
        <v>1386</v>
      </c>
      <c r="C8" s="778"/>
      <c r="D8" s="779">
        <f>VLOOKUP($D$6,차종!E:G,3,FALSE)</f>
        <v>0</v>
      </c>
      <c r="E8" s="780"/>
      <c r="G8" s="185" t="s">
        <v>8</v>
      </c>
      <c r="H8" s="192">
        <f>IF('운용리스 입력'!BB11=TRUE,'운용리스 입력'!J11,'운용리스 내부'!I8/'운용리스 내부'!D13)</f>
        <v>0.63</v>
      </c>
      <c r="I8" s="712">
        <f>IF('운용리스 입력'!BB11=FALSE,'운용리스 입력'!L12,ROUNDDOWN(('운용리스 내부'!D13*'운용리스 내부'!H8),-3))</f>
        <v>41454000</v>
      </c>
      <c r="J8" s="694"/>
      <c r="L8" s="185" t="s">
        <v>8</v>
      </c>
      <c r="M8" s="192">
        <f>IF('운용리스 입력'!BB18=TRUE,'운용리스 입력'!Q11,'운용리스 내부'!N8/'운용리스 내부'!D13)</f>
        <v>0.55000000000000004</v>
      </c>
      <c r="N8" s="712">
        <f>IF('운용리스 입력'!BB18=FALSE,'운용리스 입력'!S12,ROUNDDOWN(('운용리스 내부'!D13*'운용리스 내부'!M8),-3))</f>
        <v>36190000</v>
      </c>
      <c r="O8" s="694"/>
      <c r="Q8" s="185" t="s">
        <v>8</v>
      </c>
      <c r="R8" s="192">
        <f>IF('운용리스 입력'!BB25=TRUE,'운용리스 입력'!X11,'운용리스 내부'!S8/'운용리스 내부'!D13)</f>
        <v>0.49</v>
      </c>
      <c r="S8" s="712">
        <f>IF('운용리스 입력'!BB25=FALSE,'운용리스 입력'!Z12,ROUNDDOWN(('운용리스 내부'!D13*'운용리스 내부'!R8),-3))</f>
        <v>32242000</v>
      </c>
      <c r="T8" s="694"/>
    </row>
    <row r="9" spans="2:24" ht="15" customHeight="1" x14ac:dyDescent="0.3">
      <c r="G9" s="193" t="s">
        <v>220</v>
      </c>
      <c r="H9" s="194">
        <f>잔가!E12</f>
        <v>0.62999999999999989</v>
      </c>
      <c r="I9" s="746">
        <f>ROUNDDOWN((D13*H9),-3)</f>
        <v>41454000</v>
      </c>
      <c r="J9" s="747"/>
      <c r="L9" s="193" t="s">
        <v>220</v>
      </c>
      <c r="M9" s="194">
        <f>잔가!E21</f>
        <v>0.55000000000000004</v>
      </c>
      <c r="N9" s="746">
        <f>ROUNDDOWN(($D$13*M9),-3)</f>
        <v>36190000</v>
      </c>
      <c r="O9" s="747"/>
      <c r="Q9" s="193" t="s">
        <v>220</v>
      </c>
      <c r="R9" s="194">
        <f>잔가!E30</f>
        <v>0.49000000000000005</v>
      </c>
      <c r="S9" s="746">
        <f>ROUNDDOWN(($D$13*R9),-3)</f>
        <v>32242000</v>
      </c>
      <c r="T9" s="747"/>
    </row>
    <row r="10" spans="2:24" ht="15" customHeight="1" x14ac:dyDescent="0.3">
      <c r="B10" s="781" t="s">
        <v>214</v>
      </c>
      <c r="C10" s="730"/>
      <c r="D10" s="765">
        <f>'운용리스 입력'!D11</f>
        <v>65800000</v>
      </c>
      <c r="E10" s="752"/>
      <c r="G10" s="195" t="s">
        <v>221</v>
      </c>
      <c r="H10" s="196">
        <f>VLOOKUP(H3,잔가!J41:K45,2,0)</f>
        <v>0.3</v>
      </c>
      <c r="I10" s="748">
        <f>ROUNDDOWN((D13*H10),-3)</f>
        <v>19740000</v>
      </c>
      <c r="J10" s="706"/>
      <c r="L10" s="195" t="s">
        <v>221</v>
      </c>
      <c r="M10" s="196">
        <f>VLOOKUP(M3,잔가!J41:K45,2,0)</f>
        <v>0.2</v>
      </c>
      <c r="N10" s="748">
        <f>ROUNDDOWN(($D$13*M10),-3)</f>
        <v>13160000</v>
      </c>
      <c r="O10" s="706"/>
      <c r="Q10" s="195" t="s">
        <v>221</v>
      </c>
      <c r="R10" s="196">
        <f>VLOOKUP(R3,잔가!J41:K45,2,0)</f>
        <v>0.15</v>
      </c>
      <c r="S10" s="748">
        <f>ROUNDDOWN(($D$13*R10),-3)</f>
        <v>9870000</v>
      </c>
      <c r="T10" s="706"/>
    </row>
    <row r="11" spans="2:24" ht="15" customHeight="1" x14ac:dyDescent="0.3">
      <c r="B11" s="781" t="s">
        <v>217</v>
      </c>
      <c r="C11" s="730"/>
      <c r="D11" s="765">
        <f>'운용리스 입력'!D12</f>
        <v>0</v>
      </c>
      <c r="E11" s="752"/>
      <c r="G11" s="186"/>
      <c r="H11" s="182"/>
      <c r="I11" s="187"/>
      <c r="J11" s="187"/>
      <c r="K11" s="182"/>
      <c r="L11" s="186"/>
      <c r="M11" s="182"/>
      <c r="N11" s="187"/>
      <c r="O11" s="182"/>
      <c r="P11" s="182"/>
      <c r="Q11" s="186"/>
      <c r="R11" s="182"/>
      <c r="S11" s="187"/>
      <c r="T11" s="182"/>
    </row>
    <row r="12" spans="2:24" ht="15" customHeight="1" thickBot="1" x14ac:dyDescent="0.35">
      <c r="B12" s="782" t="s">
        <v>218</v>
      </c>
      <c r="C12" s="778"/>
      <c r="D12" s="766">
        <f>'운용리스 입력'!D13</f>
        <v>0</v>
      </c>
      <c r="E12" s="767"/>
      <c r="G12" s="341" t="s">
        <v>1587</v>
      </c>
      <c r="H12" s="749">
        <f>'운용리스 입력'!J17</f>
        <v>0</v>
      </c>
      <c r="I12" s="750"/>
      <c r="J12" s="750"/>
      <c r="L12" s="341" t="s">
        <v>1587</v>
      </c>
      <c r="M12" s="749">
        <f>'운용리스 입력'!Q17</f>
        <v>0</v>
      </c>
      <c r="N12" s="750"/>
      <c r="O12" s="750"/>
      <c r="Q12" s="341" t="s">
        <v>1587</v>
      </c>
      <c r="R12" s="749">
        <f>'운용리스 입력'!X17</f>
        <v>0</v>
      </c>
      <c r="S12" s="750"/>
      <c r="T12" s="750"/>
    </row>
    <row r="13" spans="2:24" ht="15" customHeight="1" thickBot="1" x14ac:dyDescent="0.35">
      <c r="B13" s="366" t="s">
        <v>219</v>
      </c>
      <c r="C13" s="367"/>
      <c r="D13" s="760">
        <f>'운용리스 입력'!D14</f>
        <v>65800000</v>
      </c>
      <c r="E13" s="761"/>
      <c r="G13" s="197" t="s">
        <v>1314</v>
      </c>
      <c r="H13" s="198"/>
      <c r="I13" s="751">
        <f>'운용리스 입력'!J18</f>
        <v>0</v>
      </c>
      <c r="J13" s="752"/>
      <c r="L13" s="197" t="s">
        <v>1314</v>
      </c>
      <c r="M13" s="198"/>
      <c r="N13" s="755">
        <f>'운용리스 입력'!Q18</f>
        <v>0</v>
      </c>
      <c r="O13" s="756"/>
      <c r="Q13" s="197" t="s">
        <v>1314</v>
      </c>
      <c r="R13" s="198"/>
      <c r="S13" s="755">
        <f>'운용리스 입력'!X18</f>
        <v>0</v>
      </c>
      <c r="T13" s="756"/>
    </row>
    <row r="14" spans="2:24" ht="15" customHeight="1" thickBot="1" x14ac:dyDescent="0.35">
      <c r="B14" s="199"/>
      <c r="E14" s="200"/>
      <c r="G14" s="201"/>
      <c r="H14" s="396" t="s">
        <v>1454</v>
      </c>
      <c r="I14" s="753">
        <f>IF((I15+I16)/D22&gt;10%,"수수료 초과",10%)</f>
        <v>0.1</v>
      </c>
      <c r="J14" s="754"/>
      <c r="K14" s="182"/>
      <c r="L14" s="201"/>
      <c r="M14" s="202" t="s">
        <v>1454</v>
      </c>
      <c r="N14" s="757">
        <f>IF((N15+N16)/D22&gt;10%,"수수료 초과",10%)</f>
        <v>0.1</v>
      </c>
      <c r="O14" s="758"/>
      <c r="P14" s="182"/>
      <c r="Q14" s="201"/>
      <c r="R14" s="202" t="s">
        <v>1454</v>
      </c>
      <c r="S14" s="757">
        <f>IF((S15+S16)/D22&gt;10%,"수수료 초과",10%)</f>
        <v>0.1</v>
      </c>
      <c r="T14" s="758"/>
    </row>
    <row r="15" spans="2:24" ht="15" customHeight="1" x14ac:dyDescent="0.3">
      <c r="B15" s="364" t="s">
        <v>1273</v>
      </c>
      <c r="C15" s="365"/>
      <c r="D15" s="768">
        <f>IF('운용리스 입력'!C16="포함",'운용리스 입력'!D16,0)</f>
        <v>4187270</v>
      </c>
      <c r="E15" s="769"/>
      <c r="G15" s="184" t="s">
        <v>1307</v>
      </c>
      <c r="H15" s="203">
        <f>'운용리스 입력'!J21</f>
        <v>0</v>
      </c>
      <c r="I15" s="759">
        <f>ROUNDDOWN((H15*$D$22),-1)</f>
        <v>0</v>
      </c>
      <c r="J15" s="741"/>
      <c r="L15" s="184" t="s">
        <v>1307</v>
      </c>
      <c r="M15" s="188">
        <f>'운용리스 입력'!Q21</f>
        <v>0</v>
      </c>
      <c r="N15" s="759">
        <f>ROUNDDOWN((M15*$D$22),-1)</f>
        <v>0</v>
      </c>
      <c r="O15" s="741"/>
      <c r="Q15" s="184" t="s">
        <v>1307</v>
      </c>
      <c r="R15" s="188">
        <f>'운용리스 입력'!X21</f>
        <v>0</v>
      </c>
      <c r="S15" s="759">
        <f>ROUNDDOWN((R15*$D$22),-1)</f>
        <v>0</v>
      </c>
      <c r="T15" s="741"/>
    </row>
    <row r="16" spans="2:24" ht="15" customHeight="1" thickBot="1" x14ac:dyDescent="0.35">
      <c r="B16" s="772" t="s">
        <v>2</v>
      </c>
      <c r="C16" s="773"/>
      <c r="D16" s="770" t="str">
        <f>'운용리스 입력'!E17</f>
        <v>부산</v>
      </c>
      <c r="E16" s="771"/>
      <c r="G16" s="185" t="s">
        <v>1308</v>
      </c>
      <c r="H16" s="204">
        <f>'운용리스 입력'!J22</f>
        <v>0</v>
      </c>
      <c r="I16" s="693">
        <f>ROUNDDOWN((H16*$D$22),-1)</f>
        <v>0</v>
      </c>
      <c r="J16" s="694"/>
      <c r="L16" s="185" t="s">
        <v>1308</v>
      </c>
      <c r="M16" s="192">
        <f>'운용리스 입력'!Q22</f>
        <v>0</v>
      </c>
      <c r="N16" s="693">
        <f>ROUNDDOWN((M16*$D$22),-1)</f>
        <v>0</v>
      </c>
      <c r="O16" s="694"/>
      <c r="Q16" s="185" t="s">
        <v>1308</v>
      </c>
      <c r="R16" s="192">
        <f>'운용리스 입력'!X22</f>
        <v>0</v>
      </c>
      <c r="S16" s="693">
        <f>ROUNDDOWN((R16*$D$22),-1)</f>
        <v>0</v>
      </c>
      <c r="T16" s="694"/>
    </row>
    <row r="17" spans="2:25" ht="15" customHeight="1" thickBot="1" x14ac:dyDescent="0.35">
      <c r="B17" s="774"/>
      <c r="C17" s="775"/>
      <c r="D17" s="205">
        <f>'운용리스 입력'!E18</f>
        <v>0</v>
      </c>
      <c r="E17" s="206">
        <f>IF('운용리스 입력'!C17="포함",'운용리스 입력'!F18,0)</f>
        <v>0</v>
      </c>
      <c r="G17" s="201"/>
      <c r="H17" s="695" t="str">
        <f>IF(H18="APS","70% 지급계좌 ~1867(국민)","")</f>
        <v>70% 지급계좌 ~1867(국민)</v>
      </c>
      <c r="I17" s="696"/>
      <c r="J17" s="697"/>
      <c r="K17" s="182"/>
      <c r="L17" s="201"/>
      <c r="M17" s="698" t="str">
        <f>IF(M18="APS","70% 지급계좌 ~1867(국민)","")</f>
        <v>70% 지급계좌 ~1867(국민)</v>
      </c>
      <c r="N17" s="699"/>
      <c r="O17" s="700"/>
      <c r="P17" s="182"/>
      <c r="Q17" s="201"/>
      <c r="R17" s="698" t="str">
        <f>IF(R18="APS","70% 지급계좌 ~1867(국민)","")</f>
        <v>70% 지급계좌 ~1867(국민)</v>
      </c>
      <c r="S17" s="699"/>
      <c r="T17" s="700"/>
    </row>
    <row r="18" spans="2:25" ht="15" customHeight="1" x14ac:dyDescent="0.3">
      <c r="B18" s="729" t="s">
        <v>4</v>
      </c>
      <c r="C18" s="730"/>
      <c r="D18" s="368">
        <f>IF('운용리스 입력'!C19="포함",'운용리스 입력'!D19,0)</f>
        <v>0</v>
      </c>
      <c r="E18" s="369"/>
      <c r="G18" s="721" t="s">
        <v>1309</v>
      </c>
      <c r="H18" s="724" t="str">
        <f>잔가!C11</f>
        <v>APS</v>
      </c>
      <c r="I18" s="394">
        <f>IF(잔가!C11="AJ",50%,IF(잔가!C11="APS",30%,""))</f>
        <v>0.3</v>
      </c>
      <c r="J18" s="392">
        <f>IF(H18="AJ",잔가!D13*I18,IF(H18="APS",잔가!D13*I18,""))</f>
        <v>256620</v>
      </c>
      <c r="L18" s="721" t="s">
        <v>1260</v>
      </c>
      <c r="M18" s="724" t="str">
        <f>잔가!C20</f>
        <v>APS</v>
      </c>
      <c r="N18" s="394">
        <f>IF(잔가!C20="AJ",50%,IF(잔가!C20="APS",30%,""))</f>
        <v>0.3</v>
      </c>
      <c r="O18" s="392">
        <f>IF(M18="AJ",잔가!D22*N18,IF(M18="APS",잔가!D22*N18,""))</f>
        <v>256620</v>
      </c>
      <c r="Q18" s="721" t="s">
        <v>1260</v>
      </c>
      <c r="R18" s="724" t="str">
        <f>잔가!C29</f>
        <v>APS</v>
      </c>
      <c r="S18" s="394">
        <f>IF(잔가!C29="AJ",50%,IF(잔가!C29="APS",30%,""))</f>
        <v>0.3</v>
      </c>
      <c r="T18" s="392">
        <f>IF(R18="AJ",잔가!D31*S18,IF(R18="APS",잔가!D31*S18,""))</f>
        <v>256620</v>
      </c>
    </row>
    <row r="19" spans="2:25" ht="15" customHeight="1" thickBot="1" x14ac:dyDescent="0.35">
      <c r="B19" s="777" t="s">
        <v>3</v>
      </c>
      <c r="C19" s="778"/>
      <c r="D19" s="766">
        <f>IF('운용리스 입력'!C20="포함",'운용리스 입력'!D20,0)</f>
        <v>100000</v>
      </c>
      <c r="E19" s="776"/>
      <c r="G19" s="722"/>
      <c r="H19" s="725"/>
      <c r="I19" s="395">
        <f>IF(잔가!C11="AJ",50%,IF(잔가!C11="APS",70%,""))</f>
        <v>0.7</v>
      </c>
      <c r="J19" s="393">
        <f>IF(H18="AJ",잔가!D13*I19,IF(H18="APS",잔가!D13*I19,""))</f>
        <v>598780</v>
      </c>
      <c r="L19" s="722"/>
      <c r="M19" s="725"/>
      <c r="N19" s="395">
        <f>IF(잔가!C20="AJ",50%,IF(잔가!C20="APS",70%,""))</f>
        <v>0.7</v>
      </c>
      <c r="O19" s="393">
        <f>IF(M18="AJ",잔가!D22*N19,IF(M18="APS",잔가!D22*N19,""))</f>
        <v>598780</v>
      </c>
      <c r="Q19" s="722"/>
      <c r="R19" s="725"/>
      <c r="S19" s="395">
        <f>IF(잔가!C29="AJ",50%,IF(잔가!C29="APS",70%,""))</f>
        <v>0.7</v>
      </c>
      <c r="T19" s="393">
        <f>IF(R18="AJ",잔가!D31*S19,IF(R18="APS",잔가!D31*S19,""))</f>
        <v>598780</v>
      </c>
    </row>
    <row r="20" spans="2:25" ht="15" customHeight="1" thickBot="1" x14ac:dyDescent="0.35">
      <c r="B20" s="762" t="s">
        <v>215</v>
      </c>
      <c r="C20" s="763"/>
      <c r="D20" s="760">
        <f>'운용리스 입력'!D21</f>
        <v>4287270</v>
      </c>
      <c r="E20" s="761"/>
      <c r="G20" s="723"/>
      <c r="H20" s="726"/>
      <c r="I20" s="402" t="s">
        <v>1778</v>
      </c>
      <c r="J20" s="403">
        <f>잔가!D13</f>
        <v>855400</v>
      </c>
      <c r="L20" s="723"/>
      <c r="M20" s="726"/>
      <c r="N20" s="402" t="s">
        <v>1778</v>
      </c>
      <c r="O20" s="403">
        <f>잔가!D22</f>
        <v>855400</v>
      </c>
      <c r="Q20" s="723"/>
      <c r="R20" s="726"/>
      <c r="S20" s="402" t="s">
        <v>1778</v>
      </c>
      <c r="T20" s="403">
        <f>잔가!D31</f>
        <v>855400</v>
      </c>
      <c r="V20" s="181"/>
    </row>
    <row r="21" spans="2:25" ht="15" customHeight="1" thickBot="1" x14ac:dyDescent="0.35">
      <c r="B21" s="199"/>
      <c r="E21" s="200"/>
      <c r="G21" s="783" t="s">
        <v>1316</v>
      </c>
      <c r="H21" s="399" t="str">
        <f>$D$3</f>
        <v>기타</v>
      </c>
      <c r="I21" s="400">
        <f>VLOOKUP($D$3,딜러사!$E$6:$G$25,3,FALSE)-딜러사!E28-딜러사!E29</f>
        <v>0</v>
      </c>
      <c r="J21" s="404">
        <f>ROUNDDOWN(($D$22*I21),-1)</f>
        <v>0</v>
      </c>
      <c r="L21" s="783" t="s">
        <v>1316</v>
      </c>
      <c r="M21" s="399" t="str">
        <f>$D$3</f>
        <v>기타</v>
      </c>
      <c r="N21" s="400">
        <f>VLOOKUP($D$3,딜러사!$E$6:$G$25,3,FALSE)-딜러사!E28-딜러사!E29</f>
        <v>0</v>
      </c>
      <c r="O21" s="401">
        <f>ROUNDDOWN(($D$22*N21),-1)</f>
        <v>0</v>
      </c>
      <c r="Q21" s="783" t="s">
        <v>1316</v>
      </c>
      <c r="R21" s="399" t="str">
        <f>$D$3</f>
        <v>기타</v>
      </c>
      <c r="S21" s="400">
        <f>VLOOKUP($D$3,딜러사!$E$6:$G$25,3,FALSE)-딜러사!E28-딜러사!E29</f>
        <v>0</v>
      </c>
      <c r="T21" s="401">
        <f>ROUNDDOWN(($D$22*S21),-1)</f>
        <v>0</v>
      </c>
      <c r="Y21" s="181" t="s">
        <v>1665</v>
      </c>
    </row>
    <row r="22" spans="2:25" ht="15" customHeight="1" thickBot="1" x14ac:dyDescent="0.35">
      <c r="B22" s="762" t="s">
        <v>216</v>
      </c>
      <c r="C22" s="763"/>
      <c r="D22" s="760">
        <f>'운용리스 입력'!D23</f>
        <v>70087270</v>
      </c>
      <c r="E22" s="761"/>
      <c r="G22" s="784"/>
      <c r="H22" s="386" t="str">
        <f>IF(D3="세영모빌리티","1줄추가 별도 입력","")</f>
        <v/>
      </c>
      <c r="I22" s="390"/>
      <c r="J22" s="346">
        <f>IF(D3="세영모빌리티",딜러사!E30,0)</f>
        <v>0</v>
      </c>
      <c r="L22" s="784"/>
      <c r="M22" s="386" t="str">
        <f>IF(D3="세영모빌리티","1줄추가 별도 입력","")</f>
        <v/>
      </c>
      <c r="N22" s="390"/>
      <c r="O22" s="346">
        <f>IF(D3="세영모빌리티",딜러사!E30,0)</f>
        <v>0</v>
      </c>
      <c r="Q22" s="784"/>
      <c r="R22" s="382" t="str">
        <f>IF(D3="세영모빌리티","1줄추가 별도 입력","")</f>
        <v/>
      </c>
      <c r="S22" s="391"/>
      <c r="T22" s="346">
        <f>IF(D3="세영모빌리티",딜러사!E30,0)</f>
        <v>0</v>
      </c>
    </row>
    <row r="23" spans="2:25" ht="15" customHeight="1" thickBot="1" x14ac:dyDescent="0.35">
      <c r="G23" s="189" t="s">
        <v>1317</v>
      </c>
      <c r="H23" s="387" t="str">
        <f>IF(D3="아우토슈타트",D3,IF(D3="브리티시오토",D3,IF(D3="모터원","모터원담당","")))</f>
        <v/>
      </c>
      <c r="I23" s="207">
        <f>IF(D3="아우토슈타트",0.1%,IF(D3="브리티시오토",0.2%,IF(D3="모터원",0.2%,0)))</f>
        <v>0</v>
      </c>
      <c r="J23" s="208">
        <f>ROUNDDOWN(($D$22*I23),-1)</f>
        <v>0</v>
      </c>
      <c r="K23" s="182"/>
      <c r="L23" s="189" t="s">
        <v>1317</v>
      </c>
      <c r="M23" s="387" t="str">
        <f>IF(D3="아우토슈타트",D3,IF(D3="브리티시오토",D3,IF(D3="모터원","모터원담당","")))</f>
        <v/>
      </c>
      <c r="N23" s="207">
        <f>IF(D3="아우토슈타트",0.1%,IF(D3="브리티시오토",0.2%,IF(D3="모터원",0.2%,0)))</f>
        <v>0</v>
      </c>
      <c r="O23" s="208">
        <f>ROUNDDOWN(($D$22*N23),-1)</f>
        <v>0</v>
      </c>
      <c r="Q23" s="189" t="s">
        <v>1317</v>
      </c>
      <c r="R23" s="387" t="str">
        <f>IF(D3="아우토슈타트",D3,IF(D3="브리티시오토",D3,IF(D3="모터원","모터원담당","")))</f>
        <v/>
      </c>
      <c r="S23" s="207">
        <f>IF(D3="아우토슈타트",0.1%,IF(D3="브리티시오토",0.2%,IF(D3="모터원",0.2%,0)))</f>
        <v>0</v>
      </c>
      <c r="T23" s="208">
        <f>ROUNDDOWN(($D$22*S23),-1)</f>
        <v>0</v>
      </c>
    </row>
    <row r="24" spans="2:25" ht="15" customHeight="1" thickTop="1" thickBot="1" x14ac:dyDescent="0.35">
      <c r="G24" s="209" t="s">
        <v>1455</v>
      </c>
      <c r="H24" s="210" t="s">
        <v>1467</v>
      </c>
      <c r="I24" s="211">
        <v>5.0000000000000001E-3</v>
      </c>
      <c r="J24" s="212">
        <f>ROUNDDOWN(($D$22*I24),-1)</f>
        <v>350430</v>
      </c>
      <c r="K24" s="182"/>
      <c r="L24" s="209" t="s">
        <v>1455</v>
      </c>
      <c r="M24" s="210" t="s">
        <v>1467</v>
      </c>
      <c r="N24" s="213">
        <v>5.0000000000000001E-3</v>
      </c>
      <c r="O24" s="212">
        <f>ROUNDDOWN(($D$22*N24),-1)</f>
        <v>350430</v>
      </c>
      <c r="Q24" s="209" t="s">
        <v>1455</v>
      </c>
      <c r="R24" s="210" t="s">
        <v>1467</v>
      </c>
      <c r="S24" s="213">
        <v>5.0000000000000001E-3</v>
      </c>
      <c r="T24" s="212">
        <f>ROUNDDOWN(($D$22*S24),-1)</f>
        <v>350430</v>
      </c>
    </row>
    <row r="25" spans="2:25" ht="15" customHeight="1" thickTop="1" thickBot="1" x14ac:dyDescent="0.35">
      <c r="B25" s="764" t="str">
        <f>IF(OR(D7="23MY",D7="24MY"),"차량 최대할인 입력필수 / 미입력시 진행 불가","")</f>
        <v/>
      </c>
      <c r="C25" s="764"/>
      <c r="D25" s="764"/>
      <c r="E25" s="764"/>
      <c r="G25" s="214" t="s">
        <v>1315</v>
      </c>
      <c r="H25" s="383">
        <f>IF('운용리스 입력'!BB7=FALSE,'운용리스 입력'!$D$14*0.6%*100%,0)</f>
        <v>0</v>
      </c>
      <c r="I25" s="384"/>
      <c r="J25" s="385"/>
      <c r="L25" s="214" t="s">
        <v>1315</v>
      </c>
      <c r="M25" s="383">
        <f>IF('운용리스 입력'!BB14=FALSE,'운용리스 입력'!$D$14*0.6%*100%,0)</f>
        <v>0</v>
      </c>
      <c r="N25" s="384"/>
      <c r="O25" s="385"/>
      <c r="P25" s="182"/>
      <c r="Q25" s="214" t="s">
        <v>1315</v>
      </c>
      <c r="R25" s="383">
        <f>IF('운용리스 입력'!BB21=FALSE,'운용리스 입력'!$D$14*0.6%*100%,0)</f>
        <v>0</v>
      </c>
      <c r="S25" s="384"/>
      <c r="T25" s="385"/>
    </row>
    <row r="26" spans="2:25" ht="15" customHeight="1" thickBot="1" x14ac:dyDescent="0.35">
      <c r="B26" s="764"/>
      <c r="C26" s="764"/>
      <c r="D26" s="764"/>
      <c r="E26" s="764"/>
      <c r="G26" s="201"/>
      <c r="H26" s="397" t="s">
        <v>1463</v>
      </c>
      <c r="I26" s="785">
        <f>(I15+I16+J20+J21+J23+J24)/D22</f>
        <v>1.7204693519950198E-2</v>
      </c>
      <c r="J26" s="786"/>
      <c r="L26" s="201"/>
      <c r="M26" s="215" t="s">
        <v>1463</v>
      </c>
      <c r="N26" s="719">
        <f>(N15+N16+O20+O21+O23+O24)/D22</f>
        <v>1.7204693519950198E-2</v>
      </c>
      <c r="O26" s="720"/>
      <c r="P26" s="182"/>
      <c r="Q26" s="201"/>
      <c r="R26" s="215" t="s">
        <v>1463</v>
      </c>
      <c r="S26" s="719">
        <f>(S15+S16+T20+T21+T23+T24)/D22</f>
        <v>1.7204693519950198E-2</v>
      </c>
      <c r="T26" s="720"/>
    </row>
    <row r="27" spans="2:25" ht="15" customHeight="1" x14ac:dyDescent="0.3">
      <c r="B27" s="764"/>
      <c r="C27" s="764"/>
      <c r="D27" s="764"/>
      <c r="E27" s="764"/>
      <c r="G27" s="184" t="s">
        <v>1312</v>
      </c>
      <c r="H27" s="759">
        <f>H42</f>
        <v>1079400</v>
      </c>
      <c r="I27" s="740"/>
      <c r="J27" s="741"/>
      <c r="L27" s="184" t="s">
        <v>1312</v>
      </c>
      <c r="M27" s="707">
        <f>M42</f>
        <v>971000</v>
      </c>
      <c r="N27" s="708"/>
      <c r="O27" s="709"/>
      <c r="Q27" s="184" t="s">
        <v>1312</v>
      </c>
      <c r="R27" s="707">
        <f>R42</f>
        <v>882700</v>
      </c>
      <c r="S27" s="708"/>
      <c r="T27" s="709"/>
    </row>
    <row r="28" spans="2:25" ht="15" customHeight="1" x14ac:dyDescent="0.3">
      <c r="G28" s="189" t="s">
        <v>10</v>
      </c>
      <c r="H28" s="703">
        <f>IF('운용리스 입력'!BB13=FALSE,0,'공채&amp;차세'!$D$50)</f>
        <v>0</v>
      </c>
      <c r="I28" s="710"/>
      <c r="J28" s="711"/>
      <c r="L28" s="189" t="s">
        <v>10</v>
      </c>
      <c r="M28" s="703">
        <f>IF('운용리스 입력'!BB20=FALSE,0,'공채&amp;차세'!$D$50)</f>
        <v>0</v>
      </c>
      <c r="N28" s="710"/>
      <c r="O28" s="711"/>
      <c r="Q28" s="189" t="s">
        <v>10</v>
      </c>
      <c r="R28" s="703">
        <f>IF('운용리스 입력'!BB27=FALSE,0,'공채&amp;차세'!$D$50)</f>
        <v>0</v>
      </c>
      <c r="S28" s="710"/>
      <c r="T28" s="711"/>
    </row>
    <row r="29" spans="2:25" ht="15" customHeight="1" thickBot="1" x14ac:dyDescent="0.35">
      <c r="G29" s="381" t="s">
        <v>1313</v>
      </c>
      <c r="H29" s="693">
        <f>ROUNDDOWN((I7/H3),-1)</f>
        <v>0</v>
      </c>
      <c r="I29" s="712"/>
      <c r="J29" s="694"/>
      <c r="L29" s="381" t="s">
        <v>1313</v>
      </c>
      <c r="M29" s="693">
        <f>ROUNDDOWN((N7/M3),-1)</f>
        <v>0</v>
      </c>
      <c r="N29" s="712"/>
      <c r="O29" s="694"/>
      <c r="Q29" s="381" t="s">
        <v>1313</v>
      </c>
      <c r="R29" s="693">
        <f>ROUNDDOWN((S7/R3),-1)</f>
        <v>0</v>
      </c>
      <c r="S29" s="712"/>
      <c r="T29" s="694"/>
    </row>
    <row r="30" spans="2:25" ht="15" customHeight="1" thickBot="1" x14ac:dyDescent="0.35">
      <c r="F30" s="182"/>
      <c r="G30" s="380" t="s">
        <v>223</v>
      </c>
      <c r="H30" s="388" t="str">
        <f>IF(I9&lt;I8,"잔가 기준 내 가능",IF(I10&gt;I8,"잔가 기준 내 가능",IF(I14="수수료 초과","수수료 초과",IF(H32&lt;2.3%,"담당자 문의",IF(H6+H7&gt;70.1%,"초기비용 70% 초과",IF(H6&gt;50.1%,"보증금 50% 초과",IF(H7&gt;50.1%,"선수금 50% 초과",IF(H6+H7+H8&gt;100.1%,"초기비용+잔가 초과",IF(H43&lt;0,"진행불가","")))))))))</f>
        <v/>
      </c>
      <c r="I30" s="389"/>
      <c r="J30" s="216">
        <f>IF(H43+H28=H27-H29+H28,H43+H28,H27-H29+H28)</f>
        <v>1079400</v>
      </c>
      <c r="L30" s="380" t="s">
        <v>223</v>
      </c>
      <c r="M30" s="388" t="str">
        <f>IF(N9&lt;N8,"잔가 기준 내 가능",IF(N10&gt;N8,"잔가 기준 내 가능",IF(N14="수수료 초과","수수료 초과",IF(M32&lt;2.3%,"담당자 문의",IF(M6+M7&gt;70.1%,"초기비용 70% 초과",IF(M6&gt;50.1%,"보증금 50% 초과",IF(M7&gt;50.1%,"선수금 50% 초과",IF(M6+M7+M8&gt;100.1%,"초기비용+잔가 초과",IF(M43&lt;0,"진행불가","")))))))))</f>
        <v/>
      </c>
      <c r="N30" s="389"/>
      <c r="O30" s="216">
        <f>IF(M43+M28=M27-M29+M28,M43+M28,M27-M29+M28)</f>
        <v>971000</v>
      </c>
      <c r="Q30" s="380" t="s">
        <v>223</v>
      </c>
      <c r="R30" s="388" t="str">
        <f>IF(S9&lt;S8,"잔가 기준 내 가능",IF(S10&gt;S8,"잔가 기준 내 가능",IF(S14="수수료 초과","수수료 초과",IF(R32&lt;2.3%,"담당자 문의",IF(R6+R7&gt;70.1%,"초기비용 70% 초과",IF(R6&gt;50.1%,"보증금 50% 초과",IF(R7&gt;50.1%,"선수금 50% 초과",IF(R6+R7+R8&gt;100.1%,"초기비용+잔가 초과",IF(R43&lt;0,"진행불가","")))))))))</f>
        <v/>
      </c>
      <c r="S30" s="389"/>
      <c r="T30" s="216">
        <f>IF(R43+R28=R27-R29+R28,R43+R28,R27-R29+R28)</f>
        <v>882700</v>
      </c>
      <c r="U30" s="182"/>
      <c r="V30" s="219"/>
    </row>
    <row r="31" spans="2:25" ht="15" customHeight="1" thickBot="1" x14ac:dyDescent="0.35">
      <c r="F31" s="182"/>
      <c r="U31" s="182"/>
    </row>
    <row r="32" spans="2:25" ht="15" customHeight="1" x14ac:dyDescent="0.3">
      <c r="F32" s="182"/>
      <c r="G32" s="184" t="s">
        <v>1310</v>
      </c>
      <c r="H32" s="713">
        <f>RATE(H3,H42,(-$D$22+H12),I8)*12</f>
        <v>6.0221054135445283E-2</v>
      </c>
      <c r="I32" s="714"/>
      <c r="J32" s="715"/>
      <c r="K32" s="182"/>
      <c r="L32" s="217" t="s">
        <v>1310</v>
      </c>
      <c r="M32" s="713">
        <f>RATE(M3,M42,(-$D$22+M12),N8)*12</f>
        <v>5.8680513366842463E-2</v>
      </c>
      <c r="N32" s="714"/>
      <c r="O32" s="715"/>
      <c r="Q32" s="184" t="s">
        <v>1310</v>
      </c>
      <c r="R32" s="713">
        <f>RATE(R3,R42,(-$D$22+R12),S8)*12</f>
        <v>5.7712436235028947E-2</v>
      </c>
      <c r="S32" s="714"/>
      <c r="T32" s="715"/>
      <c r="U32" s="182"/>
    </row>
    <row r="33" spans="6:21" ht="15" customHeight="1" thickBot="1" x14ac:dyDescent="0.35">
      <c r="F33" s="182"/>
      <c r="G33" s="185" t="s">
        <v>1271</v>
      </c>
      <c r="H33" s="716">
        <f>VLOOKUP($D$4,브랜드!$B$2:$C$29,2,FALSE)+IF(H6+H7&gt;49.9999%,브랜드!C35,0%)+IF(H6+H7&gt;59.9999%,브랜드!C36,0%)+IF(H6+H7&gt;64.9999%,브랜드!C37,0%)+IF(H6+H7&lt;10%,브랜드!C32,0%)+IF(D7="23MY",브랜드!C38,0%)+IF(H25&gt;0,0.2%,0%)+IF(D6="Polestar 4 Long range Dual motor",1.7%,0%)</f>
        <v>5.2500000000000005E-2</v>
      </c>
      <c r="I33" s="717"/>
      <c r="J33" s="718"/>
      <c r="K33" s="182"/>
      <c r="L33" s="218" t="s">
        <v>1271</v>
      </c>
      <c r="M33" s="716">
        <f>VLOOKUP($D$4,브랜드!$B$2:$C$29,2,FALSE)+IF(M6+M7&gt;49.9999%,브랜드!C35,0%)+IF(M6+M7&gt;59.9999%,브랜드!C36,0%)+IF(M6+M7&gt;64.9999%,브랜드!C37,0%)+IF(M6+M7&lt;10%,브랜드!C32,0%)+IF(D7="23MY",브랜드!C38,0%)+IF(M25&gt;0,0.2%,0%)+IF(D6="Polestar 4 Long range Dual motor",1.7%,0%)</f>
        <v>5.2500000000000005E-2</v>
      </c>
      <c r="N33" s="717"/>
      <c r="O33" s="718"/>
      <c r="Q33" s="185" t="s">
        <v>1271</v>
      </c>
      <c r="R33" s="716">
        <f>VLOOKUP($D$4,브랜드!$B$2:$C$29,2,FALSE)+IF(R6+R7&gt;49.9999%,브랜드!C35,0%)+IF(R6+R7&gt;59.9999%,브랜드!C36,0%)+IF(R6+R7&gt;64.9999%,브랜드!C37,0%)+IF(R6+R7&lt;10%,브랜드!C32,0%)+IF(D7="23MY",브랜드!C38,0%)+IF(R25&gt;0,0.2%,0%)+IF(D6="Polestar 4 Long range Dual motor",1.7%,0%)</f>
        <v>5.2500000000000005E-2</v>
      </c>
      <c r="S33" s="717"/>
      <c r="T33" s="718"/>
      <c r="U33" s="182"/>
    </row>
    <row r="34" spans="6:21" ht="15" customHeight="1" x14ac:dyDescent="0.3">
      <c r="F34" s="182"/>
      <c r="G34" s="201"/>
      <c r="H34" s="182"/>
      <c r="I34" s="187"/>
      <c r="J34" s="182"/>
      <c r="L34" s="201"/>
      <c r="M34" s="182"/>
      <c r="N34" s="187"/>
      <c r="O34" s="182"/>
      <c r="P34" s="182"/>
      <c r="Q34" s="201"/>
      <c r="R34" s="182"/>
      <c r="S34" s="187"/>
      <c r="T34" s="182"/>
      <c r="U34" s="182"/>
    </row>
    <row r="35" spans="6:21" ht="15" customHeight="1" x14ac:dyDescent="0.3">
      <c r="F35" s="182"/>
      <c r="G35" s="220" t="s">
        <v>1457</v>
      </c>
      <c r="H35" s="221"/>
      <c r="I35" s="701">
        <f>ROUNDUP(PMT(H33/12,H3,-$D$22+H12-I15-I16-J20-J21-J22-J23-J24-10000+I13-H25,I8),-2)</f>
        <v>1079400</v>
      </c>
      <c r="J35" s="702"/>
      <c r="L35" s="220" t="s">
        <v>1457</v>
      </c>
      <c r="M35" s="221"/>
      <c r="N35" s="701">
        <f>ROUNDUP(PMT(M33/12,M3,-$D$22+M12-N15-N16-O20-O21-O22-O23-O24-10000+N13-M25,N8),-2)</f>
        <v>971000</v>
      </c>
      <c r="O35" s="702"/>
      <c r="P35" s="182"/>
      <c r="Q35" s="220" t="s">
        <v>1457</v>
      </c>
      <c r="R35" s="221"/>
      <c r="S35" s="701">
        <f>ROUNDUP(PMT(R33/12,R3,-$D$22+R12-S15-S16-T20-T21-T22-T23-T24-10000+S13-R25,S8),-2)</f>
        <v>882700</v>
      </c>
      <c r="T35" s="702"/>
      <c r="U35" s="182"/>
    </row>
    <row r="36" spans="6:21" ht="15" customHeight="1" x14ac:dyDescent="0.3">
      <c r="G36" s="222" t="s">
        <v>1458</v>
      </c>
      <c r="H36" s="223">
        <f>IF(H12&gt;0,0,I36/I35)</f>
        <v>0</v>
      </c>
      <c r="I36" s="703">
        <f>I35-ROUNDUP(PMT(H33/12,H3,-$D$22+H12+I6-I15-I16-J20-J21-J22-J23-J24-10000+I13-H25,I8-I6),-2)</f>
        <v>0</v>
      </c>
      <c r="J36" s="704"/>
      <c r="L36" s="222" t="s">
        <v>1458</v>
      </c>
      <c r="M36" s="223">
        <f>IF(M12&gt;0,0,N36/N35)</f>
        <v>0</v>
      </c>
      <c r="N36" s="703">
        <f>N35-ROUNDUP(PMT(M33/12,M3,-$D$22+M12+N6-N15-N16-O20-O21-O22-O23-O24-10000+N13-M25,N8-N6),-2)</f>
        <v>0</v>
      </c>
      <c r="O36" s="704"/>
      <c r="Q36" s="222" t="s">
        <v>1458</v>
      </c>
      <c r="R36" s="223">
        <f>IF(R12&gt;0,0,S36/S35)</f>
        <v>0</v>
      </c>
      <c r="S36" s="703">
        <f>S35-ROUNDUP(PMT(R33/12,R3,-$D$22+R12+S6-S15-S16-T20-T21-T22-T23-T24-10000+S13-R25,S8-S6),-2)</f>
        <v>0</v>
      </c>
      <c r="T36" s="704"/>
    </row>
    <row r="37" spans="6:21" ht="15" customHeight="1" x14ac:dyDescent="0.3">
      <c r="G37" s="224" t="s">
        <v>1459</v>
      </c>
      <c r="H37" s="225">
        <f>IF(H12&gt;0,0,I37/I35)</f>
        <v>0</v>
      </c>
      <c r="I37" s="705">
        <f>I35-ROUNDUP(PMT(H33/12,H3,-$D$22+H12+I7-I15-I16-J20-J21-J22-J23-J24-10000+I13-H25,I8),-2)</f>
        <v>0</v>
      </c>
      <c r="J37" s="706"/>
      <c r="L37" s="224" t="s">
        <v>1459</v>
      </c>
      <c r="M37" s="225">
        <f>IF(M12&gt;0,0,N37/N35)</f>
        <v>0</v>
      </c>
      <c r="N37" s="705">
        <f>N35-ROUNDUP(PMT(M33/12,M3,-$D$22+M12+N7-N15-N16-O20-O21-O22-O23-O24-10000+N13-M25,N8),-2)</f>
        <v>0</v>
      </c>
      <c r="O37" s="706"/>
      <c r="Q37" s="224" t="s">
        <v>1459</v>
      </c>
      <c r="R37" s="225">
        <f>IF(R12&gt;0,0,S37/S35)</f>
        <v>0</v>
      </c>
      <c r="S37" s="705">
        <f>S35-ROUNDUP(PMT(R33/12,R3,-$D$22+R12+S7-S15-S16-T20-T21-T22-T23-T24-10000+S13-R25,S8),-2)</f>
        <v>0</v>
      </c>
      <c r="T37" s="706"/>
    </row>
    <row r="42" spans="6:21" ht="15" customHeight="1" x14ac:dyDescent="0.3">
      <c r="G42" s="226" t="s">
        <v>1311</v>
      </c>
      <c r="H42" s="689">
        <f>ROUNDDOWN(H43+(I7/H3),-1)</f>
        <v>1079400</v>
      </c>
      <c r="I42" s="689"/>
      <c r="J42" s="690"/>
      <c r="K42" s="182"/>
      <c r="L42" s="226" t="s">
        <v>1311</v>
      </c>
      <c r="M42" s="689">
        <f>ROUNDDOWN(M43+(N7/M3),-1)</f>
        <v>971000</v>
      </c>
      <c r="N42" s="689"/>
      <c r="O42" s="690"/>
      <c r="P42" s="182"/>
      <c r="Q42" s="226" t="s">
        <v>1311</v>
      </c>
      <c r="R42" s="689">
        <f>ROUNDDOWN(R43+(S7/R3),-1)</f>
        <v>882700</v>
      </c>
      <c r="S42" s="689"/>
      <c r="T42" s="690"/>
    </row>
    <row r="43" spans="6:21" ht="15" customHeight="1" x14ac:dyDescent="0.3">
      <c r="G43" s="227" t="s">
        <v>222</v>
      </c>
      <c r="H43" s="691">
        <f>ROUNDUP(PMT(H33/12,H3,-$D$22+H12+I6+I7-I15-I16-J20-J21-J22-J23-J24-10000+I13-H25,I8-I6),-2)</f>
        <v>1079400</v>
      </c>
      <c r="I43" s="691"/>
      <c r="J43" s="692"/>
      <c r="K43" s="187"/>
      <c r="L43" s="228" t="s">
        <v>222</v>
      </c>
      <c r="M43" s="691">
        <f>ROUNDUP(PMT(M33/12,M3,-$D$22+M12+N6+N7-N15-N16-O20-O21-O22-O23-O24-10000+N13-M25,N8-N6),-2)</f>
        <v>971000</v>
      </c>
      <c r="N43" s="691"/>
      <c r="O43" s="692"/>
      <c r="P43" s="187"/>
      <c r="Q43" s="228" t="s">
        <v>222</v>
      </c>
      <c r="R43" s="691">
        <f>ROUNDUP(PMT(R33/12,R3,-$D$22+R12+S6+S7-S15-S16-T20-T21-T22-T23-T24-10000+S13-R25,S8-S6),-2)</f>
        <v>882700</v>
      </c>
      <c r="S43" s="691"/>
      <c r="T43" s="692"/>
    </row>
  </sheetData>
  <mergeCells count="115">
    <mergeCell ref="G21:G22"/>
    <mergeCell ref="H18:H20"/>
    <mergeCell ref="G18:G20"/>
    <mergeCell ref="Q21:Q22"/>
    <mergeCell ref="I35:J35"/>
    <mergeCell ref="I36:J36"/>
    <mergeCell ref="L21:L22"/>
    <mergeCell ref="I37:J37"/>
    <mergeCell ref="H27:J27"/>
    <mergeCell ref="H28:J28"/>
    <mergeCell ref="H29:J29"/>
    <mergeCell ref="M27:O27"/>
    <mergeCell ref="M28:O28"/>
    <mergeCell ref="M29:O29"/>
    <mergeCell ref="N35:O35"/>
    <mergeCell ref="N36:O36"/>
    <mergeCell ref="N37:O37"/>
    <mergeCell ref="H33:J33"/>
    <mergeCell ref="M32:O32"/>
    <mergeCell ref="M33:O33"/>
    <mergeCell ref="I26:J26"/>
    <mergeCell ref="N26:O26"/>
    <mergeCell ref="L18:L20"/>
    <mergeCell ref="M18:M20"/>
    <mergeCell ref="I15:J15"/>
    <mergeCell ref="D22:E22"/>
    <mergeCell ref="B22:C22"/>
    <mergeCell ref="B7:C7"/>
    <mergeCell ref="D7:E7"/>
    <mergeCell ref="B25:E27"/>
    <mergeCell ref="D11:E11"/>
    <mergeCell ref="D12:E12"/>
    <mergeCell ref="D13:E13"/>
    <mergeCell ref="D15:E15"/>
    <mergeCell ref="D16:E16"/>
    <mergeCell ref="B16:C17"/>
    <mergeCell ref="B20:C20"/>
    <mergeCell ref="D19:E19"/>
    <mergeCell ref="D20:E20"/>
    <mergeCell ref="B8:C8"/>
    <mergeCell ref="D8:E8"/>
    <mergeCell ref="B18:C18"/>
    <mergeCell ref="B19:C19"/>
    <mergeCell ref="B10:C10"/>
    <mergeCell ref="B11:C11"/>
    <mergeCell ref="B12:C12"/>
    <mergeCell ref="D10:E10"/>
    <mergeCell ref="I16:J16"/>
    <mergeCell ref="S15:T15"/>
    <mergeCell ref="S9:T9"/>
    <mergeCell ref="S10:T10"/>
    <mergeCell ref="N9:O9"/>
    <mergeCell ref="N10:O10"/>
    <mergeCell ref="N13:O13"/>
    <mergeCell ref="N14:O14"/>
    <mergeCell ref="N15:O15"/>
    <mergeCell ref="M12:O12"/>
    <mergeCell ref="R12:T12"/>
    <mergeCell ref="L2:O2"/>
    <mergeCell ref="I7:J7"/>
    <mergeCell ref="I8:J8"/>
    <mergeCell ref="I9:J9"/>
    <mergeCell ref="I10:J10"/>
    <mergeCell ref="H12:J12"/>
    <mergeCell ref="I13:J13"/>
    <mergeCell ref="I14:J14"/>
    <mergeCell ref="Q2:T2"/>
    <mergeCell ref="N6:O6"/>
    <mergeCell ref="N7:O7"/>
    <mergeCell ref="N8:O8"/>
    <mergeCell ref="S6:T6"/>
    <mergeCell ref="S7:T7"/>
    <mergeCell ref="S8:T8"/>
    <mergeCell ref="M3:O3"/>
    <mergeCell ref="M4:O4"/>
    <mergeCell ref="R3:T3"/>
    <mergeCell ref="R4:T4"/>
    <mergeCell ref="S13:T13"/>
    <mergeCell ref="S14:T14"/>
    <mergeCell ref="B3:C3"/>
    <mergeCell ref="B4:C4"/>
    <mergeCell ref="B5:C5"/>
    <mergeCell ref="B6:C6"/>
    <mergeCell ref="G2:J2"/>
    <mergeCell ref="H3:J3"/>
    <mergeCell ref="H4:J4"/>
    <mergeCell ref="I6:J6"/>
    <mergeCell ref="D3:E3"/>
    <mergeCell ref="D4:E4"/>
    <mergeCell ref="D5:E5"/>
    <mergeCell ref="D6:E6"/>
    <mergeCell ref="B2:C2"/>
    <mergeCell ref="R42:T42"/>
    <mergeCell ref="R43:T43"/>
    <mergeCell ref="H42:J42"/>
    <mergeCell ref="H43:J43"/>
    <mergeCell ref="M42:O42"/>
    <mergeCell ref="M43:O43"/>
    <mergeCell ref="S16:T16"/>
    <mergeCell ref="H17:J17"/>
    <mergeCell ref="M17:O17"/>
    <mergeCell ref="R17:T17"/>
    <mergeCell ref="N16:O16"/>
    <mergeCell ref="S35:T35"/>
    <mergeCell ref="S36:T36"/>
    <mergeCell ref="S37:T37"/>
    <mergeCell ref="R27:T27"/>
    <mergeCell ref="R28:T28"/>
    <mergeCell ref="R29:T29"/>
    <mergeCell ref="H32:J32"/>
    <mergeCell ref="R32:T32"/>
    <mergeCell ref="R33:T33"/>
    <mergeCell ref="S26:T26"/>
    <mergeCell ref="Q18:Q20"/>
    <mergeCell ref="R18:R20"/>
  </mergeCells>
  <phoneticPr fontId="1" type="noConversion"/>
  <conditionalFormatting sqref="B25:E27">
    <cfRule type="expression" dxfId="75" priority="4">
      <formula>OR(D7="23MY",D7="24MY")</formula>
    </cfRule>
  </conditionalFormatting>
  <conditionalFormatting sqref="H17:J17">
    <cfRule type="expression" dxfId="74" priority="3">
      <formula>$H$18="APS"</formula>
    </cfRule>
  </conditionalFormatting>
  <conditionalFormatting sqref="M17:O17">
    <cfRule type="expression" dxfId="73" priority="2">
      <formula>$M$18="APS"</formula>
    </cfRule>
  </conditionalFormatting>
  <conditionalFormatting sqref="R17:T17">
    <cfRule type="expression" dxfId="72" priority="1">
      <formula>$R$18="APS"</formula>
    </cfRule>
  </conditionalFormatting>
  <dataValidations disablePrompts="1" count="1">
    <dataValidation type="list" allowBlank="1" showInputMessage="1" showErrorMessage="1" sqref="P4">
      <formula1>"10000,15000,20000,30000"</formula1>
    </dataValidation>
  </dataValidations>
  <pageMargins left="0.25" right="0.25" top="0.75" bottom="0.75" header="0.3" footer="0.3"/>
  <pageSetup paperSize="9" scale="68" orientation="landscape" r:id="rId1"/>
  <colBreaks count="1" manualBreakCount="1">
    <brk id="20"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FFC000"/>
  </sheetPr>
  <dimension ref="A3:DX40"/>
  <sheetViews>
    <sheetView zoomScale="40" zoomScaleNormal="40" zoomScaleSheetLayoutView="40" workbookViewId="0">
      <selection activeCell="FF30" sqref="FF30"/>
    </sheetView>
  </sheetViews>
  <sheetFormatPr defaultColWidth="2.25" defaultRowHeight="39.75" customHeight="1" x14ac:dyDescent="0.3"/>
  <cols>
    <col min="1" max="58" width="2.25" style="81"/>
    <col min="59" max="73" width="2.25" style="82"/>
    <col min="74" max="16384" width="2.25" style="81"/>
  </cols>
  <sheetData>
    <row r="3" spans="1:85" ht="39.75" customHeight="1" x14ac:dyDescent="0.3">
      <c r="C3" s="83"/>
      <c r="D3" s="83"/>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495" t="str">
        <f>'금융리스 입력'!D2</f>
        <v>2025_09_V1</v>
      </c>
      <c r="AX3" s="495"/>
      <c r="AY3" s="495"/>
      <c r="AZ3" s="495"/>
      <c r="BA3" s="495"/>
      <c r="BB3" s="495"/>
      <c r="BC3" s="495"/>
      <c r="BD3" s="495"/>
      <c r="BE3" s="495"/>
      <c r="BF3" s="495"/>
      <c r="BG3" s="495"/>
      <c r="BH3" s="83"/>
      <c r="BI3" s="83"/>
      <c r="BJ3" s="83"/>
      <c r="BK3" s="83"/>
      <c r="BL3" s="83"/>
      <c r="BM3" s="83"/>
      <c r="BN3" s="83"/>
      <c r="BO3" s="83"/>
      <c r="BP3" s="83"/>
      <c r="BQ3" s="83"/>
      <c r="BR3" s="83"/>
      <c r="BS3" s="83"/>
      <c r="BT3" s="83"/>
      <c r="BU3" s="83"/>
      <c r="BV3" s="83"/>
      <c r="BW3" s="83"/>
      <c r="BX3" s="83"/>
      <c r="BY3" s="83"/>
      <c r="BZ3" s="83"/>
      <c r="CA3" s="83"/>
      <c r="CB3" s="83"/>
      <c r="CC3" s="83"/>
      <c r="CD3" s="83"/>
      <c r="CE3" s="83"/>
      <c r="CF3" s="83"/>
      <c r="CG3" s="83"/>
    </row>
    <row r="4" spans="1:85" ht="39.75" customHeight="1" x14ac:dyDescent="0.3">
      <c r="C4" s="425" t="s">
        <v>1546</v>
      </c>
      <c r="D4" s="425"/>
      <c r="E4" s="425"/>
      <c r="F4" s="425"/>
      <c r="G4" s="425"/>
      <c r="H4" s="425"/>
      <c r="I4" s="425"/>
      <c r="J4" s="425"/>
      <c r="K4" s="425"/>
      <c r="L4" s="425"/>
      <c r="M4" s="425"/>
      <c r="N4" s="425"/>
      <c r="O4" s="425"/>
      <c r="P4" s="425"/>
      <c r="Q4" s="425"/>
      <c r="R4" s="425"/>
      <c r="S4" s="425"/>
      <c r="T4" s="425"/>
      <c r="U4" s="425"/>
      <c r="V4" s="425"/>
      <c r="W4" s="425"/>
      <c r="X4" s="425"/>
      <c r="Y4" s="425"/>
      <c r="Z4" s="425"/>
      <c r="AA4" s="425"/>
      <c r="AB4" s="425"/>
      <c r="AC4" s="425"/>
      <c r="AD4" s="425"/>
      <c r="AE4" s="425"/>
      <c r="AF4" s="425"/>
      <c r="AG4" s="425"/>
      <c r="AH4" s="425"/>
      <c r="AI4" s="425"/>
      <c r="AJ4" s="425"/>
      <c r="AK4" s="425"/>
      <c r="AL4" s="425"/>
      <c r="AM4" s="425"/>
      <c r="AN4" s="425"/>
      <c r="AO4" s="425"/>
      <c r="AP4" s="425"/>
      <c r="AQ4" s="425"/>
      <c r="AR4" s="425"/>
      <c r="AS4" s="425"/>
      <c r="AT4" s="425"/>
      <c r="AU4" s="425"/>
      <c r="AV4" s="425"/>
      <c r="AW4" s="425"/>
      <c r="AX4" s="425"/>
      <c r="AY4" s="425"/>
      <c r="AZ4" s="425"/>
      <c r="BA4" s="84"/>
      <c r="BB4" s="84"/>
      <c r="BC4" s="83"/>
      <c r="BD4" s="83"/>
      <c r="BE4" s="83"/>
      <c r="BF4" s="83"/>
      <c r="BG4" s="83"/>
      <c r="BH4" s="83"/>
      <c r="BI4" s="83"/>
      <c r="BK4" s="85"/>
      <c r="BL4" s="85"/>
      <c r="BM4" s="85"/>
      <c r="BN4" s="85"/>
      <c r="BO4" s="85"/>
      <c r="BP4" s="85"/>
      <c r="BQ4" s="450">
        <f ca="1">TODAY()</f>
        <v>45904</v>
      </c>
      <c r="BR4" s="450"/>
      <c r="BS4" s="450"/>
      <c r="BT4" s="450"/>
      <c r="BU4" s="450"/>
      <c r="BV4" s="450"/>
      <c r="BW4" s="450"/>
      <c r="BX4" s="450"/>
      <c r="BY4" s="450"/>
      <c r="BZ4" s="450"/>
      <c r="CA4" s="450"/>
      <c r="CB4" s="450"/>
      <c r="CC4" s="450"/>
      <c r="CD4" s="450"/>
      <c r="CE4" s="450"/>
      <c r="CF4" s="112"/>
    </row>
    <row r="5" spans="1:85" ht="31.5" customHeight="1" x14ac:dyDescent="0.3">
      <c r="C5" s="425"/>
      <c r="D5" s="425"/>
      <c r="E5" s="425"/>
      <c r="F5" s="425"/>
      <c r="G5" s="425"/>
      <c r="H5" s="425"/>
      <c r="I5" s="425"/>
      <c r="J5" s="425"/>
      <c r="K5" s="425"/>
      <c r="L5" s="425"/>
      <c r="M5" s="425"/>
      <c r="N5" s="425"/>
      <c r="O5" s="425"/>
      <c r="P5" s="425"/>
      <c r="Q5" s="425"/>
      <c r="R5" s="425"/>
      <c r="S5" s="425"/>
      <c r="T5" s="425"/>
      <c r="U5" s="425"/>
      <c r="V5" s="425"/>
      <c r="W5" s="425"/>
      <c r="X5" s="425"/>
      <c r="Y5" s="425"/>
      <c r="Z5" s="425"/>
      <c r="AA5" s="425"/>
      <c r="AB5" s="425"/>
      <c r="AC5" s="425"/>
      <c r="AD5" s="425"/>
      <c r="AE5" s="425"/>
      <c r="AF5" s="425"/>
      <c r="AG5" s="425"/>
      <c r="AH5" s="425"/>
      <c r="AI5" s="425"/>
      <c r="AJ5" s="425"/>
      <c r="AK5" s="425"/>
      <c r="AL5" s="425"/>
      <c r="AM5" s="425"/>
      <c r="AN5" s="425"/>
      <c r="AO5" s="425"/>
      <c r="AP5" s="425"/>
      <c r="AQ5" s="425"/>
      <c r="AR5" s="425"/>
      <c r="AS5" s="425"/>
      <c r="AT5" s="425"/>
      <c r="AU5" s="425"/>
      <c r="AV5" s="425"/>
      <c r="AW5" s="425"/>
      <c r="AX5" s="425"/>
      <c r="AY5" s="425"/>
      <c r="AZ5" s="425"/>
      <c r="BA5" s="84"/>
      <c r="BB5" s="84"/>
      <c r="BS5" s="451" t="s">
        <v>1534</v>
      </c>
      <c r="BT5" s="451"/>
      <c r="BU5" s="451"/>
      <c r="BV5" s="451"/>
      <c r="BW5" s="452" t="str">
        <f>'금융리스 입력'!D19</f>
        <v>메리츠캐피탈</v>
      </c>
      <c r="BX5" s="452"/>
      <c r="BY5" s="452"/>
      <c r="BZ5" s="452"/>
      <c r="CA5" s="452"/>
      <c r="CB5" s="452"/>
      <c r="CC5" s="452"/>
      <c r="CD5" s="452"/>
      <c r="CE5" s="452"/>
      <c r="CF5" s="113"/>
    </row>
    <row r="6" spans="1:85" ht="19.5" customHeight="1" x14ac:dyDescent="0.3">
      <c r="A6" s="86"/>
      <c r="B6" s="86"/>
      <c r="C6" s="425"/>
      <c r="D6" s="425"/>
      <c r="E6" s="425"/>
      <c r="F6" s="425"/>
      <c r="G6" s="425"/>
      <c r="H6" s="425"/>
      <c r="I6" s="425"/>
      <c r="J6" s="425"/>
      <c r="K6" s="425"/>
      <c r="L6" s="425"/>
      <c r="M6" s="425"/>
      <c r="N6" s="425"/>
      <c r="O6" s="425"/>
      <c r="P6" s="425"/>
      <c r="Q6" s="425"/>
      <c r="R6" s="425"/>
      <c r="S6" s="425"/>
      <c r="T6" s="425"/>
      <c r="U6" s="425"/>
      <c r="V6" s="425"/>
      <c r="W6" s="425"/>
      <c r="X6" s="425"/>
      <c r="Y6" s="425"/>
      <c r="Z6" s="425"/>
      <c r="AA6" s="425"/>
      <c r="AB6" s="425"/>
      <c r="AC6" s="425"/>
      <c r="AD6" s="425"/>
      <c r="AE6" s="425"/>
      <c r="AF6" s="425"/>
      <c r="AG6" s="425"/>
      <c r="AH6" s="425"/>
      <c r="AI6" s="425"/>
      <c r="AJ6" s="425"/>
      <c r="AK6" s="425"/>
      <c r="AL6" s="425"/>
      <c r="AM6" s="425"/>
      <c r="AN6" s="425"/>
      <c r="AO6" s="425"/>
      <c r="AP6" s="425"/>
      <c r="AQ6" s="425"/>
      <c r="AR6" s="425"/>
      <c r="AS6" s="425"/>
      <c r="AT6" s="425"/>
      <c r="AU6" s="425"/>
      <c r="AV6" s="425"/>
      <c r="AW6" s="425"/>
      <c r="AX6" s="425"/>
      <c r="AY6" s="425"/>
      <c r="AZ6" s="425"/>
      <c r="BA6" s="84"/>
      <c r="BB6" s="84"/>
      <c r="BM6" s="81"/>
      <c r="BN6" s="81"/>
      <c r="BO6" s="81"/>
      <c r="BP6" s="81"/>
      <c r="BQ6" s="81"/>
      <c r="BR6" s="81"/>
      <c r="BS6" s="81"/>
      <c r="BT6" s="81"/>
      <c r="BU6" s="81"/>
    </row>
    <row r="7" spans="1:85" ht="19.5" customHeight="1" x14ac:dyDescent="0.3">
      <c r="A7" s="86"/>
      <c r="B7" s="86"/>
      <c r="C7" s="114"/>
      <c r="D7" s="114"/>
      <c r="E7" s="114"/>
      <c r="F7" s="114"/>
      <c r="G7" s="114"/>
      <c r="H7" s="114"/>
      <c r="I7" s="114"/>
      <c r="J7" s="114"/>
      <c r="K7" s="114"/>
      <c r="L7" s="114"/>
      <c r="M7" s="114"/>
      <c r="N7" s="114"/>
      <c r="O7" s="114"/>
      <c r="P7" s="114"/>
      <c r="Q7" s="114"/>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84"/>
      <c r="BB7" s="84"/>
      <c r="BM7" s="81"/>
      <c r="BN7" s="81"/>
      <c r="BO7" s="81"/>
      <c r="BP7" s="81"/>
      <c r="BQ7" s="81"/>
      <c r="BR7" s="81"/>
      <c r="BS7" s="81"/>
      <c r="BT7" s="81"/>
      <c r="BU7" s="81"/>
    </row>
    <row r="8" spans="1:85" ht="19.5" customHeight="1" x14ac:dyDescent="0.3">
      <c r="A8" s="86"/>
      <c r="B8" s="86"/>
      <c r="C8" s="114"/>
      <c r="D8" s="114"/>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84"/>
      <c r="BB8" s="84"/>
      <c r="BM8" s="81"/>
      <c r="BN8" s="81"/>
      <c r="BO8" s="81"/>
      <c r="BP8" s="81"/>
      <c r="BQ8" s="81"/>
      <c r="BR8" s="81"/>
      <c r="BS8" s="81"/>
      <c r="BT8" s="81"/>
      <c r="BU8" s="81"/>
    </row>
    <row r="9" spans="1:85" ht="19.5" customHeight="1" x14ac:dyDescent="0.3">
      <c r="A9" s="86"/>
      <c r="B9" s="86"/>
      <c r="C9" s="114"/>
      <c r="D9" s="114"/>
      <c r="E9" s="114"/>
      <c r="F9" s="114"/>
      <c r="G9" s="114"/>
      <c r="H9" s="114"/>
      <c r="I9" s="114"/>
      <c r="J9" s="114"/>
      <c r="K9" s="114"/>
      <c r="L9" s="114"/>
      <c r="M9" s="114"/>
      <c r="N9" s="114"/>
      <c r="O9" s="114"/>
      <c r="P9" s="114"/>
      <c r="Q9" s="114"/>
      <c r="R9" s="114"/>
      <c r="S9" s="114"/>
      <c r="T9" s="114"/>
      <c r="U9" s="114"/>
      <c r="V9" s="114"/>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4"/>
      <c r="AY9" s="114"/>
      <c r="AZ9" s="114"/>
      <c r="BA9" s="84"/>
      <c r="BB9" s="84"/>
      <c r="BM9" s="81"/>
      <c r="BN9" s="81"/>
      <c r="BO9" s="81"/>
      <c r="BP9" s="81"/>
      <c r="BQ9" s="81"/>
      <c r="BR9" s="81"/>
      <c r="BS9" s="81"/>
      <c r="BT9" s="81"/>
      <c r="BU9" s="81"/>
    </row>
    <row r="10" spans="1:85" ht="32.25" customHeight="1" x14ac:dyDescent="0.45">
      <c r="AZ10" s="541" t="str">
        <f>'금융리스 입력'!D20</f>
        <v>VIP 고객님</v>
      </c>
      <c r="BA10" s="541"/>
      <c r="BB10" s="541"/>
      <c r="BC10" s="541"/>
      <c r="BD10" s="541"/>
      <c r="BE10" s="541"/>
      <c r="BF10" s="541"/>
      <c r="BG10" s="541"/>
      <c r="BH10" s="541"/>
      <c r="BI10" s="541"/>
      <c r="BJ10" s="541"/>
      <c r="BK10" s="541"/>
      <c r="BL10" s="541"/>
      <c r="BM10" s="541"/>
      <c r="BN10" s="542" t="s">
        <v>1538</v>
      </c>
      <c r="BO10" s="542"/>
      <c r="BP10" s="542"/>
      <c r="BQ10" s="542"/>
      <c r="BR10" s="542"/>
      <c r="BS10" s="542"/>
      <c r="BT10" s="542"/>
      <c r="BU10" s="542"/>
      <c r="BV10" s="542"/>
      <c r="BW10" s="542"/>
      <c r="BX10" s="542"/>
      <c r="BY10" s="542"/>
      <c r="BZ10" s="542"/>
      <c r="CA10" s="542"/>
      <c r="CB10" s="542"/>
      <c r="CC10" s="542"/>
      <c r="CD10" s="542"/>
      <c r="CE10" s="542"/>
      <c r="CF10" s="115"/>
    </row>
    <row r="11" spans="1:85" ht="39.75" customHeight="1" thickBot="1" x14ac:dyDescent="0.35">
      <c r="C11" s="87" t="s">
        <v>1388</v>
      </c>
      <c r="BU11" s="81"/>
    </row>
    <row r="12" spans="1:85" s="87" customFormat="1" ht="51" customHeight="1" thickBot="1" x14ac:dyDescent="0.35">
      <c r="C12" s="462" t="s">
        <v>1406</v>
      </c>
      <c r="D12" s="463"/>
      <c r="E12" s="463"/>
      <c r="F12" s="463"/>
      <c r="G12" s="463"/>
      <c r="H12" s="463"/>
      <c r="I12" s="463"/>
      <c r="J12" s="463"/>
      <c r="K12" s="463"/>
      <c r="L12" s="463"/>
      <c r="M12" s="463"/>
      <c r="N12" s="463"/>
      <c r="O12" s="463"/>
      <c r="P12" s="448" t="str">
        <f>'금융리스 입력'!D4</f>
        <v>BYD</v>
      </c>
      <c r="Q12" s="448"/>
      <c r="R12" s="448"/>
      <c r="S12" s="448"/>
      <c r="T12" s="448"/>
      <c r="U12" s="448"/>
      <c r="V12" s="448"/>
      <c r="W12" s="448"/>
      <c r="X12" s="448"/>
      <c r="Y12" s="448"/>
      <c r="Z12" s="448"/>
      <c r="AA12" s="448"/>
      <c r="AB12" s="448"/>
      <c r="AC12" s="505" t="str">
        <f>'금융리스 입력'!D6</f>
        <v>ATTO 3 Plus</v>
      </c>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c r="BB12" s="505"/>
      <c r="BC12" s="505"/>
      <c r="BD12" s="505"/>
      <c r="BE12" s="505"/>
      <c r="BF12" s="505"/>
      <c r="BG12" s="505"/>
      <c r="BH12" s="505"/>
      <c r="BI12" s="505"/>
      <c r="BJ12" s="505"/>
      <c r="BK12" s="505"/>
      <c r="BL12" s="505"/>
      <c r="BM12" s="505"/>
      <c r="BN12" s="505"/>
      <c r="BO12" s="505"/>
      <c r="BP12" s="505"/>
      <c r="BQ12" s="505"/>
      <c r="BR12" s="505"/>
      <c r="BS12" s="505"/>
      <c r="BT12" s="505"/>
      <c r="BU12" s="505"/>
      <c r="BV12" s="505"/>
      <c r="BW12" s="504">
        <f>'금융리스 입력'!D7</f>
        <v>0</v>
      </c>
      <c r="BX12" s="504"/>
      <c r="BY12" s="504"/>
      <c r="BZ12" s="504"/>
      <c r="CA12" s="504"/>
      <c r="CB12" s="504"/>
      <c r="CC12" s="504"/>
      <c r="CD12" s="504"/>
      <c r="CE12" s="504"/>
      <c r="CF12" s="116"/>
    </row>
    <row r="13" spans="1:85" s="87" customFormat="1" ht="51" customHeight="1" thickTop="1" x14ac:dyDescent="0.3">
      <c r="C13" s="464" t="s">
        <v>1389</v>
      </c>
      <c r="D13" s="465"/>
      <c r="E13" s="465"/>
      <c r="F13" s="465"/>
      <c r="G13" s="465"/>
      <c r="H13" s="465"/>
      <c r="I13" s="465"/>
      <c r="J13" s="465"/>
      <c r="K13" s="465"/>
      <c r="L13" s="465"/>
      <c r="M13" s="465"/>
      <c r="N13" s="465"/>
      <c r="O13" s="465"/>
      <c r="P13" s="444">
        <f>'금융리스 입력'!D8</f>
        <v>40000000</v>
      </c>
      <c r="Q13" s="444"/>
      <c r="R13" s="444"/>
      <c r="S13" s="444"/>
      <c r="T13" s="444"/>
      <c r="U13" s="444"/>
      <c r="V13" s="444"/>
      <c r="W13" s="444"/>
      <c r="X13" s="444"/>
      <c r="Y13" s="444"/>
      <c r="Z13" s="444"/>
      <c r="AA13" s="444"/>
      <c r="AB13" s="444"/>
      <c r="AC13" s="444"/>
      <c r="AD13" s="444"/>
      <c r="AE13" s="444"/>
      <c r="AF13" s="444"/>
      <c r="AG13" s="444"/>
      <c r="AH13" s="444"/>
      <c r="AI13" s="444"/>
      <c r="AJ13" s="444"/>
      <c r="AK13" s="444"/>
      <c r="AL13" s="444"/>
      <c r="AM13" s="444"/>
      <c r="AN13" s="444"/>
      <c r="AO13" s="444"/>
      <c r="AP13" s="465" t="s">
        <v>1390</v>
      </c>
      <c r="AQ13" s="465"/>
      <c r="AR13" s="465"/>
      <c r="AS13" s="465"/>
      <c r="AT13" s="465"/>
      <c r="AU13" s="465"/>
      <c r="AV13" s="465"/>
      <c r="AW13" s="465"/>
      <c r="AX13" s="465"/>
      <c r="AY13" s="465"/>
      <c r="AZ13" s="465"/>
      <c r="BA13" s="465"/>
      <c r="BB13" s="465"/>
      <c r="BC13" s="465"/>
      <c r="BD13" s="444">
        <f>'금융리스 입력'!D9</f>
        <v>0</v>
      </c>
      <c r="BE13" s="444"/>
      <c r="BF13" s="444"/>
      <c r="BG13" s="444"/>
      <c r="BH13" s="444"/>
      <c r="BI13" s="444"/>
      <c r="BJ13" s="444"/>
      <c r="BK13" s="444"/>
      <c r="BL13" s="444"/>
      <c r="BM13" s="444"/>
      <c r="BN13" s="444"/>
      <c r="BO13" s="444"/>
      <c r="BP13" s="444"/>
      <c r="BQ13" s="444"/>
      <c r="BR13" s="444"/>
      <c r="BS13" s="444"/>
      <c r="BT13" s="444"/>
      <c r="BU13" s="444"/>
      <c r="BV13" s="444"/>
      <c r="BW13" s="444"/>
      <c r="BX13" s="444"/>
      <c r="BY13" s="444"/>
      <c r="BZ13" s="444"/>
      <c r="CA13" s="444"/>
      <c r="CB13" s="444"/>
      <c r="CC13" s="444"/>
      <c r="CD13" s="444"/>
      <c r="CE13" s="445"/>
      <c r="CF13" s="117"/>
    </row>
    <row r="14" spans="1:85" s="87" customFormat="1" ht="51" customHeight="1" thickBot="1" x14ac:dyDescent="0.35">
      <c r="C14" s="466" t="s">
        <v>1391</v>
      </c>
      <c r="D14" s="467"/>
      <c r="E14" s="467"/>
      <c r="F14" s="467"/>
      <c r="G14" s="467"/>
      <c r="H14" s="467"/>
      <c r="I14" s="467"/>
      <c r="J14" s="467"/>
      <c r="K14" s="467"/>
      <c r="L14" s="467"/>
      <c r="M14" s="467"/>
      <c r="N14" s="467"/>
      <c r="O14" s="467"/>
      <c r="P14" s="443">
        <f>'금융리스 입력'!D10</f>
        <v>0</v>
      </c>
      <c r="Q14" s="443"/>
      <c r="R14" s="443"/>
      <c r="S14" s="443"/>
      <c r="T14" s="443"/>
      <c r="U14" s="443"/>
      <c r="V14" s="443"/>
      <c r="W14" s="443"/>
      <c r="X14" s="443"/>
      <c r="Y14" s="443"/>
      <c r="Z14" s="443"/>
      <c r="AA14" s="443"/>
      <c r="AB14" s="443"/>
      <c r="AC14" s="443"/>
      <c r="AD14" s="443"/>
      <c r="AE14" s="443"/>
      <c r="AF14" s="443"/>
      <c r="AG14" s="443"/>
      <c r="AH14" s="443"/>
      <c r="AI14" s="443"/>
      <c r="AJ14" s="443"/>
      <c r="AK14" s="443"/>
      <c r="AL14" s="443"/>
      <c r="AM14" s="443"/>
      <c r="AN14" s="443"/>
      <c r="AO14" s="443"/>
      <c r="AP14" s="506" t="s">
        <v>1392</v>
      </c>
      <c r="AQ14" s="506"/>
      <c r="AR14" s="506"/>
      <c r="AS14" s="506"/>
      <c r="AT14" s="506"/>
      <c r="AU14" s="506"/>
      <c r="AV14" s="506"/>
      <c r="AW14" s="506"/>
      <c r="AX14" s="506"/>
      <c r="AY14" s="506"/>
      <c r="AZ14" s="506"/>
      <c r="BA14" s="506"/>
      <c r="BB14" s="506"/>
      <c r="BC14" s="506"/>
      <c r="BD14" s="446">
        <f>'금융리스 입력'!D11</f>
        <v>40000000</v>
      </c>
      <c r="BE14" s="446"/>
      <c r="BF14" s="446"/>
      <c r="BG14" s="446"/>
      <c r="BH14" s="446"/>
      <c r="BI14" s="446"/>
      <c r="BJ14" s="446"/>
      <c r="BK14" s="446"/>
      <c r="BL14" s="446"/>
      <c r="BM14" s="446"/>
      <c r="BN14" s="446"/>
      <c r="BO14" s="446"/>
      <c r="BP14" s="446"/>
      <c r="BQ14" s="446"/>
      <c r="BR14" s="446"/>
      <c r="BS14" s="446"/>
      <c r="BT14" s="446"/>
      <c r="BU14" s="446"/>
      <c r="BV14" s="446"/>
      <c r="BW14" s="446"/>
      <c r="BX14" s="446"/>
      <c r="BY14" s="446"/>
      <c r="BZ14" s="446"/>
      <c r="CA14" s="446"/>
      <c r="CB14" s="446"/>
      <c r="CC14" s="446"/>
      <c r="CD14" s="446"/>
      <c r="CE14" s="447"/>
      <c r="CF14" s="92"/>
    </row>
    <row r="15" spans="1:85" ht="29.25" customHeight="1" x14ac:dyDescent="0.3">
      <c r="A15" s="86"/>
      <c r="B15" s="86"/>
      <c r="C15" s="86"/>
      <c r="D15" s="86"/>
      <c r="E15" s="86"/>
      <c r="F15" s="86"/>
      <c r="G15" s="86"/>
      <c r="H15" s="86"/>
      <c r="I15" s="86"/>
      <c r="J15" s="83"/>
      <c r="K15" s="83"/>
      <c r="L15" s="83"/>
      <c r="M15" s="88"/>
      <c r="N15" s="89"/>
      <c r="O15" s="89"/>
      <c r="P15" s="89"/>
      <c r="Q15" s="89"/>
      <c r="R15" s="89"/>
      <c r="S15" s="89"/>
      <c r="T15" s="89"/>
      <c r="U15" s="89"/>
      <c r="V15" s="89"/>
      <c r="W15" s="89"/>
      <c r="X15" s="89"/>
      <c r="AH15" s="88"/>
      <c r="AI15" s="88"/>
      <c r="AJ15" s="88"/>
      <c r="AK15" s="88"/>
      <c r="AL15" s="88"/>
      <c r="AM15" s="88"/>
      <c r="AN15" s="88"/>
      <c r="AO15" s="83"/>
      <c r="AP15" s="83"/>
      <c r="AQ15" s="83"/>
      <c r="AR15" s="83"/>
      <c r="AS15" s="83"/>
      <c r="AZ15" s="83"/>
      <c r="BA15" s="83"/>
    </row>
    <row r="16" spans="1:85" ht="39.75" customHeight="1" thickBot="1" x14ac:dyDescent="0.35">
      <c r="C16" s="87" t="s">
        <v>1393</v>
      </c>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90"/>
      <c r="BH16" s="90"/>
      <c r="BI16" s="90"/>
      <c r="BJ16" s="90"/>
      <c r="BK16" s="90"/>
      <c r="BL16" s="90"/>
      <c r="BM16" s="90"/>
      <c r="BN16" s="90"/>
      <c r="BO16" s="90"/>
      <c r="BP16" s="90"/>
      <c r="BQ16" s="90"/>
      <c r="BR16" s="90"/>
      <c r="BS16" s="90"/>
      <c r="BT16" s="90"/>
      <c r="BU16" s="90"/>
      <c r="BV16" s="87"/>
      <c r="BW16" s="87"/>
      <c r="BX16" s="87"/>
      <c r="BY16" s="87"/>
      <c r="BZ16" s="87"/>
      <c r="CA16" s="87"/>
      <c r="CB16" s="87"/>
      <c r="CC16" s="87"/>
      <c r="CD16" s="87"/>
      <c r="CE16" s="87"/>
      <c r="CF16" s="87"/>
    </row>
    <row r="17" spans="3:128" s="87" customFormat="1" ht="51" customHeight="1" x14ac:dyDescent="0.3">
      <c r="C17" s="479" t="s">
        <v>1559</v>
      </c>
      <c r="D17" s="480"/>
      <c r="E17" s="480"/>
      <c r="F17" s="480"/>
      <c r="G17" s="480"/>
      <c r="H17" s="480"/>
      <c r="I17" s="480"/>
      <c r="J17" s="480"/>
      <c r="K17" s="480"/>
      <c r="L17" s="480"/>
      <c r="M17" s="480"/>
      <c r="N17" s="480"/>
      <c r="O17" s="480"/>
      <c r="P17" s="483">
        <f>'금융리스 입력'!D13</f>
        <v>1145450</v>
      </c>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0" t="s">
        <v>1560</v>
      </c>
      <c r="AQ17" s="480"/>
      <c r="AR17" s="480"/>
      <c r="AS17" s="480"/>
      <c r="AT17" s="480"/>
      <c r="AU17" s="480"/>
      <c r="AV17" s="480"/>
      <c r="AW17" s="480"/>
      <c r="AX17" s="480"/>
      <c r="AY17" s="480"/>
      <c r="AZ17" s="480"/>
      <c r="BA17" s="480"/>
      <c r="BB17" s="480"/>
      <c r="BC17" s="480"/>
      <c r="BD17" s="483">
        <f>'금융리스 입력'!F15</f>
        <v>0</v>
      </c>
      <c r="BE17" s="483"/>
      <c r="BF17" s="483"/>
      <c r="BG17" s="483"/>
      <c r="BH17" s="483"/>
      <c r="BI17" s="483"/>
      <c r="BJ17" s="483"/>
      <c r="BK17" s="483"/>
      <c r="BL17" s="483"/>
      <c r="BM17" s="483"/>
      <c r="BN17" s="483"/>
      <c r="BO17" s="483"/>
      <c r="BP17" s="483"/>
      <c r="BQ17" s="483"/>
      <c r="BR17" s="483"/>
      <c r="BS17" s="483"/>
      <c r="BT17" s="483"/>
      <c r="BU17" s="483"/>
      <c r="BV17" s="483"/>
      <c r="BW17" s="483"/>
      <c r="BX17" s="483"/>
      <c r="BY17" s="483"/>
      <c r="BZ17" s="483"/>
      <c r="CA17" s="483"/>
      <c r="CB17" s="483"/>
      <c r="CC17" s="483"/>
      <c r="CD17" s="483"/>
      <c r="CE17" s="484"/>
      <c r="CF17" s="118"/>
    </row>
    <row r="18" spans="3:128" s="87" customFormat="1" ht="51" customHeight="1" thickBot="1" x14ac:dyDescent="0.35">
      <c r="C18" s="481" t="s">
        <v>1561</v>
      </c>
      <c r="D18" s="482"/>
      <c r="E18" s="482"/>
      <c r="F18" s="482"/>
      <c r="G18" s="482"/>
      <c r="H18" s="482"/>
      <c r="I18" s="482"/>
      <c r="J18" s="482"/>
      <c r="K18" s="482"/>
      <c r="L18" s="482"/>
      <c r="M18" s="482"/>
      <c r="N18" s="482"/>
      <c r="O18" s="482"/>
      <c r="P18" s="485">
        <f>'금융리스 입력'!D16</f>
        <v>100000</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2" t="s">
        <v>1562</v>
      </c>
      <c r="AQ18" s="482"/>
      <c r="AR18" s="482"/>
      <c r="AS18" s="482"/>
      <c r="AT18" s="482"/>
      <c r="AU18" s="482"/>
      <c r="AV18" s="482"/>
      <c r="AW18" s="482"/>
      <c r="AX18" s="482"/>
      <c r="AY18" s="482"/>
      <c r="AZ18" s="482"/>
      <c r="BA18" s="482"/>
      <c r="BB18" s="482"/>
      <c r="BC18" s="482"/>
      <c r="BD18" s="485">
        <f>'금융리스 입력'!D17</f>
        <v>100000</v>
      </c>
      <c r="BE18" s="485"/>
      <c r="BF18" s="485"/>
      <c r="BG18" s="485"/>
      <c r="BH18" s="485"/>
      <c r="BI18" s="485"/>
      <c r="BJ18" s="485"/>
      <c r="BK18" s="485"/>
      <c r="BL18" s="485"/>
      <c r="BM18" s="485"/>
      <c r="BN18" s="485"/>
      <c r="BO18" s="485"/>
      <c r="BP18" s="485"/>
      <c r="BQ18" s="485"/>
      <c r="BR18" s="485"/>
      <c r="BS18" s="485"/>
      <c r="BT18" s="485"/>
      <c r="BU18" s="485"/>
      <c r="BV18" s="485"/>
      <c r="BW18" s="485"/>
      <c r="BX18" s="485"/>
      <c r="BY18" s="485"/>
      <c r="BZ18" s="485"/>
      <c r="CA18" s="485"/>
      <c r="CB18" s="485"/>
      <c r="CC18" s="485"/>
      <c r="CD18" s="485"/>
      <c r="CE18" s="486"/>
      <c r="CF18" s="92"/>
    </row>
    <row r="19" spans="3:128" s="87" customFormat="1" ht="51" customHeight="1" thickTop="1" thickBot="1" x14ac:dyDescent="0.35">
      <c r="C19" s="487" t="str">
        <f>"등록지역  "&amp;'금융리스 입력'!E14</f>
        <v>등록지역  인천</v>
      </c>
      <c r="D19" s="488"/>
      <c r="E19" s="488"/>
      <c r="F19" s="488"/>
      <c r="G19" s="488"/>
      <c r="H19" s="488"/>
      <c r="I19" s="488"/>
      <c r="J19" s="488"/>
      <c r="K19" s="488"/>
      <c r="L19" s="488"/>
      <c r="M19" s="488"/>
      <c r="N19" s="488"/>
      <c r="O19" s="488"/>
      <c r="P19" s="488"/>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49" t="s">
        <v>1528</v>
      </c>
      <c r="AQ19" s="449"/>
      <c r="AR19" s="449"/>
      <c r="AS19" s="449"/>
      <c r="AT19" s="449"/>
      <c r="AU19" s="449"/>
      <c r="AV19" s="449"/>
      <c r="AW19" s="449"/>
      <c r="AX19" s="449"/>
      <c r="AY19" s="449"/>
      <c r="AZ19" s="449"/>
      <c r="BA19" s="449"/>
      <c r="BB19" s="449"/>
      <c r="BC19" s="449"/>
      <c r="BD19" s="489">
        <f>'금융리스 입력'!D18</f>
        <v>1345450</v>
      </c>
      <c r="BE19" s="489"/>
      <c r="BF19" s="489"/>
      <c r="BG19" s="489"/>
      <c r="BH19" s="489"/>
      <c r="BI19" s="489"/>
      <c r="BJ19" s="489"/>
      <c r="BK19" s="489"/>
      <c r="BL19" s="489"/>
      <c r="BM19" s="489"/>
      <c r="BN19" s="489"/>
      <c r="BO19" s="489"/>
      <c r="BP19" s="489"/>
      <c r="BQ19" s="489"/>
      <c r="BR19" s="489"/>
      <c r="BS19" s="489"/>
      <c r="BT19" s="489"/>
      <c r="BU19" s="489"/>
      <c r="BV19" s="489"/>
      <c r="BW19" s="489"/>
      <c r="BX19" s="489"/>
      <c r="BY19" s="489"/>
      <c r="BZ19" s="489"/>
      <c r="CA19" s="489"/>
      <c r="CB19" s="489"/>
      <c r="CC19" s="489"/>
      <c r="CD19" s="489"/>
      <c r="CE19" s="490"/>
      <c r="CF19" s="92"/>
      <c r="CW19" s="91"/>
      <c r="CX19" s="91"/>
      <c r="CY19" s="91"/>
      <c r="CZ19" s="91"/>
      <c r="DA19" s="91"/>
      <c r="DB19" s="91"/>
      <c r="DC19" s="91"/>
      <c r="DD19" s="91"/>
      <c r="DE19" s="91"/>
      <c r="DF19" s="91"/>
      <c r="DG19" s="91"/>
      <c r="DH19" s="91"/>
      <c r="DI19" s="91"/>
      <c r="DJ19" s="91"/>
      <c r="DK19" s="92"/>
      <c r="DL19" s="92"/>
      <c r="DM19" s="92"/>
      <c r="DN19" s="92"/>
      <c r="DO19" s="92"/>
      <c r="DP19" s="92"/>
      <c r="DQ19" s="92"/>
      <c r="DR19" s="92"/>
      <c r="DS19" s="92"/>
      <c r="DT19" s="92"/>
      <c r="DU19" s="92"/>
      <c r="DV19" s="92"/>
      <c r="DW19" s="92"/>
      <c r="DX19" s="92"/>
    </row>
    <row r="20" spans="3:128" ht="29.25" customHeight="1" x14ac:dyDescent="0.3"/>
    <row r="21" spans="3:128" ht="39.75" customHeight="1" thickBot="1" x14ac:dyDescent="0.35">
      <c r="C21" s="87" t="s">
        <v>1394</v>
      </c>
    </row>
    <row r="22" spans="3:128" ht="51" customHeight="1" thickBot="1" x14ac:dyDescent="0.35">
      <c r="C22" s="794" t="s">
        <v>1516</v>
      </c>
      <c r="D22" s="795"/>
      <c r="E22" s="795"/>
      <c r="F22" s="795"/>
      <c r="G22" s="795"/>
      <c r="H22" s="795"/>
      <c r="I22" s="795"/>
      <c r="J22" s="795"/>
      <c r="K22" s="795"/>
      <c r="L22" s="795"/>
      <c r="M22" s="795"/>
      <c r="N22" s="795"/>
      <c r="O22" s="795"/>
      <c r="P22" s="795"/>
      <c r="Q22" s="795"/>
      <c r="R22" s="463" t="s">
        <v>1525</v>
      </c>
      <c r="S22" s="463"/>
      <c r="T22" s="463"/>
      <c r="U22" s="463"/>
      <c r="V22" s="463"/>
      <c r="W22" s="463"/>
      <c r="X22" s="463"/>
      <c r="Y22" s="463"/>
      <c r="Z22" s="463"/>
      <c r="AA22" s="463"/>
      <c r="AB22" s="463"/>
      <c r="AC22" s="463"/>
      <c r="AD22" s="463"/>
      <c r="AE22" s="463"/>
      <c r="AF22" s="463"/>
      <c r="AG22" s="463"/>
      <c r="AH22" s="463"/>
      <c r="AI22" s="463"/>
      <c r="AJ22" s="463"/>
      <c r="AK22" s="463"/>
      <c r="AL22" s="463"/>
      <c r="AM22" s="463"/>
      <c r="AN22" s="463" t="s">
        <v>1526</v>
      </c>
      <c r="AO22" s="463"/>
      <c r="AP22" s="463"/>
      <c r="AQ22" s="463"/>
      <c r="AR22" s="463"/>
      <c r="AS22" s="463"/>
      <c r="AT22" s="463"/>
      <c r="AU22" s="463"/>
      <c r="AV22" s="463"/>
      <c r="AW22" s="463"/>
      <c r="AX22" s="463"/>
      <c r="AY22" s="463"/>
      <c r="AZ22" s="463"/>
      <c r="BA22" s="463"/>
      <c r="BB22" s="463"/>
      <c r="BC22" s="463"/>
      <c r="BD22" s="463"/>
      <c r="BE22" s="463"/>
      <c r="BF22" s="463"/>
      <c r="BG22" s="463"/>
      <c r="BH22" s="463"/>
      <c r="BI22" s="463"/>
      <c r="BJ22" s="463" t="s">
        <v>1527</v>
      </c>
      <c r="BK22" s="463"/>
      <c r="BL22" s="463"/>
      <c r="BM22" s="463"/>
      <c r="BN22" s="463"/>
      <c r="BO22" s="463"/>
      <c r="BP22" s="463"/>
      <c r="BQ22" s="463"/>
      <c r="BR22" s="463"/>
      <c r="BS22" s="463"/>
      <c r="BT22" s="463"/>
      <c r="BU22" s="463"/>
      <c r="BV22" s="463"/>
      <c r="BW22" s="463"/>
      <c r="BX22" s="463"/>
      <c r="BY22" s="463"/>
      <c r="BZ22" s="463"/>
      <c r="CA22" s="463"/>
      <c r="CB22" s="463"/>
      <c r="CC22" s="463"/>
      <c r="CD22" s="463"/>
      <c r="CE22" s="796"/>
      <c r="CF22" s="91"/>
    </row>
    <row r="23" spans="3:128" ht="48" customHeight="1" thickTop="1" x14ac:dyDescent="0.3">
      <c r="C23" s="789" t="s">
        <v>1552</v>
      </c>
      <c r="D23" s="790"/>
      <c r="E23" s="790"/>
      <c r="F23" s="790"/>
      <c r="G23" s="790"/>
      <c r="H23" s="790"/>
      <c r="I23" s="790"/>
      <c r="J23" s="790"/>
      <c r="K23" s="790"/>
      <c r="L23" s="790"/>
      <c r="M23" s="790"/>
      <c r="N23" s="790"/>
      <c r="O23" s="790"/>
      <c r="P23" s="790"/>
      <c r="Q23" s="790"/>
      <c r="R23" s="791">
        <f>'금융리스 입력'!J4</f>
        <v>32000000</v>
      </c>
      <c r="S23" s="791"/>
      <c r="T23" s="791"/>
      <c r="U23" s="791"/>
      <c r="V23" s="791"/>
      <c r="W23" s="791"/>
      <c r="X23" s="791"/>
      <c r="Y23" s="791"/>
      <c r="Z23" s="791"/>
      <c r="AA23" s="791"/>
      <c r="AB23" s="791"/>
      <c r="AC23" s="791"/>
      <c r="AD23" s="791"/>
      <c r="AE23" s="791"/>
      <c r="AF23" s="791"/>
      <c r="AG23" s="791"/>
      <c r="AH23" s="791"/>
      <c r="AI23" s="791"/>
      <c r="AJ23" s="791"/>
      <c r="AK23" s="791"/>
      <c r="AL23" s="791"/>
      <c r="AM23" s="791"/>
      <c r="AN23" s="792">
        <f>'금융리스 입력'!Q4</f>
        <v>32000000</v>
      </c>
      <c r="AO23" s="792"/>
      <c r="AP23" s="792"/>
      <c r="AQ23" s="792"/>
      <c r="AR23" s="792"/>
      <c r="AS23" s="792"/>
      <c r="AT23" s="792"/>
      <c r="AU23" s="792"/>
      <c r="AV23" s="792"/>
      <c r="AW23" s="792"/>
      <c r="AX23" s="792"/>
      <c r="AY23" s="792"/>
      <c r="AZ23" s="792"/>
      <c r="BA23" s="792"/>
      <c r="BB23" s="792"/>
      <c r="BC23" s="792"/>
      <c r="BD23" s="792"/>
      <c r="BE23" s="792"/>
      <c r="BF23" s="792"/>
      <c r="BG23" s="792"/>
      <c r="BH23" s="792"/>
      <c r="BI23" s="792"/>
      <c r="BJ23" s="792">
        <f>'금융리스 입력'!X4</f>
        <v>32000000</v>
      </c>
      <c r="BK23" s="792"/>
      <c r="BL23" s="792"/>
      <c r="BM23" s="792"/>
      <c r="BN23" s="792"/>
      <c r="BO23" s="792"/>
      <c r="BP23" s="792"/>
      <c r="BQ23" s="792"/>
      <c r="BR23" s="792"/>
      <c r="BS23" s="792"/>
      <c r="BT23" s="792"/>
      <c r="BU23" s="792"/>
      <c r="BV23" s="792"/>
      <c r="BW23" s="792"/>
      <c r="BX23" s="792"/>
      <c r="BY23" s="792"/>
      <c r="BZ23" s="792"/>
      <c r="CA23" s="792"/>
      <c r="CB23" s="792"/>
      <c r="CC23" s="792"/>
      <c r="CD23" s="792"/>
      <c r="CE23" s="793"/>
      <c r="CF23" s="119"/>
    </row>
    <row r="24" spans="3:128" ht="48" customHeight="1" x14ac:dyDescent="0.3">
      <c r="C24" s="477" t="s">
        <v>1553</v>
      </c>
      <c r="D24" s="478"/>
      <c r="E24" s="478"/>
      <c r="F24" s="478"/>
      <c r="G24" s="478"/>
      <c r="H24" s="478"/>
      <c r="I24" s="478"/>
      <c r="J24" s="478"/>
      <c r="K24" s="478"/>
      <c r="L24" s="478"/>
      <c r="M24" s="478"/>
      <c r="N24" s="478"/>
      <c r="O24" s="478"/>
      <c r="P24" s="478"/>
      <c r="Q24" s="478"/>
      <c r="R24" s="474">
        <f>'금융리스 입력'!J3</f>
        <v>36</v>
      </c>
      <c r="S24" s="475"/>
      <c r="T24" s="475"/>
      <c r="U24" s="475"/>
      <c r="V24" s="475"/>
      <c r="W24" s="475"/>
      <c r="X24" s="475"/>
      <c r="Y24" s="475"/>
      <c r="Z24" s="475"/>
      <c r="AA24" s="475"/>
      <c r="AB24" s="475"/>
      <c r="AC24" s="475"/>
      <c r="AD24" s="475"/>
      <c r="AE24" s="475"/>
      <c r="AF24" s="475"/>
      <c r="AG24" s="475"/>
      <c r="AH24" s="475"/>
      <c r="AI24" s="475"/>
      <c r="AJ24" s="475"/>
      <c r="AK24" s="475"/>
      <c r="AL24" s="475"/>
      <c r="AM24" s="476"/>
      <c r="AN24" s="474">
        <f>'금융리스 입력'!Q3</f>
        <v>48</v>
      </c>
      <c r="AO24" s="475"/>
      <c r="AP24" s="475"/>
      <c r="AQ24" s="475"/>
      <c r="AR24" s="475"/>
      <c r="AS24" s="475"/>
      <c r="AT24" s="475"/>
      <c r="AU24" s="475"/>
      <c r="AV24" s="475"/>
      <c r="AW24" s="475"/>
      <c r="AX24" s="475"/>
      <c r="AY24" s="475"/>
      <c r="AZ24" s="475"/>
      <c r="BA24" s="475"/>
      <c r="BB24" s="475"/>
      <c r="BC24" s="475"/>
      <c r="BD24" s="475"/>
      <c r="BE24" s="475"/>
      <c r="BF24" s="475"/>
      <c r="BG24" s="475"/>
      <c r="BH24" s="475"/>
      <c r="BI24" s="476"/>
      <c r="BJ24" s="474">
        <f>'금융리스 입력'!X3</f>
        <v>60</v>
      </c>
      <c r="BK24" s="475"/>
      <c r="BL24" s="475"/>
      <c r="BM24" s="475"/>
      <c r="BN24" s="475"/>
      <c r="BO24" s="475"/>
      <c r="BP24" s="475"/>
      <c r="BQ24" s="475"/>
      <c r="BR24" s="475"/>
      <c r="BS24" s="475"/>
      <c r="BT24" s="475"/>
      <c r="BU24" s="475"/>
      <c r="BV24" s="475"/>
      <c r="BW24" s="475"/>
      <c r="BX24" s="475"/>
      <c r="BY24" s="475"/>
      <c r="BZ24" s="475"/>
      <c r="CA24" s="475"/>
      <c r="CB24" s="475"/>
      <c r="CC24" s="475"/>
      <c r="CD24" s="475"/>
      <c r="CE24" s="475"/>
      <c r="CF24" s="120"/>
    </row>
    <row r="25" spans="3:128" ht="48" customHeight="1" thickBot="1" x14ac:dyDescent="0.35">
      <c r="C25" s="513" t="s">
        <v>1551</v>
      </c>
      <c r="D25" s="514"/>
      <c r="E25" s="514"/>
      <c r="F25" s="514"/>
      <c r="G25" s="514"/>
      <c r="H25" s="514"/>
      <c r="I25" s="514"/>
      <c r="J25" s="514"/>
      <c r="K25" s="514"/>
      <c r="L25" s="514"/>
      <c r="M25" s="514"/>
      <c r="N25" s="514"/>
      <c r="O25" s="514"/>
      <c r="P25" s="514"/>
      <c r="Q25" s="514"/>
      <c r="R25" s="500">
        <f>'금융리스 내부'!H6</f>
        <v>0.2</v>
      </c>
      <c r="S25" s="501"/>
      <c r="T25" s="501"/>
      <c r="U25" s="501"/>
      <c r="V25" s="501"/>
      <c r="W25" s="501"/>
      <c r="X25" s="501"/>
      <c r="Y25" s="501"/>
      <c r="Z25" s="501"/>
      <c r="AA25" s="496">
        <f>'금융리스 내부'!I6</f>
        <v>8000000</v>
      </c>
      <c r="AB25" s="496"/>
      <c r="AC25" s="496"/>
      <c r="AD25" s="496"/>
      <c r="AE25" s="496"/>
      <c r="AF25" s="496"/>
      <c r="AG25" s="496"/>
      <c r="AH25" s="496"/>
      <c r="AI25" s="496"/>
      <c r="AJ25" s="496"/>
      <c r="AK25" s="496"/>
      <c r="AL25" s="496"/>
      <c r="AM25" s="497"/>
      <c r="AN25" s="500">
        <f>'금융리스 내부'!M6</f>
        <v>0.2</v>
      </c>
      <c r="AO25" s="501"/>
      <c r="AP25" s="501"/>
      <c r="AQ25" s="501"/>
      <c r="AR25" s="501"/>
      <c r="AS25" s="501"/>
      <c r="AT25" s="501"/>
      <c r="AU25" s="501"/>
      <c r="AV25" s="501"/>
      <c r="AW25" s="496">
        <f>'금융리스 내부'!N6</f>
        <v>8000000</v>
      </c>
      <c r="AX25" s="496"/>
      <c r="AY25" s="496"/>
      <c r="AZ25" s="496"/>
      <c r="BA25" s="496"/>
      <c r="BB25" s="496"/>
      <c r="BC25" s="496"/>
      <c r="BD25" s="496"/>
      <c r="BE25" s="496"/>
      <c r="BF25" s="496"/>
      <c r="BG25" s="496"/>
      <c r="BH25" s="496"/>
      <c r="BI25" s="497"/>
      <c r="BJ25" s="500">
        <f>'금융리스 내부'!R6</f>
        <v>0.2</v>
      </c>
      <c r="BK25" s="501"/>
      <c r="BL25" s="501"/>
      <c r="BM25" s="501"/>
      <c r="BN25" s="501"/>
      <c r="BO25" s="501"/>
      <c r="BP25" s="501"/>
      <c r="BQ25" s="501"/>
      <c r="BR25" s="501"/>
      <c r="BS25" s="496">
        <f>'금융리스 내부'!S6</f>
        <v>8000000</v>
      </c>
      <c r="BT25" s="496"/>
      <c r="BU25" s="496"/>
      <c r="BV25" s="496"/>
      <c r="BW25" s="496"/>
      <c r="BX25" s="496"/>
      <c r="BY25" s="496"/>
      <c r="BZ25" s="496"/>
      <c r="CA25" s="496"/>
      <c r="CB25" s="496"/>
      <c r="CC25" s="496"/>
      <c r="CD25" s="496"/>
      <c r="CE25" s="496"/>
      <c r="CF25" s="121"/>
    </row>
    <row r="26" spans="3:128" ht="48" customHeight="1" thickBot="1" x14ac:dyDescent="0.35">
      <c r="C26" s="799" t="s">
        <v>1524</v>
      </c>
      <c r="D26" s="800"/>
      <c r="E26" s="800"/>
      <c r="F26" s="800"/>
      <c r="G26" s="800"/>
      <c r="H26" s="800"/>
      <c r="I26" s="800"/>
      <c r="J26" s="800"/>
      <c r="K26" s="800"/>
      <c r="L26" s="800"/>
      <c r="M26" s="800"/>
      <c r="N26" s="800"/>
      <c r="O26" s="800"/>
      <c r="P26" s="800"/>
      <c r="Q26" s="800"/>
      <c r="R26" s="491">
        <f>'금융리스 입력'!J21</f>
        <v>973900</v>
      </c>
      <c r="S26" s="492"/>
      <c r="T26" s="492"/>
      <c r="U26" s="492"/>
      <c r="V26" s="492"/>
      <c r="W26" s="492"/>
      <c r="X26" s="492"/>
      <c r="Y26" s="492"/>
      <c r="Z26" s="492"/>
      <c r="AA26" s="492"/>
      <c r="AB26" s="492"/>
      <c r="AC26" s="492"/>
      <c r="AD26" s="492"/>
      <c r="AE26" s="492"/>
      <c r="AF26" s="492"/>
      <c r="AG26" s="492"/>
      <c r="AH26" s="492"/>
      <c r="AI26" s="492"/>
      <c r="AJ26" s="492"/>
      <c r="AK26" s="492"/>
      <c r="AL26" s="492"/>
      <c r="AM26" s="493"/>
      <c r="AN26" s="491">
        <f>'금융리스 입력'!Q21</f>
        <v>751800</v>
      </c>
      <c r="AO26" s="492"/>
      <c r="AP26" s="492"/>
      <c r="AQ26" s="492"/>
      <c r="AR26" s="492"/>
      <c r="AS26" s="492"/>
      <c r="AT26" s="492"/>
      <c r="AU26" s="492"/>
      <c r="AV26" s="492"/>
      <c r="AW26" s="492"/>
      <c r="AX26" s="492"/>
      <c r="AY26" s="492"/>
      <c r="AZ26" s="492"/>
      <c r="BA26" s="492"/>
      <c r="BB26" s="492"/>
      <c r="BC26" s="492"/>
      <c r="BD26" s="492"/>
      <c r="BE26" s="492"/>
      <c r="BF26" s="492"/>
      <c r="BG26" s="492"/>
      <c r="BH26" s="492"/>
      <c r="BI26" s="493"/>
      <c r="BJ26" s="491">
        <f>'금융리스 입력'!X21</f>
        <v>618900</v>
      </c>
      <c r="BK26" s="492"/>
      <c r="BL26" s="492"/>
      <c r="BM26" s="492"/>
      <c r="BN26" s="492"/>
      <c r="BO26" s="492"/>
      <c r="BP26" s="492"/>
      <c r="BQ26" s="492"/>
      <c r="BR26" s="492"/>
      <c r="BS26" s="492"/>
      <c r="BT26" s="492"/>
      <c r="BU26" s="492"/>
      <c r="BV26" s="492"/>
      <c r="BW26" s="492"/>
      <c r="BX26" s="492"/>
      <c r="BY26" s="492"/>
      <c r="BZ26" s="492"/>
      <c r="CA26" s="492"/>
      <c r="CB26" s="492"/>
      <c r="CC26" s="492"/>
      <c r="CD26" s="492"/>
      <c r="CE26" s="494"/>
      <c r="CF26" s="92"/>
    </row>
    <row r="27" spans="3:128" ht="48" customHeight="1" x14ac:dyDescent="0.3">
      <c r="C27" s="432" t="s">
        <v>1521</v>
      </c>
      <c r="D27" s="433"/>
      <c r="E27" s="433"/>
      <c r="F27" s="433"/>
      <c r="G27" s="433"/>
      <c r="H27" s="433"/>
      <c r="I27" s="433"/>
      <c r="J27" s="433"/>
      <c r="K27" s="433"/>
      <c r="L27" s="433"/>
      <c r="M27" s="433"/>
      <c r="N27" s="433"/>
      <c r="O27" s="433"/>
      <c r="P27" s="433"/>
      <c r="Q27" s="433"/>
      <c r="R27" s="801">
        <f>'금융리스 입력'!J19</f>
        <v>973900</v>
      </c>
      <c r="S27" s="802"/>
      <c r="T27" s="802"/>
      <c r="U27" s="802"/>
      <c r="V27" s="802"/>
      <c r="W27" s="802"/>
      <c r="X27" s="802"/>
      <c r="Y27" s="802"/>
      <c r="Z27" s="802"/>
      <c r="AA27" s="802"/>
      <c r="AB27" s="802"/>
      <c r="AC27" s="802"/>
      <c r="AD27" s="802"/>
      <c r="AE27" s="802"/>
      <c r="AF27" s="802"/>
      <c r="AG27" s="802"/>
      <c r="AH27" s="802"/>
      <c r="AI27" s="802"/>
      <c r="AJ27" s="802"/>
      <c r="AK27" s="802"/>
      <c r="AL27" s="802"/>
      <c r="AM27" s="803"/>
      <c r="AN27" s="801">
        <f>'금융리스 입력'!Q19</f>
        <v>751800</v>
      </c>
      <c r="AO27" s="802"/>
      <c r="AP27" s="802"/>
      <c r="AQ27" s="802"/>
      <c r="AR27" s="802"/>
      <c r="AS27" s="802"/>
      <c r="AT27" s="802"/>
      <c r="AU27" s="802"/>
      <c r="AV27" s="802"/>
      <c r="AW27" s="802"/>
      <c r="AX27" s="802"/>
      <c r="AY27" s="802"/>
      <c r="AZ27" s="802"/>
      <c r="BA27" s="802"/>
      <c r="BB27" s="802"/>
      <c r="BC27" s="802"/>
      <c r="BD27" s="802"/>
      <c r="BE27" s="802"/>
      <c r="BF27" s="802"/>
      <c r="BG27" s="802"/>
      <c r="BH27" s="802"/>
      <c r="BI27" s="803"/>
      <c r="BJ27" s="801">
        <f>'금융리스 입력'!X19</f>
        <v>618900</v>
      </c>
      <c r="BK27" s="802"/>
      <c r="BL27" s="802"/>
      <c r="BM27" s="802"/>
      <c r="BN27" s="802"/>
      <c r="BO27" s="802"/>
      <c r="BP27" s="802"/>
      <c r="BQ27" s="802"/>
      <c r="BR27" s="802"/>
      <c r="BS27" s="802"/>
      <c r="BT27" s="802"/>
      <c r="BU27" s="802"/>
      <c r="BV27" s="802"/>
      <c r="BW27" s="802"/>
      <c r="BX27" s="802"/>
      <c r="BY27" s="802"/>
      <c r="BZ27" s="802"/>
      <c r="CA27" s="802"/>
      <c r="CB27" s="802"/>
      <c r="CC27" s="802"/>
      <c r="CD27" s="802"/>
      <c r="CE27" s="802"/>
      <c r="CF27" s="117"/>
    </row>
    <row r="28" spans="3:128" ht="48" customHeight="1" thickBot="1" x14ac:dyDescent="0.35">
      <c r="C28" s="477" t="s">
        <v>1522</v>
      </c>
      <c r="D28" s="478"/>
      <c r="E28" s="478"/>
      <c r="F28" s="478"/>
      <c r="G28" s="478"/>
      <c r="H28" s="478"/>
      <c r="I28" s="478"/>
      <c r="J28" s="478"/>
      <c r="K28" s="478"/>
      <c r="L28" s="478"/>
      <c r="M28" s="478"/>
      <c r="N28" s="478"/>
      <c r="O28" s="478"/>
      <c r="P28" s="478"/>
      <c r="Q28" s="478"/>
      <c r="R28" s="797">
        <f>'금융리스 입력'!J20</f>
        <v>0</v>
      </c>
      <c r="S28" s="798"/>
      <c r="T28" s="798"/>
      <c r="U28" s="798"/>
      <c r="V28" s="798"/>
      <c r="W28" s="798"/>
      <c r="X28" s="798"/>
      <c r="Y28" s="798"/>
      <c r="Z28" s="798"/>
      <c r="AA28" s="798"/>
      <c r="AB28" s="798"/>
      <c r="AC28" s="798"/>
      <c r="AD28" s="798"/>
      <c r="AE28" s="798"/>
      <c r="AF28" s="798"/>
      <c r="AG28" s="798"/>
      <c r="AH28" s="798"/>
      <c r="AI28" s="798"/>
      <c r="AJ28" s="798"/>
      <c r="AK28" s="798"/>
      <c r="AL28" s="798"/>
      <c r="AM28" s="804"/>
      <c r="AN28" s="797">
        <f>'금융리스 입력'!Q20</f>
        <v>0</v>
      </c>
      <c r="AO28" s="798"/>
      <c r="AP28" s="798"/>
      <c r="AQ28" s="798"/>
      <c r="AR28" s="798"/>
      <c r="AS28" s="798"/>
      <c r="AT28" s="798"/>
      <c r="AU28" s="798"/>
      <c r="AV28" s="798"/>
      <c r="AW28" s="798"/>
      <c r="AX28" s="798"/>
      <c r="AY28" s="798"/>
      <c r="AZ28" s="798"/>
      <c r="BA28" s="798"/>
      <c r="BB28" s="798"/>
      <c r="BC28" s="798"/>
      <c r="BD28" s="798"/>
      <c r="BE28" s="798"/>
      <c r="BF28" s="798"/>
      <c r="BG28" s="798"/>
      <c r="BH28" s="798"/>
      <c r="BI28" s="804"/>
      <c r="BJ28" s="797">
        <f>'금융리스 입력'!X20</f>
        <v>0</v>
      </c>
      <c r="BK28" s="798"/>
      <c r="BL28" s="798"/>
      <c r="BM28" s="798"/>
      <c r="BN28" s="798"/>
      <c r="BO28" s="798"/>
      <c r="BP28" s="798"/>
      <c r="BQ28" s="798"/>
      <c r="BR28" s="798"/>
      <c r="BS28" s="798"/>
      <c r="BT28" s="798"/>
      <c r="BU28" s="798"/>
      <c r="BV28" s="798"/>
      <c r="BW28" s="798"/>
      <c r="BX28" s="798"/>
      <c r="BY28" s="798"/>
      <c r="BZ28" s="798"/>
      <c r="CA28" s="798"/>
      <c r="CB28" s="798"/>
      <c r="CC28" s="798"/>
      <c r="CD28" s="798"/>
      <c r="CE28" s="798"/>
      <c r="CF28" s="117"/>
    </row>
    <row r="29" spans="3:128" ht="48" customHeight="1" thickBot="1" x14ac:dyDescent="0.35">
      <c r="C29" s="817" t="s">
        <v>1570</v>
      </c>
      <c r="D29" s="818"/>
      <c r="E29" s="818"/>
      <c r="F29" s="818"/>
      <c r="G29" s="818"/>
      <c r="H29" s="818"/>
      <c r="I29" s="818"/>
      <c r="J29" s="818"/>
      <c r="K29" s="818"/>
      <c r="L29" s="818"/>
      <c r="M29" s="818"/>
      <c r="N29" s="818"/>
      <c r="O29" s="818"/>
      <c r="P29" s="818"/>
      <c r="Q29" s="818"/>
      <c r="R29" s="456">
        <f>AA25+BD19</f>
        <v>9345450</v>
      </c>
      <c r="S29" s="457"/>
      <c r="T29" s="457"/>
      <c r="U29" s="457"/>
      <c r="V29" s="457"/>
      <c r="W29" s="457"/>
      <c r="X29" s="457"/>
      <c r="Y29" s="457"/>
      <c r="Z29" s="457"/>
      <c r="AA29" s="457"/>
      <c r="AB29" s="457"/>
      <c r="AC29" s="457"/>
      <c r="AD29" s="457"/>
      <c r="AE29" s="457"/>
      <c r="AF29" s="457"/>
      <c r="AG29" s="457"/>
      <c r="AH29" s="457"/>
      <c r="AI29" s="457"/>
      <c r="AJ29" s="457"/>
      <c r="AK29" s="457"/>
      <c r="AL29" s="457"/>
      <c r="AM29" s="458"/>
      <c r="AN29" s="456">
        <f>AW25+BD19</f>
        <v>9345450</v>
      </c>
      <c r="AO29" s="457"/>
      <c r="AP29" s="457"/>
      <c r="AQ29" s="457"/>
      <c r="AR29" s="457"/>
      <c r="AS29" s="457"/>
      <c r="AT29" s="457"/>
      <c r="AU29" s="457"/>
      <c r="AV29" s="457"/>
      <c r="AW29" s="457"/>
      <c r="AX29" s="457"/>
      <c r="AY29" s="457"/>
      <c r="AZ29" s="457"/>
      <c r="BA29" s="457"/>
      <c r="BB29" s="457"/>
      <c r="BC29" s="457"/>
      <c r="BD29" s="457"/>
      <c r="BE29" s="457"/>
      <c r="BF29" s="457"/>
      <c r="BG29" s="457"/>
      <c r="BH29" s="457"/>
      <c r="BI29" s="458"/>
      <c r="BJ29" s="456">
        <f>BS25+BD19</f>
        <v>9345450</v>
      </c>
      <c r="BK29" s="457"/>
      <c r="BL29" s="457"/>
      <c r="BM29" s="457"/>
      <c r="BN29" s="457"/>
      <c r="BO29" s="457"/>
      <c r="BP29" s="457"/>
      <c r="BQ29" s="457"/>
      <c r="BR29" s="457"/>
      <c r="BS29" s="457"/>
      <c r="BT29" s="457"/>
      <c r="BU29" s="457"/>
      <c r="BV29" s="457"/>
      <c r="BW29" s="457"/>
      <c r="BX29" s="457"/>
      <c r="BY29" s="457"/>
      <c r="BZ29" s="457"/>
      <c r="CA29" s="457"/>
      <c r="CB29" s="457"/>
      <c r="CC29" s="457"/>
      <c r="CD29" s="457"/>
      <c r="CE29" s="459"/>
      <c r="CF29" s="122"/>
    </row>
    <row r="30" spans="3:128" ht="48" customHeight="1" x14ac:dyDescent="0.3">
      <c r="C30" s="805" t="s">
        <v>1310</v>
      </c>
      <c r="D30" s="806"/>
      <c r="E30" s="806"/>
      <c r="F30" s="806"/>
      <c r="G30" s="806"/>
      <c r="H30" s="806"/>
      <c r="I30" s="806"/>
      <c r="J30" s="806"/>
      <c r="K30" s="806"/>
      <c r="L30" s="806"/>
      <c r="M30" s="806"/>
      <c r="N30" s="806"/>
      <c r="O30" s="806"/>
      <c r="P30" s="806"/>
      <c r="Q30" s="806"/>
      <c r="R30" s="814">
        <f>'금융리스 입력'!J22</f>
        <v>6.0274463841729256E-2</v>
      </c>
      <c r="S30" s="815"/>
      <c r="T30" s="815"/>
      <c r="U30" s="815"/>
      <c r="V30" s="815"/>
      <c r="W30" s="815"/>
      <c r="X30" s="815"/>
      <c r="Y30" s="815"/>
      <c r="Z30" s="815"/>
      <c r="AA30" s="815"/>
      <c r="AB30" s="815"/>
      <c r="AC30" s="815"/>
      <c r="AD30" s="815"/>
      <c r="AE30" s="815"/>
      <c r="AF30" s="815"/>
      <c r="AG30" s="815"/>
      <c r="AH30" s="815"/>
      <c r="AI30" s="815"/>
      <c r="AJ30" s="815"/>
      <c r="AK30" s="815"/>
      <c r="AL30" s="815"/>
      <c r="AM30" s="816"/>
      <c r="AN30" s="814">
        <f>'금융리스 입력'!Q22</f>
        <v>6.0190193485511315E-2</v>
      </c>
      <c r="AO30" s="815"/>
      <c r="AP30" s="815"/>
      <c r="AQ30" s="815"/>
      <c r="AR30" s="815"/>
      <c r="AS30" s="815"/>
      <c r="AT30" s="815"/>
      <c r="AU30" s="815"/>
      <c r="AV30" s="815"/>
      <c r="AW30" s="815"/>
      <c r="AX30" s="815"/>
      <c r="AY30" s="815"/>
      <c r="AZ30" s="815"/>
      <c r="BA30" s="815"/>
      <c r="BB30" s="815"/>
      <c r="BC30" s="815"/>
      <c r="BD30" s="815"/>
      <c r="BE30" s="815"/>
      <c r="BF30" s="815"/>
      <c r="BG30" s="815"/>
      <c r="BH30" s="815"/>
      <c r="BI30" s="816"/>
      <c r="BJ30" s="814">
        <f>'금융리스 입력'!X22</f>
        <v>6.0168230510412563E-2</v>
      </c>
      <c r="BK30" s="815"/>
      <c r="BL30" s="815"/>
      <c r="BM30" s="815"/>
      <c r="BN30" s="815"/>
      <c r="BO30" s="815"/>
      <c r="BP30" s="815"/>
      <c r="BQ30" s="815"/>
      <c r="BR30" s="815"/>
      <c r="BS30" s="815"/>
      <c r="BT30" s="815"/>
      <c r="BU30" s="815"/>
      <c r="BV30" s="815"/>
      <c r="BW30" s="815"/>
      <c r="BX30" s="815"/>
      <c r="BY30" s="815"/>
      <c r="BZ30" s="815"/>
      <c r="CA30" s="815"/>
      <c r="CB30" s="815"/>
      <c r="CC30" s="815"/>
      <c r="CD30" s="815"/>
      <c r="CE30" s="815"/>
      <c r="CF30" s="121"/>
    </row>
    <row r="31" spans="3:128" ht="48" customHeight="1" thickBot="1" x14ac:dyDescent="0.35">
      <c r="C31" s="812" t="str">
        <f>IF('금융리스 입력'!BB8=TRUE,"유예금",IF('금융리스 입력'!BB13=TRUE,"유예금",IF('금융리스 입력'!BB18=TRUE,"유예금","")))</f>
        <v/>
      </c>
      <c r="D31" s="813"/>
      <c r="E31" s="813"/>
      <c r="F31" s="813"/>
      <c r="G31" s="813"/>
      <c r="H31" s="813"/>
      <c r="I31" s="813"/>
      <c r="J31" s="813"/>
      <c r="K31" s="813"/>
      <c r="L31" s="813"/>
      <c r="M31" s="813"/>
      <c r="N31" s="813"/>
      <c r="O31" s="813"/>
      <c r="P31" s="813"/>
      <c r="Q31" s="813"/>
      <c r="R31" s="807">
        <f>'금융리스 내부'!H7</f>
        <v>0</v>
      </c>
      <c r="S31" s="808"/>
      <c r="T31" s="808"/>
      <c r="U31" s="808"/>
      <c r="V31" s="808"/>
      <c r="W31" s="808"/>
      <c r="X31" s="808"/>
      <c r="Y31" s="808"/>
      <c r="Z31" s="808"/>
      <c r="AA31" s="809">
        <f>'금융리스 내부'!I7</f>
        <v>0</v>
      </c>
      <c r="AB31" s="809"/>
      <c r="AC31" s="809"/>
      <c r="AD31" s="809"/>
      <c r="AE31" s="809"/>
      <c r="AF31" s="809"/>
      <c r="AG31" s="809"/>
      <c r="AH31" s="809"/>
      <c r="AI31" s="809"/>
      <c r="AJ31" s="809"/>
      <c r="AK31" s="809"/>
      <c r="AL31" s="809"/>
      <c r="AM31" s="810"/>
      <c r="AN31" s="807">
        <f>'금융리스 내부'!M7</f>
        <v>0</v>
      </c>
      <c r="AO31" s="808"/>
      <c r="AP31" s="808"/>
      <c r="AQ31" s="808"/>
      <c r="AR31" s="808"/>
      <c r="AS31" s="808"/>
      <c r="AT31" s="808"/>
      <c r="AU31" s="808"/>
      <c r="AV31" s="808"/>
      <c r="AW31" s="809">
        <f>'금융리스 내부'!N7</f>
        <v>0</v>
      </c>
      <c r="AX31" s="809"/>
      <c r="AY31" s="809"/>
      <c r="AZ31" s="809"/>
      <c r="BA31" s="809"/>
      <c r="BB31" s="809"/>
      <c r="BC31" s="809"/>
      <c r="BD31" s="809"/>
      <c r="BE31" s="809"/>
      <c r="BF31" s="809"/>
      <c r="BG31" s="809"/>
      <c r="BH31" s="809"/>
      <c r="BI31" s="810"/>
      <c r="BJ31" s="807">
        <f>'금융리스 내부'!R7</f>
        <v>0</v>
      </c>
      <c r="BK31" s="808"/>
      <c r="BL31" s="808"/>
      <c r="BM31" s="808"/>
      <c r="BN31" s="808"/>
      <c r="BO31" s="808"/>
      <c r="BP31" s="808"/>
      <c r="BQ31" s="808"/>
      <c r="BR31" s="808"/>
      <c r="BS31" s="809">
        <f>'금융리스 내부'!S7</f>
        <v>0</v>
      </c>
      <c r="BT31" s="809"/>
      <c r="BU31" s="809"/>
      <c r="BV31" s="809"/>
      <c r="BW31" s="809"/>
      <c r="BX31" s="809"/>
      <c r="BY31" s="809"/>
      <c r="BZ31" s="809"/>
      <c r="CA31" s="809"/>
      <c r="CB31" s="809"/>
      <c r="CC31" s="809"/>
      <c r="CD31" s="809"/>
      <c r="CE31" s="809"/>
      <c r="CF31" s="121"/>
    </row>
    <row r="32" spans="3:128" ht="29.25" customHeight="1" thickBot="1" x14ac:dyDescent="0.35">
      <c r="C32" s="93"/>
      <c r="D32" s="93"/>
      <c r="E32" s="93"/>
      <c r="F32" s="93"/>
      <c r="G32" s="93"/>
      <c r="H32" s="93"/>
      <c r="I32" s="93"/>
      <c r="J32" s="93"/>
      <c r="K32" s="93"/>
      <c r="L32" s="93"/>
      <c r="M32" s="93"/>
      <c r="N32" s="93"/>
      <c r="O32" s="93"/>
      <c r="P32" s="93"/>
      <c r="Q32" s="93"/>
    </row>
    <row r="33" spans="2:85" ht="49.5" customHeight="1" thickBot="1" x14ac:dyDescent="0.35">
      <c r="C33" s="534" t="s">
        <v>1529</v>
      </c>
      <c r="D33" s="535"/>
      <c r="E33" s="535"/>
      <c r="F33" s="535"/>
      <c r="G33" s="535"/>
      <c r="H33" s="535"/>
      <c r="I33" s="535"/>
      <c r="J33" s="535"/>
      <c r="K33" s="535"/>
      <c r="L33" s="535"/>
      <c r="M33" s="535"/>
      <c r="N33" s="535"/>
      <c r="O33" s="535"/>
      <c r="P33" s="535"/>
      <c r="Q33" s="535"/>
      <c r="R33" s="787"/>
      <c r="S33" s="788"/>
      <c r="T33" s="788"/>
      <c r="U33" s="788"/>
      <c r="V33" s="788"/>
      <c r="W33" s="788"/>
      <c r="X33" s="788"/>
      <c r="Y33" s="788"/>
      <c r="Z33" s="788"/>
      <c r="AA33" s="788"/>
      <c r="AB33" s="788"/>
      <c r="AC33" s="788"/>
      <c r="AD33" s="788"/>
      <c r="AE33" s="788"/>
      <c r="AF33" s="788"/>
      <c r="AG33" s="788"/>
      <c r="AH33" s="788"/>
      <c r="AI33" s="788"/>
      <c r="AJ33" s="788"/>
      <c r="AK33" s="788"/>
      <c r="AL33" s="788"/>
      <c r="AM33" s="788"/>
      <c r="AN33" s="788"/>
      <c r="AO33" s="788"/>
      <c r="AP33" s="788"/>
      <c r="AQ33" s="788"/>
      <c r="AR33" s="788"/>
      <c r="AS33" s="788"/>
      <c r="AT33" s="788"/>
      <c r="AU33" s="788"/>
      <c r="AV33" s="788"/>
      <c r="AW33" s="788"/>
      <c r="AX33" s="788"/>
      <c r="AY33" s="788"/>
      <c r="AZ33" s="788"/>
      <c r="BA33" s="788"/>
      <c r="BB33" s="788"/>
      <c r="BC33" s="788"/>
      <c r="BD33" s="788"/>
      <c r="BE33" s="788"/>
      <c r="BF33" s="788"/>
      <c r="BG33" s="788"/>
      <c r="BH33" s="788"/>
      <c r="BI33" s="788"/>
      <c r="BJ33" s="788"/>
      <c r="BK33" s="788"/>
      <c r="BL33" s="788"/>
      <c r="BM33" s="788"/>
      <c r="BN33" s="788"/>
      <c r="BO33" s="788"/>
      <c r="BP33" s="788"/>
      <c r="BQ33" s="788"/>
      <c r="BR33" s="788"/>
      <c r="BS33" s="788"/>
      <c r="BT33" s="788"/>
      <c r="BU33" s="788"/>
      <c r="BV33" s="788"/>
      <c r="BW33" s="788"/>
      <c r="BX33" s="788"/>
      <c r="BY33" s="788"/>
      <c r="BZ33" s="788"/>
      <c r="CA33" s="788"/>
      <c r="CB33" s="788"/>
      <c r="CC33" s="788"/>
      <c r="CD33" s="788"/>
      <c r="CE33" s="788"/>
    </row>
    <row r="34" spans="2:85" ht="29.25" customHeight="1" thickBot="1" x14ac:dyDescent="0.35"/>
    <row r="35" spans="2:85" ht="48.75" customHeight="1" x14ac:dyDescent="0.3">
      <c r="C35" s="526" t="s">
        <v>1543</v>
      </c>
      <c r="D35" s="526"/>
      <c r="E35" s="526"/>
      <c r="F35" s="526"/>
      <c r="G35" s="526"/>
      <c r="H35" s="526"/>
      <c r="I35" s="526"/>
      <c r="J35" s="526"/>
      <c r="K35" s="526"/>
      <c r="L35" s="526"/>
      <c r="M35" s="526"/>
      <c r="N35" s="526"/>
      <c r="O35" s="526"/>
      <c r="P35" s="526"/>
      <c r="Q35" s="526"/>
      <c r="R35" s="526"/>
      <c r="S35" s="526"/>
      <c r="T35" s="526"/>
      <c r="U35" s="526"/>
      <c r="V35" s="526"/>
      <c r="W35" s="526"/>
      <c r="X35" s="526"/>
      <c r="Y35" s="526"/>
      <c r="Z35" s="526"/>
      <c r="AA35" s="526"/>
      <c r="AB35" s="526"/>
      <c r="AC35" s="526"/>
      <c r="AD35" s="526"/>
      <c r="AE35" s="526"/>
      <c r="AF35" s="526"/>
      <c r="AG35" s="526"/>
      <c r="AH35" s="526"/>
      <c r="AI35" s="526"/>
      <c r="AJ35" s="526"/>
      <c r="AK35" s="526"/>
      <c r="AL35" s="526"/>
      <c r="AM35" s="526"/>
      <c r="AN35" s="526"/>
      <c r="AO35" s="526"/>
      <c r="AP35" s="526"/>
      <c r="AQ35" s="526"/>
      <c r="AR35" s="526"/>
      <c r="AS35" s="526"/>
      <c r="AT35" s="526"/>
      <c r="AU35" s="526"/>
      <c r="AV35" s="526"/>
      <c r="AW35" s="526"/>
      <c r="AX35" s="526"/>
      <c r="AY35" s="526"/>
      <c r="AZ35" s="526"/>
      <c r="BA35" s="526"/>
      <c r="BB35" s="526"/>
      <c r="BC35" s="526"/>
      <c r="BD35" s="526"/>
      <c r="BE35" s="526"/>
      <c r="BF35" s="526"/>
      <c r="BG35" s="526"/>
      <c r="BH35" s="526"/>
      <c r="BI35" s="526"/>
      <c r="BJ35" s="526"/>
      <c r="BK35" s="526"/>
      <c r="BL35" s="526"/>
      <c r="BM35" s="526"/>
      <c r="BN35" s="526"/>
      <c r="BO35" s="526"/>
      <c r="BP35" s="526"/>
      <c r="BQ35" s="526"/>
      <c r="BR35" s="526"/>
      <c r="BS35" s="526"/>
      <c r="BT35" s="526"/>
      <c r="BU35" s="526"/>
      <c r="BV35" s="526"/>
      <c r="BW35" s="526"/>
      <c r="BX35" s="526"/>
      <c r="BY35" s="526"/>
      <c r="BZ35" s="526"/>
      <c r="CA35" s="526"/>
      <c r="CB35" s="526"/>
      <c r="CC35" s="526"/>
      <c r="CD35" s="526"/>
      <c r="CE35" s="526"/>
      <c r="CF35" s="123"/>
      <c r="CG35" s="95"/>
    </row>
    <row r="36" spans="2:85" ht="48.75" customHeight="1" x14ac:dyDescent="0.3">
      <c r="B36" s="83"/>
      <c r="C36" s="527" t="s">
        <v>1540</v>
      </c>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527"/>
      <c r="AH36" s="527"/>
      <c r="AI36" s="527"/>
      <c r="AJ36" s="527"/>
      <c r="AK36" s="527"/>
      <c r="AL36" s="527"/>
      <c r="AM36" s="527"/>
      <c r="AN36" s="527"/>
      <c r="AO36" s="527"/>
      <c r="AP36" s="527"/>
      <c r="AQ36" s="527"/>
      <c r="AR36" s="527"/>
      <c r="AS36" s="527"/>
      <c r="AT36" s="527"/>
      <c r="AU36" s="527"/>
      <c r="AV36" s="527"/>
      <c r="AW36" s="527"/>
      <c r="AX36" s="527"/>
      <c r="AY36" s="527"/>
      <c r="AZ36" s="527"/>
      <c r="BA36" s="527"/>
      <c r="BB36" s="527"/>
      <c r="BC36" s="527"/>
      <c r="BD36" s="527"/>
      <c r="BE36" s="527"/>
      <c r="BF36" s="527"/>
      <c r="BG36" s="527"/>
      <c r="BH36" s="527"/>
      <c r="BI36" s="527"/>
      <c r="BJ36" s="527"/>
      <c r="BK36" s="527"/>
      <c r="BL36" s="527"/>
      <c r="BM36" s="527"/>
      <c r="BN36" s="527"/>
      <c r="BO36" s="527"/>
      <c r="BP36" s="527"/>
      <c r="BQ36" s="527"/>
      <c r="BR36" s="527"/>
      <c r="BS36" s="527"/>
      <c r="BT36" s="527"/>
      <c r="BU36" s="527"/>
      <c r="BV36" s="527"/>
      <c r="BW36" s="527"/>
      <c r="BX36" s="527"/>
      <c r="BY36" s="527"/>
      <c r="BZ36" s="527"/>
      <c r="CA36" s="527"/>
      <c r="CB36" s="527"/>
      <c r="CC36" s="527"/>
      <c r="CD36" s="527"/>
      <c r="CE36" s="527"/>
      <c r="CF36" s="123"/>
      <c r="CG36" s="95"/>
    </row>
    <row r="37" spans="2:85" ht="48.75" customHeight="1" x14ac:dyDescent="0.3">
      <c r="B37" s="83"/>
      <c r="C37" s="529" t="s">
        <v>1556</v>
      </c>
      <c r="D37" s="529"/>
      <c r="E37" s="529"/>
      <c r="F37" s="529"/>
      <c r="G37" s="529"/>
      <c r="H37" s="529"/>
      <c r="I37" s="529"/>
      <c r="J37" s="529"/>
      <c r="K37" s="529"/>
      <c r="L37" s="529"/>
      <c r="M37" s="529"/>
      <c r="N37" s="529"/>
      <c r="O37" s="529"/>
      <c r="P37" s="529"/>
      <c r="Q37" s="529"/>
      <c r="R37" s="529"/>
      <c r="S37" s="529"/>
      <c r="T37" s="529"/>
      <c r="U37" s="529"/>
      <c r="V37" s="529"/>
      <c r="W37" s="529"/>
      <c r="X37" s="529"/>
      <c r="Y37" s="529"/>
      <c r="Z37" s="529"/>
      <c r="AA37" s="529"/>
      <c r="AB37" s="529"/>
      <c r="AC37" s="529"/>
      <c r="AD37" s="529"/>
      <c r="AE37" s="529"/>
      <c r="AF37" s="529"/>
      <c r="AG37" s="529"/>
      <c r="AH37" s="529"/>
      <c r="AI37" s="529"/>
      <c r="AJ37" s="529"/>
      <c r="AK37" s="529"/>
      <c r="AL37" s="529"/>
      <c r="AM37" s="529"/>
      <c r="AN37" s="529"/>
      <c r="AO37" s="529"/>
      <c r="AP37" s="529"/>
      <c r="AQ37" s="529"/>
      <c r="AR37" s="529"/>
      <c r="AS37" s="529"/>
      <c r="AT37" s="529"/>
      <c r="AU37" s="529"/>
      <c r="AV37" s="529"/>
      <c r="AW37" s="529"/>
      <c r="AX37" s="529"/>
      <c r="AY37" s="529"/>
      <c r="AZ37" s="529"/>
      <c r="BA37" s="529"/>
      <c r="BB37" s="529"/>
      <c r="BC37" s="529"/>
      <c r="BD37" s="529"/>
      <c r="BE37" s="529"/>
      <c r="BF37" s="529"/>
      <c r="BG37" s="529"/>
      <c r="BH37" s="529"/>
      <c r="BI37" s="529"/>
      <c r="BJ37" s="529"/>
      <c r="BK37" s="529"/>
      <c r="BL37" s="529"/>
      <c r="BM37" s="529"/>
      <c r="BN37" s="529"/>
      <c r="BO37" s="529"/>
      <c r="BP37" s="529"/>
      <c r="BQ37" s="529"/>
      <c r="BR37" s="529"/>
      <c r="BS37" s="529"/>
      <c r="BT37" s="529"/>
      <c r="BU37" s="529"/>
      <c r="BV37" s="529"/>
      <c r="BW37" s="529"/>
      <c r="BX37" s="529"/>
      <c r="BY37" s="529"/>
      <c r="BZ37" s="529"/>
      <c r="CA37" s="529"/>
      <c r="CB37" s="529"/>
      <c r="CC37" s="529"/>
      <c r="CD37" s="529"/>
      <c r="CE37" s="529"/>
      <c r="CF37" s="66"/>
      <c r="CG37" s="95"/>
    </row>
    <row r="38" spans="2:85" ht="48.75" customHeight="1" x14ac:dyDescent="0.3">
      <c r="B38" s="83"/>
      <c r="C38" s="527" t="s">
        <v>1557</v>
      </c>
      <c r="D38" s="527"/>
      <c r="E38" s="527"/>
      <c r="F38" s="527"/>
      <c r="G38" s="527"/>
      <c r="H38" s="527"/>
      <c r="I38" s="527"/>
      <c r="J38" s="527"/>
      <c r="K38" s="527"/>
      <c r="L38" s="527"/>
      <c r="M38" s="527"/>
      <c r="N38" s="527"/>
      <c r="O38" s="527"/>
      <c r="P38" s="527"/>
      <c r="Q38" s="527"/>
      <c r="R38" s="527"/>
      <c r="S38" s="527"/>
      <c r="T38" s="527"/>
      <c r="U38" s="527"/>
      <c r="V38" s="527"/>
      <c r="W38" s="527"/>
      <c r="X38" s="527"/>
      <c r="Y38" s="527"/>
      <c r="Z38" s="527"/>
      <c r="AA38" s="527"/>
      <c r="AB38" s="527"/>
      <c r="AC38" s="527"/>
      <c r="AD38" s="527"/>
      <c r="AE38" s="527"/>
      <c r="AF38" s="527"/>
      <c r="AG38" s="527"/>
      <c r="AH38" s="527"/>
      <c r="AI38" s="527"/>
      <c r="AJ38" s="527"/>
      <c r="AK38" s="527"/>
      <c r="AL38" s="527"/>
      <c r="AM38" s="527"/>
      <c r="AN38" s="527"/>
      <c r="AO38" s="527"/>
      <c r="AP38" s="527"/>
      <c r="AQ38" s="527"/>
      <c r="AR38" s="527"/>
      <c r="AS38" s="527"/>
      <c r="AT38" s="527"/>
      <c r="AU38" s="527"/>
      <c r="AV38" s="527"/>
      <c r="AW38" s="527"/>
      <c r="AX38" s="527"/>
      <c r="AY38" s="527"/>
      <c r="AZ38" s="527"/>
      <c r="BA38" s="527"/>
      <c r="BB38" s="527"/>
      <c r="BC38" s="527"/>
      <c r="BD38" s="527"/>
      <c r="BE38" s="527"/>
      <c r="BF38" s="527"/>
      <c r="BG38" s="527"/>
      <c r="BH38" s="527"/>
      <c r="BI38" s="527"/>
      <c r="BJ38" s="527"/>
      <c r="BK38" s="527"/>
      <c r="BL38" s="527"/>
      <c r="BM38" s="527"/>
      <c r="BN38" s="527"/>
      <c r="BO38" s="527"/>
      <c r="BP38" s="527"/>
      <c r="BQ38" s="527"/>
      <c r="BR38" s="527"/>
      <c r="BS38" s="527"/>
      <c r="BT38" s="527"/>
      <c r="BU38" s="527"/>
      <c r="BV38" s="527"/>
      <c r="BW38" s="527"/>
      <c r="BX38" s="527"/>
      <c r="BY38" s="527"/>
      <c r="BZ38" s="527"/>
      <c r="CA38" s="527"/>
      <c r="CB38" s="527"/>
      <c r="CC38" s="527"/>
      <c r="CD38" s="527"/>
      <c r="CE38" s="527"/>
      <c r="CF38" s="123"/>
      <c r="CG38" s="95"/>
    </row>
    <row r="39" spans="2:85" ht="48.75" customHeight="1" thickBot="1" x14ac:dyDescent="0.35">
      <c r="C39" s="528" t="s">
        <v>1571</v>
      </c>
      <c r="D39" s="528"/>
      <c r="E39" s="528"/>
      <c r="F39" s="528"/>
      <c r="G39" s="528"/>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528"/>
      <c r="AF39" s="528"/>
      <c r="AG39" s="528"/>
      <c r="AH39" s="528"/>
      <c r="AI39" s="528"/>
      <c r="AJ39" s="528"/>
      <c r="AK39" s="528"/>
      <c r="AL39" s="528"/>
      <c r="AM39" s="528"/>
      <c r="AN39" s="528"/>
      <c r="AO39" s="528"/>
      <c r="AP39" s="528"/>
      <c r="AQ39" s="528"/>
      <c r="AR39" s="528"/>
      <c r="AS39" s="528"/>
      <c r="AT39" s="528"/>
      <c r="AU39" s="528"/>
      <c r="AV39" s="528"/>
      <c r="AW39" s="528"/>
      <c r="AX39" s="528"/>
      <c r="AY39" s="528"/>
      <c r="AZ39" s="528"/>
      <c r="BA39" s="528"/>
      <c r="BB39" s="528"/>
      <c r="BC39" s="528"/>
      <c r="BD39" s="528"/>
      <c r="BE39" s="528"/>
      <c r="BF39" s="528"/>
      <c r="BG39" s="528"/>
      <c r="BH39" s="528"/>
      <c r="BI39" s="528"/>
      <c r="BJ39" s="528"/>
      <c r="BK39" s="528"/>
      <c r="BL39" s="528"/>
      <c r="BM39" s="528"/>
      <c r="BN39" s="528"/>
      <c r="BO39" s="528"/>
      <c r="BP39" s="528"/>
      <c r="BQ39" s="528"/>
      <c r="BR39" s="528"/>
      <c r="BS39" s="528"/>
      <c r="BT39" s="528"/>
      <c r="BU39" s="528"/>
      <c r="BV39" s="528"/>
      <c r="BW39" s="528"/>
      <c r="BX39" s="528"/>
      <c r="BY39" s="528"/>
      <c r="BZ39" s="528"/>
      <c r="CA39" s="528"/>
      <c r="CB39" s="528"/>
      <c r="CC39" s="528"/>
      <c r="CD39" s="528"/>
      <c r="CE39" s="528"/>
      <c r="CF39" s="123"/>
      <c r="CG39" s="95"/>
    </row>
    <row r="40" spans="2:85" ht="39.75" customHeight="1" x14ac:dyDescent="0.45">
      <c r="C40" s="811" t="s">
        <v>1545</v>
      </c>
      <c r="D40" s="811"/>
      <c r="E40" s="811"/>
      <c r="F40" s="811"/>
      <c r="G40" s="811"/>
      <c r="H40" s="811"/>
      <c r="I40" s="811"/>
      <c r="J40" s="811"/>
      <c r="K40" s="811"/>
      <c r="L40" s="811"/>
      <c r="M40" s="811"/>
      <c r="N40" s="811"/>
      <c r="O40" s="811"/>
      <c r="P40" s="811"/>
      <c r="Q40" s="811"/>
      <c r="R40" s="811"/>
      <c r="S40" s="811"/>
      <c r="T40" s="811"/>
      <c r="U40" s="811"/>
      <c r="V40" s="811"/>
      <c r="W40" s="811"/>
      <c r="X40" s="811"/>
      <c r="Y40" s="811"/>
      <c r="Z40" s="811"/>
      <c r="AA40" s="811"/>
      <c r="AB40" s="811"/>
      <c r="AC40" s="811"/>
      <c r="AD40" s="811"/>
      <c r="AE40" s="811"/>
      <c r="AF40" s="811"/>
      <c r="AG40" s="811"/>
      <c r="AH40" s="811"/>
      <c r="AI40" s="811"/>
      <c r="AJ40" s="811"/>
      <c r="AK40" s="811"/>
      <c r="AL40" s="811"/>
      <c r="AM40" s="811"/>
      <c r="AN40" s="811"/>
      <c r="AO40" s="811"/>
      <c r="AP40" s="811"/>
      <c r="AQ40" s="811"/>
      <c r="AR40" s="811"/>
      <c r="AS40" s="811"/>
      <c r="AT40" s="811"/>
      <c r="AU40" s="811"/>
      <c r="AV40" s="811"/>
      <c r="AW40" s="811"/>
      <c r="AX40" s="811"/>
      <c r="AY40" s="811"/>
      <c r="AZ40" s="811"/>
      <c r="BA40" s="811"/>
      <c r="BB40" s="811"/>
      <c r="BC40" s="811"/>
      <c r="BD40" s="811"/>
      <c r="BE40" s="811"/>
      <c r="BF40" s="811"/>
      <c r="BG40" s="811"/>
      <c r="BH40" s="811"/>
      <c r="BI40" s="811"/>
      <c r="BJ40" s="811"/>
      <c r="BK40" s="811"/>
      <c r="BL40" s="811"/>
      <c r="BM40" s="811"/>
      <c r="BN40" s="811"/>
      <c r="BO40" s="811"/>
      <c r="BP40" s="811"/>
      <c r="BQ40" s="811"/>
      <c r="BR40" s="811"/>
      <c r="BS40" s="811"/>
      <c r="BT40" s="811"/>
      <c r="BU40" s="811"/>
      <c r="BV40" s="811"/>
      <c r="BW40" s="811"/>
      <c r="BX40" s="811"/>
      <c r="BY40" s="811"/>
      <c r="BZ40" s="811"/>
      <c r="CA40" s="811"/>
      <c r="CB40" s="811"/>
      <c r="CC40" s="811"/>
      <c r="CD40" s="811"/>
      <c r="CE40" s="811"/>
      <c r="CF40" s="124"/>
    </row>
  </sheetData>
  <sheetProtection algorithmName="SHA-512" hashValue="Qy3sGlPgQdYdmeEhr/UP7ER7ObNyTQhewd46LmCoWpvMK41p8eaa8TgYsNtmhKChjZrq8I+uHnRYcaGkkGuXng==" saltValue="6TTpVP4YpZ/uzmbpjeSkQw==" spinCount="100000" sheet="1" objects="1" scenarios="1"/>
  <mergeCells count="84">
    <mergeCell ref="C19:AO19"/>
    <mergeCell ref="BD19:CE19"/>
    <mergeCell ref="AP18:BC18"/>
    <mergeCell ref="C39:CE39"/>
    <mergeCell ref="C40:CE40"/>
    <mergeCell ref="C35:CE35"/>
    <mergeCell ref="C36:CE36"/>
    <mergeCell ref="C37:CE37"/>
    <mergeCell ref="C38:CE38"/>
    <mergeCell ref="C31:Q31"/>
    <mergeCell ref="R30:AM30"/>
    <mergeCell ref="AN30:BI30"/>
    <mergeCell ref="BJ30:CE30"/>
    <mergeCell ref="C29:Q29"/>
    <mergeCell ref="R29:AM29"/>
    <mergeCell ref="AN29:BI29"/>
    <mergeCell ref="BJ29:CE29"/>
    <mergeCell ref="C30:Q30"/>
    <mergeCell ref="R31:Z31"/>
    <mergeCell ref="AA31:AM31"/>
    <mergeCell ref="AN31:AV31"/>
    <mergeCell ref="AW31:BI31"/>
    <mergeCell ref="BJ31:BR31"/>
    <mergeCell ref="BS31:CE31"/>
    <mergeCell ref="BJ28:CE28"/>
    <mergeCell ref="C26:Q26"/>
    <mergeCell ref="R26:AM26"/>
    <mergeCell ref="AN26:BI26"/>
    <mergeCell ref="BJ26:CE26"/>
    <mergeCell ref="C27:Q27"/>
    <mergeCell ref="R27:AM27"/>
    <mergeCell ref="AN27:BI27"/>
    <mergeCell ref="BJ27:CE27"/>
    <mergeCell ref="C28:Q28"/>
    <mergeCell ref="R28:AM28"/>
    <mergeCell ref="AN28:BI28"/>
    <mergeCell ref="BS25:CE25"/>
    <mergeCell ref="C24:Q24"/>
    <mergeCell ref="R24:AM24"/>
    <mergeCell ref="AN24:BI24"/>
    <mergeCell ref="BJ24:CE24"/>
    <mergeCell ref="C25:Q25"/>
    <mergeCell ref="R25:Z25"/>
    <mergeCell ref="AA25:AM25"/>
    <mergeCell ref="AN25:AV25"/>
    <mergeCell ref="AW25:BI25"/>
    <mergeCell ref="BJ25:BR25"/>
    <mergeCell ref="C23:Q23"/>
    <mergeCell ref="R23:AM23"/>
    <mergeCell ref="AN23:BI23"/>
    <mergeCell ref="BJ23:CE23"/>
    <mergeCell ref="C17:O17"/>
    <mergeCell ref="AP17:BC17"/>
    <mergeCell ref="AP19:BC19"/>
    <mergeCell ref="C22:Q22"/>
    <mergeCell ref="R22:AM22"/>
    <mergeCell ref="AN22:BI22"/>
    <mergeCell ref="BJ22:CE22"/>
    <mergeCell ref="C18:O18"/>
    <mergeCell ref="BD17:CE17"/>
    <mergeCell ref="BD18:CE18"/>
    <mergeCell ref="P17:AO17"/>
    <mergeCell ref="P18:AO18"/>
    <mergeCell ref="BW12:CE12"/>
    <mergeCell ref="C13:O13"/>
    <mergeCell ref="P13:AO13"/>
    <mergeCell ref="AP13:BC13"/>
    <mergeCell ref="BD13:CE13"/>
    <mergeCell ref="C33:Q33"/>
    <mergeCell ref="R33:CE33"/>
    <mergeCell ref="AW3:BG3"/>
    <mergeCell ref="C4:AZ6"/>
    <mergeCell ref="BQ4:CE4"/>
    <mergeCell ref="BS5:BV5"/>
    <mergeCell ref="BW5:CE5"/>
    <mergeCell ref="AZ10:BM10"/>
    <mergeCell ref="BN10:CE10"/>
    <mergeCell ref="C14:O14"/>
    <mergeCell ref="P14:AO14"/>
    <mergeCell ref="AP14:BC14"/>
    <mergeCell ref="BD14:CE14"/>
    <mergeCell ref="C12:O12"/>
    <mergeCell ref="P12:AB12"/>
    <mergeCell ref="AC12:BV12"/>
  </mergeCells>
  <phoneticPr fontId="1" type="noConversion"/>
  <pageMargins left="0.7" right="0.7" top="0.75" bottom="0.75" header="0.3" footer="0.3"/>
  <pageSetup paperSize="9" scale="4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locked="0" defaultSize="0" print="0" autoFill="0" autoLine="0" autoPict="0">
                <anchor moveWithCells="1" sizeWithCells="1">
                  <from>
                    <xdr:col>54</xdr:col>
                    <xdr:colOff>152400</xdr:colOff>
                    <xdr:row>21</xdr:row>
                    <xdr:rowOff>123825</xdr:rowOff>
                  </from>
                  <to>
                    <xdr:col>57</xdr:col>
                    <xdr:colOff>47625</xdr:colOff>
                    <xdr:row>21</xdr:row>
                    <xdr:rowOff>523875</xdr:rowOff>
                  </to>
                </anchor>
              </controlPr>
            </control>
          </mc:Choice>
        </mc:AlternateContent>
        <mc:AlternateContent xmlns:mc="http://schemas.openxmlformats.org/markup-compatibility/2006">
          <mc:Choice Requires="x14">
            <control shapeId="14338" r:id="rId5" name="Check Box 2">
              <controlPr locked="0" defaultSize="0" print="0" autoFill="0" autoLine="0" autoPict="0">
                <anchor moveWithCells="1" sizeWithCells="1">
                  <from>
                    <xdr:col>77</xdr:col>
                    <xdr:colOff>47625</xdr:colOff>
                    <xdr:row>21</xdr:row>
                    <xdr:rowOff>114300</xdr:rowOff>
                  </from>
                  <to>
                    <xdr:col>79</xdr:col>
                    <xdr:colOff>123825</xdr:colOff>
                    <xdr:row>21</xdr:row>
                    <xdr:rowOff>514350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7" id="{4FD0ED2D-AE50-4D6B-A2EF-E3249A1B4395}">
            <xm:f>'금융리스 입력'!$BB$11=FALSE</xm:f>
            <x14:dxf>
              <font>
                <color theme="0"/>
              </font>
            </x14:dxf>
          </x14:cfRule>
          <xm:sqref>AN23:BI25 AN27:BI28 AN30:BI31</xm:sqref>
        </x14:conditionalFormatting>
        <x14:conditionalFormatting xmlns:xm="http://schemas.microsoft.com/office/excel/2006/main">
          <x14:cfRule type="expression" priority="6" id="{1916D938-48B5-4E5A-AC23-BC056719F798}">
            <xm:f>'금융리스 입력'!$BB$11=FALSE</xm:f>
            <x14:dxf>
              <font>
                <color theme="4" tint="0.59996337778862885"/>
              </font>
            </x14:dxf>
          </x14:cfRule>
          <xm:sqref>AN26:BI26 AN29:BI29</xm:sqref>
        </x14:conditionalFormatting>
        <x14:conditionalFormatting xmlns:xm="http://schemas.microsoft.com/office/excel/2006/main">
          <x14:cfRule type="expression" priority="5" id="{19169A78-E5B0-476A-A67F-470E2C45CB3A}">
            <xm:f>'금융리스 입력'!$BB$16=FALSE</xm:f>
            <x14:dxf>
              <font>
                <color theme="0"/>
              </font>
            </x14:dxf>
          </x14:cfRule>
          <xm:sqref>BJ23:CE25 BJ27:CE28 BJ30:CE31</xm:sqref>
        </x14:conditionalFormatting>
        <x14:conditionalFormatting xmlns:xm="http://schemas.microsoft.com/office/excel/2006/main">
          <x14:cfRule type="expression" priority="4" id="{7DA169B8-9C7E-4ECC-9EBB-AEB20F6B03C0}">
            <xm:f>'금융리스 입력'!$BB$16=FALSE</xm:f>
            <x14:dxf>
              <font>
                <color theme="4" tint="0.59996337778862885"/>
              </font>
            </x14:dxf>
          </x14:cfRule>
          <xm:sqref>BJ26:CE26 BJ29:CE29</xm:sqref>
        </x14:conditionalFormatting>
        <x14:conditionalFormatting xmlns:xm="http://schemas.microsoft.com/office/excel/2006/main">
          <x14:cfRule type="expression" priority="3" id="{45DFA368-5C9E-4B9A-89D8-6BF85B66C554}">
            <xm:f>'금융리스 입력'!$BB$8=FALSE</xm:f>
            <x14:dxf>
              <font>
                <color theme="0"/>
              </font>
            </x14:dxf>
          </x14:cfRule>
          <xm:sqref>R31:AM31</xm:sqref>
        </x14:conditionalFormatting>
        <x14:conditionalFormatting xmlns:xm="http://schemas.microsoft.com/office/excel/2006/main">
          <x14:cfRule type="expression" priority="2" id="{C50462A5-E247-4A8A-9995-992358491FF2}">
            <xm:f>'금융리스 입력'!$BB$13=FALSE</xm:f>
            <x14:dxf>
              <font>
                <color theme="0"/>
              </font>
            </x14:dxf>
          </x14:cfRule>
          <xm:sqref>AN31:BI31</xm:sqref>
        </x14:conditionalFormatting>
        <x14:conditionalFormatting xmlns:xm="http://schemas.microsoft.com/office/excel/2006/main">
          <x14:cfRule type="expression" priority="1" id="{E46F36E0-49B3-4BBC-97EC-80A00D5DD741}">
            <xm:f>'금융리스 입력'!$BB$18=FALSE</xm:f>
            <x14:dxf>
              <font>
                <color theme="0"/>
              </font>
            </x14:dxf>
          </x14:cfRule>
          <xm:sqref>BJ31:CE31</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FFC000"/>
  </sheetPr>
  <dimension ref="A1:BF28"/>
  <sheetViews>
    <sheetView zoomScale="110" zoomScaleNormal="110" zoomScaleSheetLayoutView="40" workbookViewId="0">
      <selection activeCell="T14" sqref="T14"/>
    </sheetView>
  </sheetViews>
  <sheetFormatPr defaultRowHeight="17.25" customHeight="1" x14ac:dyDescent="0.3"/>
  <cols>
    <col min="1" max="1" width="3.75" style="96" customWidth="1"/>
    <col min="2" max="2" width="8.75" style="96" customWidth="1"/>
    <col min="3" max="3" width="9.125" style="96" customWidth="1"/>
    <col min="4" max="5" width="8.625" style="96" customWidth="1"/>
    <col min="6" max="6" width="8.5" style="96" customWidth="1"/>
    <col min="7" max="7" width="14.25" style="96" customWidth="1"/>
    <col min="8" max="8" width="4" style="96" customWidth="1"/>
    <col min="9" max="9" width="13.375" style="96" customWidth="1"/>
    <col min="10" max="11" width="7.125" style="96" customWidth="1"/>
    <col min="12" max="12" width="2.75" style="96" customWidth="1"/>
    <col min="13" max="13" width="7.125" style="96" customWidth="1"/>
    <col min="14" max="14" width="7.125" style="97" customWidth="1"/>
    <col min="15" max="15" width="2.625" style="96" customWidth="1"/>
    <col min="16" max="16" width="13.375" style="96" customWidth="1"/>
    <col min="17" max="18" width="7.125" style="96" customWidth="1"/>
    <col min="19" max="19" width="2.75" style="96" customWidth="1"/>
    <col min="20" max="20" width="7.125" style="96" customWidth="1"/>
    <col min="21" max="21" width="7.125" style="97" customWidth="1"/>
    <col min="22" max="22" width="2.625" style="96" customWidth="1"/>
    <col min="23" max="23" width="13.375" style="96" customWidth="1"/>
    <col min="24" max="25" width="7.125" style="96" customWidth="1"/>
    <col min="26" max="26" width="2.75" style="96" customWidth="1"/>
    <col min="27" max="27" width="7.125" style="96" customWidth="1"/>
    <col min="28" max="28" width="7.125" style="97" customWidth="1"/>
    <col min="29" max="29" width="1.375" style="98" customWidth="1"/>
    <col min="30" max="30" width="10.5" style="98" customWidth="1"/>
    <col min="31" max="31" width="10.5" style="126" customWidth="1"/>
    <col min="32" max="32" width="10.5" style="127" customWidth="1"/>
    <col min="33" max="33" width="10.5" style="98" customWidth="1"/>
    <col min="34" max="34" width="9" style="96"/>
    <col min="35" max="35" width="10.5" style="96" bestFit="1" customWidth="1"/>
    <col min="36" max="50" width="9" style="96"/>
    <col min="51" max="51" width="9" style="99"/>
    <col min="52" max="52" width="9" style="272"/>
    <col min="53" max="55" width="9" style="99"/>
    <col min="56" max="58" width="9" style="272"/>
    <col min="59" max="16384" width="9" style="96"/>
  </cols>
  <sheetData>
    <row r="1" spans="1:56" ht="23.25" customHeight="1" thickBot="1" x14ac:dyDescent="0.35">
      <c r="Y1" s="836"/>
      <c r="Z1" s="836"/>
      <c r="AA1" s="837"/>
      <c r="AB1" s="837"/>
      <c r="AC1" s="125"/>
      <c r="AD1" s="103"/>
    </row>
    <row r="2" spans="1:56" ht="21.75" customHeight="1" thickBot="1" x14ac:dyDescent="0.35">
      <c r="A2" s="100"/>
      <c r="B2" s="834" t="s">
        <v>1432</v>
      </c>
      <c r="C2" s="835"/>
      <c r="D2" s="838" t="str">
        <f>'운용리스 입력'!D2:G2</f>
        <v>2025_09_V1</v>
      </c>
      <c r="E2" s="839"/>
      <c r="F2" s="128" t="s">
        <v>1460</v>
      </c>
      <c r="G2" s="129">
        <f ca="1">TODAY()</f>
        <v>45904</v>
      </c>
      <c r="H2" s="100"/>
      <c r="I2" s="640" t="s">
        <v>1277</v>
      </c>
      <c r="J2" s="641"/>
      <c r="K2" s="641"/>
      <c r="L2" s="641"/>
      <c r="M2" s="641"/>
      <c r="N2" s="642"/>
      <c r="O2" s="100"/>
      <c r="P2" s="640" t="s">
        <v>1278</v>
      </c>
      <c r="Q2" s="641"/>
      <c r="R2" s="641"/>
      <c r="S2" s="641"/>
      <c r="T2" s="641"/>
      <c r="U2" s="642"/>
      <c r="V2" s="100"/>
      <c r="W2" s="640" t="s">
        <v>1279</v>
      </c>
      <c r="X2" s="641"/>
      <c r="Y2" s="641"/>
      <c r="Z2" s="641"/>
      <c r="AA2" s="641"/>
      <c r="AB2" s="642"/>
      <c r="AC2" s="103"/>
      <c r="BA2" s="130" t="s">
        <v>1272</v>
      </c>
      <c r="BB2" s="131"/>
    </row>
    <row r="3" spans="1:56" ht="21.75" customHeight="1" thickBot="1" x14ac:dyDescent="0.35">
      <c r="A3" s="100"/>
      <c r="B3" s="576" t="s">
        <v>1</v>
      </c>
      <c r="C3" s="577"/>
      <c r="D3" s="630" t="s">
        <v>1696</v>
      </c>
      <c r="E3" s="628"/>
      <c r="F3" s="628"/>
      <c r="G3" s="629"/>
      <c r="H3" s="100"/>
      <c r="I3" s="151" t="s">
        <v>5</v>
      </c>
      <c r="J3" s="669">
        <v>36</v>
      </c>
      <c r="K3" s="670"/>
      <c r="L3" s="670"/>
      <c r="M3" s="670"/>
      <c r="N3" s="671"/>
      <c r="O3" s="100"/>
      <c r="P3" s="151" t="s">
        <v>5</v>
      </c>
      <c r="Q3" s="670">
        <v>48</v>
      </c>
      <c r="R3" s="670"/>
      <c r="S3" s="670"/>
      <c r="T3" s="670"/>
      <c r="U3" s="671"/>
      <c r="V3" s="100"/>
      <c r="W3" s="176" t="s">
        <v>5</v>
      </c>
      <c r="X3" s="669">
        <v>60</v>
      </c>
      <c r="Y3" s="670"/>
      <c r="Z3" s="670"/>
      <c r="AA3" s="670"/>
      <c r="AB3" s="671"/>
      <c r="AC3" s="103"/>
      <c r="BA3" s="130" t="s">
        <v>1273</v>
      </c>
      <c r="BB3" s="275" t="b">
        <v>1</v>
      </c>
      <c r="BC3" s="276"/>
      <c r="BD3" s="374"/>
    </row>
    <row r="4" spans="1:56" ht="21.75" customHeight="1" thickBot="1" x14ac:dyDescent="0.35">
      <c r="A4" s="100"/>
      <c r="B4" s="590" t="s">
        <v>0</v>
      </c>
      <c r="C4" s="591"/>
      <c r="D4" s="592" t="s">
        <v>1693</v>
      </c>
      <c r="E4" s="593"/>
      <c r="F4" s="593"/>
      <c r="G4" s="594"/>
      <c r="H4" s="100"/>
      <c r="I4" s="151" t="s">
        <v>1446</v>
      </c>
      <c r="J4" s="840">
        <f>'금융리스 내부'!H4</f>
        <v>32000000</v>
      </c>
      <c r="K4" s="840"/>
      <c r="L4" s="840"/>
      <c r="M4" s="840"/>
      <c r="N4" s="841"/>
      <c r="O4" s="100"/>
      <c r="P4" s="151" t="s">
        <v>1446</v>
      </c>
      <c r="Q4" s="840">
        <f>'금융리스 내부'!M4</f>
        <v>32000000</v>
      </c>
      <c r="R4" s="840"/>
      <c r="S4" s="840"/>
      <c r="T4" s="840"/>
      <c r="U4" s="841"/>
      <c r="V4" s="100"/>
      <c r="W4" s="151" t="s">
        <v>1446</v>
      </c>
      <c r="X4" s="840">
        <f>'금융리스 내부'!R4</f>
        <v>32000000</v>
      </c>
      <c r="Y4" s="840"/>
      <c r="Z4" s="840"/>
      <c r="AA4" s="840"/>
      <c r="AB4" s="841"/>
      <c r="AC4" s="105"/>
      <c r="AD4" s="106"/>
      <c r="AG4" s="106"/>
      <c r="BA4" s="130" t="s">
        <v>1274</v>
      </c>
      <c r="BB4" s="275" t="b">
        <v>1</v>
      </c>
      <c r="BC4" s="276"/>
      <c r="BD4" s="374"/>
    </row>
    <row r="5" spans="1:56" ht="21.75" customHeight="1" thickBot="1" x14ac:dyDescent="0.35">
      <c r="A5" s="100"/>
      <c r="B5" s="590" t="s">
        <v>1426</v>
      </c>
      <c r="C5" s="591"/>
      <c r="D5" s="592" t="s">
        <v>1693</v>
      </c>
      <c r="E5" s="593"/>
      <c r="F5" s="593"/>
      <c r="G5" s="594"/>
      <c r="H5" s="100"/>
      <c r="I5" s="100"/>
      <c r="J5" s="100"/>
      <c r="K5" s="100"/>
      <c r="L5" s="100"/>
      <c r="M5" s="100"/>
      <c r="N5" s="104"/>
      <c r="O5" s="100"/>
      <c r="P5" s="100"/>
      <c r="Q5" s="100"/>
      <c r="R5" s="100"/>
      <c r="S5" s="100"/>
      <c r="T5" s="100"/>
      <c r="U5" s="104"/>
      <c r="V5" s="100"/>
      <c r="W5" s="100"/>
      <c r="X5" s="100"/>
      <c r="Y5" s="100"/>
      <c r="Z5" s="100"/>
      <c r="AA5" s="100"/>
      <c r="AB5" s="104"/>
      <c r="AC5" s="105"/>
      <c r="AD5" s="106"/>
      <c r="AG5" s="106"/>
      <c r="BA5" s="130" t="s">
        <v>4</v>
      </c>
      <c r="BB5" s="275" t="b">
        <v>1</v>
      </c>
      <c r="BC5" s="276"/>
      <c r="BD5" s="374"/>
    </row>
    <row r="6" spans="1:56" ht="21.75" customHeight="1" x14ac:dyDescent="0.3">
      <c r="A6" s="100"/>
      <c r="B6" s="590" t="s">
        <v>1427</v>
      </c>
      <c r="C6" s="591"/>
      <c r="D6" s="592" t="s">
        <v>1695</v>
      </c>
      <c r="E6" s="593"/>
      <c r="F6" s="593"/>
      <c r="G6" s="594"/>
      <c r="H6" s="100"/>
      <c r="I6" s="152" t="s">
        <v>1435</v>
      </c>
      <c r="J6" s="620">
        <v>0.2</v>
      </c>
      <c r="K6" s="621"/>
      <c r="L6" s="606">
        <f>D11*J6</f>
        <v>8000000</v>
      </c>
      <c r="M6" s="607"/>
      <c r="N6" s="608"/>
      <c r="O6" s="100"/>
      <c r="P6" s="152" t="s">
        <v>1435</v>
      </c>
      <c r="Q6" s="620">
        <v>0.2</v>
      </c>
      <c r="R6" s="621"/>
      <c r="S6" s="606">
        <f>D11*Q6</f>
        <v>8000000</v>
      </c>
      <c r="T6" s="607"/>
      <c r="U6" s="608"/>
      <c r="V6" s="100"/>
      <c r="W6" s="152" t="s">
        <v>1435</v>
      </c>
      <c r="X6" s="620">
        <v>0.2</v>
      </c>
      <c r="Y6" s="621"/>
      <c r="Z6" s="606">
        <f>D11*X6</f>
        <v>8000000</v>
      </c>
      <c r="AA6" s="607"/>
      <c r="AB6" s="608"/>
      <c r="AC6" s="103"/>
      <c r="BA6" s="130" t="s">
        <v>1276</v>
      </c>
      <c r="BB6" s="275" t="b">
        <v>1</v>
      </c>
      <c r="BC6" s="276"/>
      <c r="BD6" s="374"/>
    </row>
    <row r="7" spans="1:56" ht="21.75" customHeight="1" thickBot="1" x14ac:dyDescent="0.35">
      <c r="A7" s="100"/>
      <c r="B7" s="660" t="s">
        <v>11</v>
      </c>
      <c r="C7" s="661"/>
      <c r="D7" s="657">
        <f>'금융리스 내부'!D8:E8</f>
        <v>0</v>
      </c>
      <c r="E7" s="658"/>
      <c r="F7" s="658"/>
      <c r="G7" s="659"/>
      <c r="H7" s="100"/>
      <c r="I7" s="155" t="str">
        <f>IF(BB7=TRUE,"% 입력","금액 입력")</f>
        <v>% 입력</v>
      </c>
      <c r="J7" s="833">
        <f>L7/D11</f>
        <v>0.125</v>
      </c>
      <c r="K7" s="623"/>
      <c r="L7" s="615">
        <v>5000000</v>
      </c>
      <c r="M7" s="616"/>
      <c r="N7" s="617"/>
      <c r="O7" s="100"/>
      <c r="P7" s="155" t="str">
        <f>IF(BB12=TRUE,"% 입력","금액 입력")</f>
        <v>% 입력</v>
      </c>
      <c r="Q7" s="828">
        <f>S7/D11</f>
        <v>0.75</v>
      </c>
      <c r="R7" s="828"/>
      <c r="S7" s="615">
        <v>30000000</v>
      </c>
      <c r="T7" s="616"/>
      <c r="U7" s="617"/>
      <c r="V7" s="100"/>
      <c r="W7" s="155" t="str">
        <f>IF(BB17=TRUE,"% 입력","금액 입력")</f>
        <v>% 입력</v>
      </c>
      <c r="X7" s="828">
        <f>Z7/D11</f>
        <v>0.75</v>
      </c>
      <c r="Y7" s="832"/>
      <c r="Z7" s="615">
        <v>30000000</v>
      </c>
      <c r="AA7" s="616"/>
      <c r="AB7" s="617"/>
      <c r="AC7" s="103"/>
      <c r="BA7" s="130" t="s">
        <v>1436</v>
      </c>
      <c r="BB7" s="275" t="b">
        <v>1</v>
      </c>
      <c r="BC7" s="276"/>
      <c r="BD7" s="374"/>
    </row>
    <row r="8" spans="1:56" ht="21.75" customHeight="1" thickBot="1" x14ac:dyDescent="0.35">
      <c r="A8" s="100"/>
      <c r="B8" s="576" t="s">
        <v>1428</v>
      </c>
      <c r="C8" s="577"/>
      <c r="D8" s="578">
        <v>40000000</v>
      </c>
      <c r="E8" s="579"/>
      <c r="F8" s="579"/>
      <c r="G8" s="580"/>
      <c r="H8" s="100"/>
      <c r="I8" s="100"/>
      <c r="J8" s="100"/>
      <c r="K8" s="100"/>
      <c r="L8" s="100"/>
      <c r="M8" s="100"/>
      <c r="N8" s="104"/>
      <c r="O8" s="100"/>
      <c r="P8" s="100"/>
      <c r="Q8" s="100"/>
      <c r="R8" s="100"/>
      <c r="S8" s="100"/>
      <c r="T8" s="100"/>
      <c r="U8" s="104"/>
      <c r="V8" s="100"/>
      <c r="W8" s="100"/>
      <c r="X8" s="100"/>
      <c r="Y8" s="100"/>
      <c r="Z8" s="100"/>
      <c r="AA8" s="100"/>
      <c r="AB8" s="104"/>
      <c r="AC8" s="103"/>
      <c r="BA8" s="132" t="s">
        <v>1441</v>
      </c>
      <c r="BB8" s="278" t="b">
        <v>0</v>
      </c>
      <c r="BC8" s="276" t="b">
        <v>0</v>
      </c>
      <c r="BD8" s="374"/>
    </row>
    <row r="9" spans="1:56" ht="21.75" customHeight="1" x14ac:dyDescent="0.3">
      <c r="A9" s="100"/>
      <c r="B9" s="590" t="s">
        <v>1390</v>
      </c>
      <c r="C9" s="591"/>
      <c r="D9" s="581">
        <v>0</v>
      </c>
      <c r="E9" s="582"/>
      <c r="F9" s="582"/>
      <c r="G9" s="583"/>
      <c r="H9" s="100"/>
      <c r="I9" s="152" t="s">
        <v>1440</v>
      </c>
      <c r="J9" s="826">
        <v>0.15</v>
      </c>
      <c r="K9" s="827"/>
      <c r="L9" s="606">
        <f>D11*J9</f>
        <v>6000000</v>
      </c>
      <c r="M9" s="607"/>
      <c r="N9" s="608"/>
      <c r="O9" s="100"/>
      <c r="P9" s="152" t="s">
        <v>1440</v>
      </c>
      <c r="Q9" s="826">
        <v>0.3</v>
      </c>
      <c r="R9" s="826"/>
      <c r="S9" s="606">
        <f>D11*Q9</f>
        <v>12000000</v>
      </c>
      <c r="T9" s="607"/>
      <c r="U9" s="608"/>
      <c r="V9" s="100"/>
      <c r="W9" s="152" t="s">
        <v>1440</v>
      </c>
      <c r="X9" s="826">
        <v>0.3</v>
      </c>
      <c r="Y9" s="827"/>
      <c r="Z9" s="607">
        <f>D11*X9</f>
        <v>12000000</v>
      </c>
      <c r="AA9" s="607"/>
      <c r="AB9" s="608"/>
      <c r="AC9" s="103"/>
      <c r="BA9" s="130" t="s">
        <v>1442</v>
      </c>
      <c r="BB9" s="275" t="b">
        <v>0</v>
      </c>
      <c r="BC9" s="276"/>
      <c r="BD9" s="374"/>
    </row>
    <row r="10" spans="1:56" ht="21.75" customHeight="1" thickBot="1" x14ac:dyDescent="0.35">
      <c r="A10" s="100"/>
      <c r="B10" s="660" t="s">
        <v>1391</v>
      </c>
      <c r="C10" s="661"/>
      <c r="D10" s="664">
        <v>0</v>
      </c>
      <c r="E10" s="665"/>
      <c r="F10" s="665"/>
      <c r="G10" s="666"/>
      <c r="H10" s="100"/>
      <c r="I10" s="155" t="str">
        <f>IF(BB9=TRUE,"% 입력","금액 입력")</f>
        <v>금액 입력</v>
      </c>
      <c r="J10" s="833">
        <f>L10/D11</f>
        <v>0.25</v>
      </c>
      <c r="K10" s="623"/>
      <c r="L10" s="842">
        <v>10000000</v>
      </c>
      <c r="M10" s="843"/>
      <c r="N10" s="844"/>
      <c r="O10" s="100"/>
      <c r="P10" s="155" t="str">
        <f>IF(BB14=TRUE,"% 입력","금액 입력")</f>
        <v>금액 입력</v>
      </c>
      <c r="Q10" s="828">
        <f>S10/D11</f>
        <v>0.75</v>
      </c>
      <c r="R10" s="828"/>
      <c r="S10" s="829">
        <v>30000000</v>
      </c>
      <c r="T10" s="830"/>
      <c r="U10" s="831"/>
      <c r="V10" s="100"/>
      <c r="W10" s="155" t="str">
        <f>IF(BB19=TRUE,"% 입력","금액 입력")</f>
        <v>금액 입력</v>
      </c>
      <c r="X10" s="828">
        <f>Z10/D11</f>
        <v>0.75</v>
      </c>
      <c r="Y10" s="832"/>
      <c r="Z10" s="830">
        <v>30000000</v>
      </c>
      <c r="AA10" s="830"/>
      <c r="AB10" s="831"/>
      <c r="AC10" s="103"/>
      <c r="BA10" s="130" t="s">
        <v>1371</v>
      </c>
      <c r="BB10" s="275" t="b">
        <v>0</v>
      </c>
      <c r="BC10" s="276"/>
      <c r="BD10" s="374"/>
    </row>
    <row r="11" spans="1:56" ht="21.75" customHeight="1" thickTop="1" thickBot="1" x14ac:dyDescent="0.35">
      <c r="A11" s="100"/>
      <c r="B11" s="568" t="s">
        <v>1429</v>
      </c>
      <c r="C11" s="569"/>
      <c r="D11" s="565">
        <f>D8+D9-D10</f>
        <v>40000000</v>
      </c>
      <c r="E11" s="566"/>
      <c r="F11" s="566"/>
      <c r="G11" s="567"/>
      <c r="H11" s="100"/>
      <c r="I11" s="175" t="s">
        <v>1475</v>
      </c>
      <c r="J11" s="821">
        <f>'금융리스 내부'!H8</f>
        <v>0.3</v>
      </c>
      <c r="K11" s="825"/>
      <c r="L11" s="822">
        <f>'금융리스 내부'!I8</f>
        <v>12000000</v>
      </c>
      <c r="M11" s="823"/>
      <c r="N11" s="824"/>
      <c r="O11" s="100"/>
      <c r="P11" s="175" t="s">
        <v>1475</v>
      </c>
      <c r="Q11" s="821">
        <f>'금융리스 내부'!M8</f>
        <v>0.2</v>
      </c>
      <c r="R11" s="821"/>
      <c r="S11" s="822">
        <f>'금융리스 내부'!N8</f>
        <v>8000000</v>
      </c>
      <c r="T11" s="823"/>
      <c r="U11" s="824"/>
      <c r="V11" s="100"/>
      <c r="W11" s="175" t="s">
        <v>1475</v>
      </c>
      <c r="X11" s="821">
        <f>'금융리스 내부'!R8</f>
        <v>0.15</v>
      </c>
      <c r="Y11" s="825"/>
      <c r="Z11" s="823">
        <f>'금융리스 내부'!S8</f>
        <v>6000000</v>
      </c>
      <c r="AA11" s="823"/>
      <c r="AB11" s="824"/>
      <c r="AC11" s="103"/>
      <c r="BA11" s="99" t="s">
        <v>1549</v>
      </c>
      <c r="BB11" s="276" t="b">
        <v>1</v>
      </c>
      <c r="BC11" s="276"/>
      <c r="BD11" s="374"/>
    </row>
    <row r="12" spans="1:56" ht="21.75" customHeight="1" thickBot="1" x14ac:dyDescent="0.35">
      <c r="A12" s="100"/>
      <c r="H12" s="100"/>
      <c r="I12" s="100"/>
      <c r="J12" s="100"/>
      <c r="K12" s="100"/>
      <c r="L12" s="100"/>
      <c r="M12" s="100"/>
      <c r="N12" s="104"/>
      <c r="O12" s="100"/>
      <c r="P12" s="100"/>
      <c r="Q12" s="100"/>
      <c r="R12" s="100"/>
      <c r="S12" s="100"/>
      <c r="T12" s="100"/>
      <c r="U12" s="104"/>
      <c r="V12" s="100"/>
      <c r="W12" s="100"/>
      <c r="X12" s="100"/>
      <c r="Y12" s="100"/>
      <c r="Z12" s="100"/>
      <c r="AA12" s="100"/>
      <c r="AB12" s="104"/>
      <c r="AC12" s="103"/>
      <c r="BA12" s="130" t="s">
        <v>1437</v>
      </c>
      <c r="BB12" s="275" t="b">
        <v>1</v>
      </c>
      <c r="BC12" s="276"/>
      <c r="BD12" s="374"/>
    </row>
    <row r="13" spans="1:56" ht="21.75" customHeight="1" thickBot="1" x14ac:dyDescent="0.35">
      <c r="A13" s="100"/>
      <c r="B13" s="576" t="s">
        <v>1433</v>
      </c>
      <c r="C13" s="577"/>
      <c r="D13" s="624">
        <f>취득세!F6</f>
        <v>1145450</v>
      </c>
      <c r="E13" s="607"/>
      <c r="F13" s="607"/>
      <c r="G13" s="608"/>
      <c r="H13" s="100"/>
      <c r="I13" s="158" t="s">
        <v>1314</v>
      </c>
      <c r="J13" s="599">
        <v>0</v>
      </c>
      <c r="K13" s="599"/>
      <c r="L13" s="599"/>
      <c r="M13" s="599"/>
      <c r="N13" s="600"/>
      <c r="O13" s="100"/>
      <c r="P13" s="158" t="s">
        <v>1314</v>
      </c>
      <c r="Q13" s="599">
        <v>0</v>
      </c>
      <c r="R13" s="599"/>
      <c r="S13" s="599"/>
      <c r="T13" s="599"/>
      <c r="U13" s="600"/>
      <c r="V13" s="100"/>
      <c r="W13" s="158" t="s">
        <v>1314</v>
      </c>
      <c r="X13" s="599">
        <v>0</v>
      </c>
      <c r="Y13" s="599"/>
      <c r="Z13" s="599"/>
      <c r="AA13" s="599"/>
      <c r="AB13" s="600"/>
      <c r="AC13" s="103"/>
      <c r="BA13" s="130" t="s">
        <v>1439</v>
      </c>
      <c r="BB13" s="275" t="b">
        <v>0</v>
      </c>
      <c r="BC13" s="276" t="b">
        <v>0</v>
      </c>
      <c r="BD13" s="374"/>
    </row>
    <row r="14" spans="1:56" ht="21.75" customHeight="1" thickBot="1" x14ac:dyDescent="0.35">
      <c r="A14" s="100"/>
      <c r="B14" s="588" t="s">
        <v>1274</v>
      </c>
      <c r="C14" s="589"/>
      <c r="D14" s="105" t="s">
        <v>1424</v>
      </c>
      <c r="E14" s="625" t="s">
        <v>1421</v>
      </c>
      <c r="F14" s="593"/>
      <c r="G14" s="594"/>
      <c r="H14" s="100"/>
      <c r="O14" s="100"/>
      <c r="V14" s="100"/>
      <c r="AC14" s="103"/>
      <c r="AG14" s="96"/>
      <c r="BA14" s="132" t="s">
        <v>1443</v>
      </c>
      <c r="BB14" s="278" t="b">
        <v>0</v>
      </c>
      <c r="BC14" s="276"/>
      <c r="BD14" s="374"/>
    </row>
    <row r="15" spans="1:56" ht="21.75" customHeight="1" thickBot="1" x14ac:dyDescent="0.35">
      <c r="A15" s="100"/>
      <c r="B15" s="819"/>
      <c r="C15" s="820"/>
      <c r="D15" s="109" t="s">
        <v>1425</v>
      </c>
      <c r="E15" s="178">
        <v>0.09</v>
      </c>
      <c r="F15" s="556">
        <f>'공채&amp;차세'!O4</f>
        <v>0</v>
      </c>
      <c r="G15" s="557"/>
      <c r="H15" s="100"/>
      <c r="I15" s="151" t="s">
        <v>1464</v>
      </c>
      <c r="J15" s="845">
        <f>'금융리스 내부'!I12</f>
        <v>2.2499999999999999E-2</v>
      </c>
      <c r="K15" s="846"/>
      <c r="L15" s="846"/>
      <c r="M15" s="846"/>
      <c r="N15" s="847"/>
      <c r="O15" s="100"/>
      <c r="P15" s="151" t="s">
        <v>1464</v>
      </c>
      <c r="Q15" s="848">
        <f>'금융리스 내부'!N12</f>
        <v>2.2499999999999999E-2</v>
      </c>
      <c r="R15" s="849"/>
      <c r="S15" s="849"/>
      <c r="T15" s="849"/>
      <c r="U15" s="850"/>
      <c r="V15" s="100"/>
      <c r="W15" s="151" t="s">
        <v>1464</v>
      </c>
      <c r="X15" s="848">
        <f>'금융리스 내부'!S12</f>
        <v>2.2499999999999999E-2</v>
      </c>
      <c r="Y15" s="849"/>
      <c r="Z15" s="849"/>
      <c r="AA15" s="849"/>
      <c r="AB15" s="850"/>
      <c r="AC15" s="103"/>
      <c r="BA15" s="130" t="s">
        <v>1372</v>
      </c>
      <c r="BB15" s="275" t="b">
        <v>0</v>
      </c>
      <c r="BC15" s="276"/>
      <c r="BD15" s="374"/>
    </row>
    <row r="16" spans="1:56" ht="21.75" customHeight="1" x14ac:dyDescent="0.3">
      <c r="A16" s="100"/>
      <c r="B16" s="590" t="s">
        <v>4</v>
      </c>
      <c r="C16" s="591"/>
      <c r="D16" s="581">
        <v>100000</v>
      </c>
      <c r="E16" s="582"/>
      <c r="F16" s="582"/>
      <c r="G16" s="583"/>
      <c r="H16" s="100"/>
      <c r="I16" s="152" t="s">
        <v>1307</v>
      </c>
      <c r="J16" s="685">
        <v>0</v>
      </c>
      <c r="K16" s="686"/>
      <c r="L16" s="606">
        <f>'금융리스 내부'!I13</f>
        <v>0</v>
      </c>
      <c r="M16" s="607"/>
      <c r="N16" s="608"/>
      <c r="O16" s="100"/>
      <c r="P16" s="152" t="s">
        <v>1307</v>
      </c>
      <c r="Q16" s="678">
        <v>0</v>
      </c>
      <c r="R16" s="679"/>
      <c r="S16" s="606">
        <f>'금융리스 내부'!N13</f>
        <v>0</v>
      </c>
      <c r="T16" s="607"/>
      <c r="U16" s="608"/>
      <c r="V16" s="100"/>
      <c r="W16" s="152" t="s">
        <v>1307</v>
      </c>
      <c r="X16" s="678">
        <v>0</v>
      </c>
      <c r="Y16" s="679"/>
      <c r="Z16" s="606">
        <f>'금융리스 내부'!S13</f>
        <v>0</v>
      </c>
      <c r="AA16" s="607"/>
      <c r="AB16" s="608"/>
      <c r="AC16" s="103"/>
      <c r="BA16" s="99" t="s">
        <v>1550</v>
      </c>
      <c r="BB16" s="276" t="b">
        <v>1</v>
      </c>
      <c r="BC16" s="276"/>
      <c r="BD16" s="374"/>
    </row>
    <row r="17" spans="1:58" ht="21.75" customHeight="1" thickBot="1" x14ac:dyDescent="0.35">
      <c r="A17" s="100"/>
      <c r="B17" s="660" t="s">
        <v>1276</v>
      </c>
      <c r="C17" s="661"/>
      <c r="D17" s="664">
        <v>100000</v>
      </c>
      <c r="E17" s="665"/>
      <c r="F17" s="665"/>
      <c r="G17" s="666"/>
      <c r="H17" s="100"/>
      <c r="I17" s="153" t="s">
        <v>1308</v>
      </c>
      <c r="J17" s="687">
        <v>0</v>
      </c>
      <c r="K17" s="688"/>
      <c r="L17" s="603">
        <f>'금융리스 내부'!I14</f>
        <v>0</v>
      </c>
      <c r="M17" s="604"/>
      <c r="N17" s="605"/>
      <c r="O17" s="100"/>
      <c r="P17" s="153" t="s">
        <v>1308</v>
      </c>
      <c r="Q17" s="680">
        <v>0</v>
      </c>
      <c r="R17" s="681"/>
      <c r="S17" s="603">
        <f>'금융리스 내부'!N14</f>
        <v>0</v>
      </c>
      <c r="T17" s="604"/>
      <c r="U17" s="605"/>
      <c r="V17" s="100"/>
      <c r="W17" s="153" t="s">
        <v>1308</v>
      </c>
      <c r="X17" s="680">
        <v>0</v>
      </c>
      <c r="Y17" s="681"/>
      <c r="Z17" s="603">
        <f>'금융리스 내부'!S14</f>
        <v>0</v>
      </c>
      <c r="AA17" s="604"/>
      <c r="AB17" s="605"/>
      <c r="AC17" s="103"/>
      <c r="BA17" s="130" t="s">
        <v>1438</v>
      </c>
      <c r="BB17" s="275" t="b">
        <v>1</v>
      </c>
      <c r="BC17" s="276"/>
      <c r="BD17" s="374"/>
    </row>
    <row r="18" spans="1:58" ht="21.75" customHeight="1" thickBot="1" x14ac:dyDescent="0.35">
      <c r="A18" s="100"/>
      <c r="B18" s="568" t="s">
        <v>1434</v>
      </c>
      <c r="C18" s="569"/>
      <c r="D18" s="562">
        <f>SUM(D13+F15+D16+D17)</f>
        <v>1345450</v>
      </c>
      <c r="E18" s="563"/>
      <c r="F18" s="563"/>
      <c r="G18" s="564"/>
      <c r="H18" s="100"/>
      <c r="I18" s="100"/>
      <c r="J18" s="100"/>
      <c r="K18" s="100"/>
      <c r="L18" s="100"/>
      <c r="M18" s="100"/>
      <c r="N18" s="104"/>
      <c r="P18" s="100"/>
      <c r="Q18" s="100"/>
      <c r="R18" s="100"/>
      <c r="S18" s="100"/>
      <c r="T18" s="100"/>
      <c r="U18" s="104"/>
      <c r="W18" s="100"/>
      <c r="X18" s="100"/>
      <c r="Y18" s="100"/>
      <c r="Z18" s="100"/>
      <c r="AA18" s="100"/>
      <c r="AB18" s="104"/>
      <c r="AC18" s="103"/>
      <c r="BA18" s="130" t="s">
        <v>1447</v>
      </c>
      <c r="BB18" s="275" t="b">
        <v>0</v>
      </c>
      <c r="BC18" s="276" t="b">
        <v>0</v>
      </c>
      <c r="BD18" s="374"/>
    </row>
    <row r="19" spans="1:58" ht="21.75" customHeight="1" thickBot="1" x14ac:dyDescent="0.35">
      <c r="A19" s="100"/>
      <c r="B19" s="662" t="s">
        <v>1385</v>
      </c>
      <c r="C19" s="663"/>
      <c r="D19" s="669" t="s">
        <v>1537</v>
      </c>
      <c r="E19" s="670"/>
      <c r="F19" s="670"/>
      <c r="G19" s="671"/>
      <c r="H19" s="100"/>
      <c r="I19" s="159" t="s">
        <v>222</v>
      </c>
      <c r="J19" s="624">
        <f>'금융리스 내부'!H39</f>
        <v>973900</v>
      </c>
      <c r="K19" s="607"/>
      <c r="L19" s="607"/>
      <c r="M19" s="607"/>
      <c r="N19" s="608"/>
      <c r="O19" s="100"/>
      <c r="P19" s="159" t="s">
        <v>222</v>
      </c>
      <c r="Q19" s="624">
        <f>'금융리스 내부'!M39</f>
        <v>751800</v>
      </c>
      <c r="R19" s="607"/>
      <c r="S19" s="607"/>
      <c r="T19" s="607"/>
      <c r="U19" s="608"/>
      <c r="V19" s="100"/>
      <c r="W19" s="159" t="s">
        <v>222</v>
      </c>
      <c r="X19" s="624">
        <f>'금융리스 내부'!R39</f>
        <v>618900</v>
      </c>
      <c r="Y19" s="607"/>
      <c r="Z19" s="607"/>
      <c r="AA19" s="607"/>
      <c r="AB19" s="608"/>
      <c r="AC19" s="103"/>
      <c r="AE19" s="133"/>
      <c r="AF19" s="134"/>
      <c r="BA19" s="132" t="s">
        <v>1444</v>
      </c>
      <c r="BB19" s="278" t="b">
        <v>0</v>
      </c>
      <c r="BC19" s="276"/>
      <c r="BD19" s="374"/>
    </row>
    <row r="20" spans="1:58" ht="21.75" customHeight="1" thickBot="1" x14ac:dyDescent="0.35">
      <c r="A20" s="100"/>
      <c r="B20" s="662" t="s">
        <v>1535</v>
      </c>
      <c r="C20" s="663"/>
      <c r="D20" s="669" t="s">
        <v>1536</v>
      </c>
      <c r="E20" s="670"/>
      <c r="F20" s="670"/>
      <c r="G20" s="671"/>
      <c r="H20" s="100"/>
      <c r="I20" s="160" t="s">
        <v>10</v>
      </c>
      <c r="J20" s="656">
        <f>'금융리스 내부'!I20</f>
        <v>0</v>
      </c>
      <c r="K20" s="604"/>
      <c r="L20" s="604"/>
      <c r="M20" s="604"/>
      <c r="N20" s="605"/>
      <c r="O20" s="100"/>
      <c r="P20" s="160" t="s">
        <v>10</v>
      </c>
      <c r="Q20" s="656">
        <f>'금융리스 내부'!N20</f>
        <v>0</v>
      </c>
      <c r="R20" s="604"/>
      <c r="S20" s="604"/>
      <c r="T20" s="604"/>
      <c r="U20" s="605"/>
      <c r="V20" s="100"/>
      <c r="W20" s="160" t="s">
        <v>10</v>
      </c>
      <c r="X20" s="656">
        <f>'금융리스 내부'!S20</f>
        <v>0</v>
      </c>
      <c r="Y20" s="604"/>
      <c r="Z20" s="604"/>
      <c r="AA20" s="604"/>
      <c r="AB20" s="605"/>
      <c r="AC20" s="103"/>
      <c r="BA20" s="130" t="s">
        <v>1373</v>
      </c>
      <c r="BB20" s="275" t="b">
        <v>0</v>
      </c>
      <c r="BC20" s="276"/>
      <c r="BD20" s="374"/>
    </row>
    <row r="21" spans="1:58" ht="21.75" customHeight="1" thickBot="1" x14ac:dyDescent="0.35">
      <c r="A21" s="100"/>
      <c r="B21" s="135"/>
      <c r="C21" s="136" t="s">
        <v>1461</v>
      </c>
      <c r="D21" s="137"/>
      <c r="E21" s="137"/>
      <c r="F21" s="137"/>
      <c r="G21" s="138"/>
      <c r="H21" s="100"/>
      <c r="I21" s="111" t="s">
        <v>223</v>
      </c>
      <c r="J21" s="562">
        <f>IF(J4&lt;20000000,"20,000,000 이하 불가",'금융리스 내부'!I21)</f>
        <v>973900</v>
      </c>
      <c r="K21" s="563"/>
      <c r="L21" s="563"/>
      <c r="M21" s="563"/>
      <c r="N21" s="564"/>
      <c r="O21" s="100"/>
      <c r="P21" s="111" t="s">
        <v>223</v>
      </c>
      <c r="Q21" s="562">
        <f>IF(Q4&lt;20000000,"20,000,000 이하 불가",'금융리스 내부'!N21)</f>
        <v>751800</v>
      </c>
      <c r="R21" s="563"/>
      <c r="S21" s="563"/>
      <c r="T21" s="563"/>
      <c r="U21" s="564"/>
      <c r="V21" s="100"/>
      <c r="W21" s="111" t="s">
        <v>223</v>
      </c>
      <c r="X21" s="562">
        <f>IF(X4&lt;20000000,"20,000,000 이하 불가",'금융리스 내부'!S21)</f>
        <v>618900</v>
      </c>
      <c r="Y21" s="563"/>
      <c r="Z21" s="563"/>
      <c r="AA21" s="563"/>
      <c r="AB21" s="564"/>
      <c r="AC21" s="103"/>
    </row>
    <row r="22" spans="1:58" ht="21.75" customHeight="1" thickBot="1" x14ac:dyDescent="0.35">
      <c r="A22" s="100"/>
      <c r="B22" s="139"/>
      <c r="C22" s="140" t="s">
        <v>1462</v>
      </c>
      <c r="D22" s="141"/>
      <c r="E22" s="141"/>
      <c r="F22" s="141"/>
      <c r="G22" s="142"/>
      <c r="H22" s="100"/>
      <c r="I22" s="158" t="s">
        <v>1310</v>
      </c>
      <c r="J22" s="652">
        <f>'금융리스 내부'!H23</f>
        <v>6.0274463841729256E-2</v>
      </c>
      <c r="K22" s="652"/>
      <c r="L22" s="652"/>
      <c r="M22" s="652"/>
      <c r="N22" s="653"/>
      <c r="O22" s="100"/>
      <c r="P22" s="158" t="s">
        <v>1310</v>
      </c>
      <c r="Q22" s="652">
        <f>'금융리스 내부'!M23</f>
        <v>6.0190193485511315E-2</v>
      </c>
      <c r="R22" s="652"/>
      <c r="S22" s="652"/>
      <c r="T22" s="652"/>
      <c r="U22" s="653"/>
      <c r="V22" s="100"/>
      <c r="W22" s="158" t="s">
        <v>1310</v>
      </c>
      <c r="X22" s="652">
        <f>'금융리스 내부'!R23</f>
        <v>6.0168230510412563E-2</v>
      </c>
      <c r="Y22" s="652"/>
      <c r="Z22" s="652"/>
      <c r="AA22" s="652"/>
      <c r="AB22" s="653"/>
      <c r="AC22" s="103"/>
    </row>
    <row r="23" spans="1:58" ht="21.75" customHeight="1" x14ac:dyDescent="0.3">
      <c r="A23" s="100"/>
      <c r="H23" s="100"/>
      <c r="O23" s="100"/>
      <c r="V23" s="100"/>
      <c r="AC23" s="103"/>
      <c r="AE23" s="133"/>
      <c r="AF23" s="134"/>
    </row>
    <row r="24" spans="1:58" ht="21.75" customHeight="1" x14ac:dyDescent="0.3">
      <c r="A24" s="100"/>
      <c r="H24" s="100"/>
      <c r="O24" s="100"/>
      <c r="V24" s="100"/>
      <c r="AC24" s="103"/>
    </row>
    <row r="25" spans="1:58" s="100" customFormat="1" ht="21.75" customHeight="1" x14ac:dyDescent="0.3">
      <c r="N25" s="104"/>
      <c r="O25" s="110"/>
      <c r="U25" s="104"/>
      <c r="V25" s="110"/>
      <c r="AB25" s="104"/>
      <c r="AC25" s="103"/>
      <c r="AD25" s="103"/>
      <c r="AE25" s="143"/>
      <c r="AF25" s="98"/>
      <c r="AG25" s="103"/>
      <c r="AY25" s="144"/>
      <c r="AZ25" s="273"/>
      <c r="BA25" s="144"/>
      <c r="BB25" s="144"/>
      <c r="BC25" s="144"/>
      <c r="BD25" s="273"/>
      <c r="BE25" s="273"/>
      <c r="BF25" s="273"/>
    </row>
    <row r="26" spans="1:58" ht="21.75" customHeight="1" x14ac:dyDescent="0.3">
      <c r="A26" s="100"/>
      <c r="H26" s="100"/>
      <c r="O26" s="100"/>
      <c r="V26" s="100"/>
      <c r="AC26" s="103"/>
    </row>
    <row r="27" spans="1:58" ht="21.75" customHeight="1" x14ac:dyDescent="0.3">
      <c r="A27" s="100"/>
      <c r="H27" s="100"/>
      <c r="O27" s="100"/>
      <c r="V27" s="100"/>
      <c r="AC27" s="103"/>
    </row>
    <row r="28" spans="1:58" ht="18" customHeight="1" x14ac:dyDescent="0.3">
      <c r="A28" s="100"/>
      <c r="B28" s="100"/>
      <c r="C28" s="100"/>
      <c r="D28" s="100"/>
      <c r="E28" s="100"/>
      <c r="F28" s="100"/>
      <c r="G28" s="100"/>
      <c r="H28" s="100"/>
      <c r="I28" s="105"/>
      <c r="J28" s="100"/>
      <c r="K28" s="100"/>
      <c r="L28" s="100"/>
      <c r="M28" s="100"/>
      <c r="N28" s="104"/>
      <c r="O28" s="100"/>
      <c r="P28" s="105"/>
      <c r="Q28" s="100"/>
      <c r="R28" s="100"/>
      <c r="S28" s="100"/>
      <c r="T28" s="100"/>
      <c r="U28" s="104"/>
      <c r="V28" s="100"/>
      <c r="W28" s="105"/>
      <c r="X28" s="100"/>
      <c r="Y28" s="100"/>
      <c r="Z28" s="100"/>
      <c r="AA28" s="100"/>
      <c r="AB28" s="104"/>
      <c r="AC28" s="103"/>
    </row>
  </sheetData>
  <sheetProtection algorithmName="SHA-512" hashValue="HGWQVt+5cUJxIaZfkTeNJYeKHTTQNM85uY4SivRTfFWfxOIPGgLZ9zsIf925BLLsm1tQOOgANywB5hsiis9G9Q==" saltValue="Od8ahx4keyncvcoSdf0j6g==" spinCount="100000" sheet="1" objects="1" scenarios="1"/>
  <mergeCells count="106">
    <mergeCell ref="B11:C11"/>
    <mergeCell ref="L7:N7"/>
    <mergeCell ref="J11:K11"/>
    <mergeCell ref="L11:N11"/>
    <mergeCell ref="X20:AB20"/>
    <mergeCell ref="X21:AB21"/>
    <mergeCell ref="D11:G11"/>
    <mergeCell ref="B18:C18"/>
    <mergeCell ref="B17:C17"/>
    <mergeCell ref="X13:AB13"/>
    <mergeCell ref="Q13:U13"/>
    <mergeCell ref="J13:N13"/>
    <mergeCell ref="D17:G17"/>
    <mergeCell ref="J15:N15"/>
    <mergeCell ref="Q15:U15"/>
    <mergeCell ref="X15:AB15"/>
    <mergeCell ref="J17:K17"/>
    <mergeCell ref="L17:N17"/>
    <mergeCell ref="D13:G13"/>
    <mergeCell ref="E14:G14"/>
    <mergeCell ref="F15:G15"/>
    <mergeCell ref="D16:G16"/>
    <mergeCell ref="B13:C13"/>
    <mergeCell ref="Q7:R7"/>
    <mergeCell ref="B9:C9"/>
    <mergeCell ref="D9:G9"/>
    <mergeCell ref="J10:K10"/>
    <mergeCell ref="L10:N10"/>
    <mergeCell ref="J9:K9"/>
    <mergeCell ref="L9:N9"/>
    <mergeCell ref="D4:G4"/>
    <mergeCell ref="D6:G6"/>
    <mergeCell ref="D7:G7"/>
    <mergeCell ref="D10:G10"/>
    <mergeCell ref="B8:C8"/>
    <mergeCell ref="Q6:R6"/>
    <mergeCell ref="S6:U6"/>
    <mergeCell ref="X6:Y6"/>
    <mergeCell ref="Z6:AB6"/>
    <mergeCell ref="B2:C2"/>
    <mergeCell ref="Y1:Z1"/>
    <mergeCell ref="AA1:AB1"/>
    <mergeCell ref="I2:N2"/>
    <mergeCell ref="P2:U2"/>
    <mergeCell ref="W2:AB2"/>
    <mergeCell ref="D2:E2"/>
    <mergeCell ref="J4:N4"/>
    <mergeCell ref="Q4:U4"/>
    <mergeCell ref="X4:AB4"/>
    <mergeCell ref="J3:N3"/>
    <mergeCell ref="Q3:U3"/>
    <mergeCell ref="X3:AB3"/>
    <mergeCell ref="B3:C3"/>
    <mergeCell ref="D3:G3"/>
    <mergeCell ref="B4:C4"/>
    <mergeCell ref="J6:K6"/>
    <mergeCell ref="L6:N6"/>
    <mergeCell ref="B6:C6"/>
    <mergeCell ref="Q20:U20"/>
    <mergeCell ref="Q21:U21"/>
    <mergeCell ref="X19:AB19"/>
    <mergeCell ref="Q11:R11"/>
    <mergeCell ref="S11:U11"/>
    <mergeCell ref="X11:Y11"/>
    <mergeCell ref="Z11:AB11"/>
    <mergeCell ref="B5:C5"/>
    <mergeCell ref="D5:G5"/>
    <mergeCell ref="B7:C7"/>
    <mergeCell ref="B10:C10"/>
    <mergeCell ref="Q9:R9"/>
    <mergeCell ref="S9:U9"/>
    <mergeCell ref="X9:Y9"/>
    <mergeCell ref="Z9:AB9"/>
    <mergeCell ref="Q10:R10"/>
    <mergeCell ref="S10:U10"/>
    <mergeCell ref="X10:Y10"/>
    <mergeCell ref="Z10:AB10"/>
    <mergeCell ref="S7:U7"/>
    <mergeCell ref="Z7:AB7"/>
    <mergeCell ref="X7:Y7"/>
    <mergeCell ref="J7:K7"/>
    <mergeCell ref="D8:G8"/>
    <mergeCell ref="B14:C15"/>
    <mergeCell ref="B16:C16"/>
    <mergeCell ref="B20:C20"/>
    <mergeCell ref="D20:G20"/>
    <mergeCell ref="J22:N22"/>
    <mergeCell ref="Q22:U22"/>
    <mergeCell ref="X22:AB22"/>
    <mergeCell ref="B19:C19"/>
    <mergeCell ref="D19:G19"/>
    <mergeCell ref="L16:N16"/>
    <mergeCell ref="S16:U16"/>
    <mergeCell ref="Z16:AB16"/>
    <mergeCell ref="D18:G18"/>
    <mergeCell ref="J16:K16"/>
    <mergeCell ref="Q16:R16"/>
    <mergeCell ref="X16:Y16"/>
    <mergeCell ref="J20:N20"/>
    <mergeCell ref="S17:U17"/>
    <mergeCell ref="Q17:R17"/>
    <mergeCell ref="X17:Y17"/>
    <mergeCell ref="Z17:AB17"/>
    <mergeCell ref="J19:N19"/>
    <mergeCell ref="J21:N21"/>
    <mergeCell ref="Q19:U19"/>
  </mergeCells>
  <phoneticPr fontId="1" type="noConversion"/>
  <conditionalFormatting sqref="J9">
    <cfRule type="expression" dxfId="64" priority="602">
      <formula>$BB$9=TRUE</formula>
    </cfRule>
  </conditionalFormatting>
  <conditionalFormatting sqref="L10">
    <cfRule type="expression" dxfId="63" priority="603">
      <formula>$BB$9=FALSE</formula>
    </cfRule>
  </conditionalFormatting>
  <conditionalFormatting sqref="L9 J9">
    <cfRule type="expression" dxfId="62" priority="604">
      <formula>$BB$9=FALSE</formula>
    </cfRule>
  </conditionalFormatting>
  <conditionalFormatting sqref="L10 J10">
    <cfRule type="expression" dxfId="61" priority="606">
      <formula>$BB$9=TRUE</formula>
    </cfRule>
  </conditionalFormatting>
  <conditionalFormatting sqref="J6">
    <cfRule type="expression" dxfId="60" priority="608">
      <formula>$BB$7=TRUE</formula>
    </cfRule>
  </conditionalFormatting>
  <conditionalFormatting sqref="L7">
    <cfRule type="expression" dxfId="59" priority="609">
      <formula>$BB$7=FALSE</formula>
    </cfRule>
  </conditionalFormatting>
  <conditionalFormatting sqref="L6 J6">
    <cfRule type="expression" dxfId="58" priority="610">
      <formula>$BB$7=FALSE</formula>
    </cfRule>
  </conditionalFormatting>
  <conditionalFormatting sqref="L7 J7">
    <cfRule type="expression" dxfId="57" priority="612">
      <formula>$BB$7=TRUE</formula>
    </cfRule>
  </conditionalFormatting>
  <conditionalFormatting sqref="X6 Z6:AB6">
    <cfRule type="expression" dxfId="56" priority="627">
      <formula>$BB$17=FALSE</formula>
    </cfRule>
  </conditionalFormatting>
  <conditionalFormatting sqref="Q9:U11">
    <cfRule type="expression" dxfId="55" priority="633">
      <formula>$BB$13=FALSE</formula>
    </cfRule>
  </conditionalFormatting>
  <conditionalFormatting sqref="J9:N11">
    <cfRule type="expression" dxfId="54" priority="3">
      <formula>$BB$8=FALSE</formula>
    </cfRule>
  </conditionalFormatting>
  <conditionalFormatting sqref="Q6 S6">
    <cfRule type="expression" dxfId="53" priority="2">
      <formula>$BB$12=FALSE</formula>
    </cfRule>
  </conditionalFormatting>
  <conditionalFormatting sqref="S7">
    <cfRule type="expression" dxfId="52" priority="651">
      <formula>$BB$12=FALSE</formula>
    </cfRule>
  </conditionalFormatting>
  <conditionalFormatting sqref="Q6">
    <cfRule type="expression" dxfId="51" priority="652">
      <formula>$BB$12=TRUE</formula>
    </cfRule>
  </conditionalFormatting>
  <conditionalFormatting sqref="S7 Q7">
    <cfRule type="expression" dxfId="50" priority="655">
      <formula>$BB$12=TRUE</formula>
    </cfRule>
  </conditionalFormatting>
  <conditionalFormatting sqref="X9:AB11">
    <cfRule type="expression" dxfId="49" priority="664">
      <formula>$BB$18=FALSE</formula>
    </cfRule>
  </conditionalFormatting>
  <conditionalFormatting sqref="Q9:R9">
    <cfRule type="expression" dxfId="48" priority="666">
      <formula>$BB$14=TRUE</formula>
    </cfRule>
  </conditionalFormatting>
  <conditionalFormatting sqref="S10:U10">
    <cfRule type="expression" dxfId="47" priority="667">
      <formula>$BB$14=FALSE</formula>
    </cfRule>
  </conditionalFormatting>
  <conditionalFormatting sqref="Q9:U9">
    <cfRule type="expression" dxfId="46" priority="668">
      <formula>$BB$14=FALSE</formula>
    </cfRule>
  </conditionalFormatting>
  <conditionalFormatting sqref="Q10:U10">
    <cfRule type="expression" dxfId="45" priority="669">
      <formula>$BB$14=TRUE</formula>
    </cfRule>
  </conditionalFormatting>
  <conditionalFormatting sqref="Z7">
    <cfRule type="expression" dxfId="44" priority="673">
      <formula>$BB$17=FALSE</formula>
    </cfRule>
  </conditionalFormatting>
  <conditionalFormatting sqref="X6">
    <cfRule type="expression" dxfId="43" priority="674">
      <formula>$BB$17=TRUE</formula>
    </cfRule>
  </conditionalFormatting>
  <conditionalFormatting sqref="X7:Z7">
    <cfRule type="expression" dxfId="42" priority="675">
      <formula>$BB$17=TRUE</formula>
    </cfRule>
  </conditionalFormatting>
  <conditionalFormatting sqref="Z10">
    <cfRule type="expression" dxfId="41" priority="676">
      <formula>$BB$19=FALSE</formula>
    </cfRule>
  </conditionalFormatting>
  <conditionalFormatting sqref="X9">
    <cfRule type="expression" dxfId="40" priority="677">
      <formula>$BB$19=TRUE</formula>
    </cfRule>
  </conditionalFormatting>
  <conditionalFormatting sqref="X9:AB9">
    <cfRule type="expression" dxfId="39" priority="678">
      <formula>$BB$19=FALSE</formula>
    </cfRule>
  </conditionalFormatting>
  <conditionalFormatting sqref="X10:AB10">
    <cfRule type="expression" dxfId="38" priority="679">
      <formula>$BB$19=TRUE</formula>
    </cfRule>
  </conditionalFormatting>
  <dataValidations count="2">
    <dataValidation type="list" allowBlank="1" showInputMessage="1" showErrorMessage="1" sqref="D5">
      <formula1>INDIRECT($D$4)</formula1>
    </dataValidation>
    <dataValidation type="list" allowBlank="1" showInputMessage="1" showErrorMessage="1" sqref="X3:AB3 Q3:U3 J3">
      <formula1>"12,24,36,48,60"</formula1>
    </dataValidation>
  </dataValidations>
  <pageMargins left="0.7" right="0.7" top="0.75" bottom="0.75" header="0.3" footer="0.3"/>
  <pageSetup paperSize="9" scale="39" orientation="portrait" r:id="rId1"/>
  <colBreaks count="1" manualBreakCount="1">
    <brk id="28"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6149" r:id="rId4" name="Check Box 5">
              <controlPr locked="0" defaultSize="0" autoFill="0" autoLine="0" autoPict="0">
                <anchor moveWithCells="1">
                  <from>
                    <xdr:col>8</xdr:col>
                    <xdr:colOff>771525</xdr:colOff>
                    <xdr:row>6</xdr:row>
                    <xdr:rowOff>0</xdr:rowOff>
                  </from>
                  <to>
                    <xdr:col>9</xdr:col>
                    <xdr:colOff>38100</xdr:colOff>
                    <xdr:row>6</xdr:row>
                    <xdr:rowOff>266700</xdr:rowOff>
                  </to>
                </anchor>
              </controlPr>
            </control>
          </mc:Choice>
        </mc:AlternateContent>
        <mc:AlternateContent xmlns:mc="http://schemas.openxmlformats.org/markup-compatibility/2006">
          <mc:Choice Requires="x14">
            <control shapeId="6151" r:id="rId5" name="Check Box 7">
              <controlPr locked="0" defaultSize="0" autoFill="0" autoLine="0" autoPict="0">
                <anchor moveWithCells="1">
                  <from>
                    <xdr:col>15</xdr:col>
                    <xdr:colOff>771525</xdr:colOff>
                    <xdr:row>6</xdr:row>
                    <xdr:rowOff>0</xdr:rowOff>
                  </from>
                  <to>
                    <xdr:col>16</xdr:col>
                    <xdr:colOff>38100</xdr:colOff>
                    <xdr:row>6</xdr:row>
                    <xdr:rowOff>266700</xdr:rowOff>
                  </to>
                </anchor>
              </controlPr>
            </control>
          </mc:Choice>
        </mc:AlternateContent>
        <mc:AlternateContent xmlns:mc="http://schemas.openxmlformats.org/markup-compatibility/2006">
          <mc:Choice Requires="x14">
            <control shapeId="6153" r:id="rId6" name="Check Box 9">
              <controlPr defaultSize="0" autoFill="0" autoLine="0" autoPict="0">
                <anchor moveWithCells="1">
                  <from>
                    <xdr:col>15</xdr:col>
                    <xdr:colOff>771525</xdr:colOff>
                    <xdr:row>9</xdr:row>
                    <xdr:rowOff>9525</xdr:rowOff>
                  </from>
                  <to>
                    <xdr:col>16</xdr:col>
                    <xdr:colOff>38100</xdr:colOff>
                    <xdr:row>10</xdr:row>
                    <xdr:rowOff>0</xdr:rowOff>
                  </to>
                </anchor>
              </controlPr>
            </control>
          </mc:Choice>
        </mc:AlternateContent>
        <mc:AlternateContent xmlns:mc="http://schemas.openxmlformats.org/markup-compatibility/2006">
          <mc:Choice Requires="x14">
            <control shapeId="6154" r:id="rId7" name="Check Box 10">
              <controlPr locked="0" defaultSize="0" autoFill="0" autoLine="0" autoPict="0">
                <anchor moveWithCells="1">
                  <from>
                    <xdr:col>22</xdr:col>
                    <xdr:colOff>771525</xdr:colOff>
                    <xdr:row>6</xdr:row>
                    <xdr:rowOff>0</xdr:rowOff>
                  </from>
                  <to>
                    <xdr:col>23</xdr:col>
                    <xdr:colOff>38100</xdr:colOff>
                    <xdr:row>6</xdr:row>
                    <xdr:rowOff>266700</xdr:rowOff>
                  </to>
                </anchor>
              </controlPr>
            </control>
          </mc:Choice>
        </mc:AlternateContent>
        <mc:AlternateContent xmlns:mc="http://schemas.openxmlformats.org/markup-compatibility/2006">
          <mc:Choice Requires="x14">
            <control shapeId="6156" r:id="rId8" name="Check Box 12">
              <controlPr defaultSize="0" autoFill="0" autoLine="0" autoPict="0">
                <anchor moveWithCells="1">
                  <from>
                    <xdr:col>22</xdr:col>
                    <xdr:colOff>771525</xdr:colOff>
                    <xdr:row>9</xdr:row>
                    <xdr:rowOff>9525</xdr:rowOff>
                  </from>
                  <to>
                    <xdr:col>23</xdr:col>
                    <xdr:colOff>38100</xdr:colOff>
                    <xdr:row>10</xdr:row>
                    <xdr:rowOff>0</xdr:rowOff>
                  </to>
                </anchor>
              </controlPr>
            </control>
          </mc:Choice>
        </mc:AlternateContent>
        <mc:AlternateContent xmlns:mc="http://schemas.openxmlformats.org/markup-compatibility/2006">
          <mc:Choice Requires="x14">
            <control shapeId="6157" r:id="rId9" name="Check Box 13">
              <controlPr defaultSize="0" autoFill="0" autoLine="0" autoPict="0">
                <anchor moveWithCells="1">
                  <from>
                    <xdr:col>8</xdr:col>
                    <xdr:colOff>771525</xdr:colOff>
                    <xdr:row>9</xdr:row>
                    <xdr:rowOff>9525</xdr:rowOff>
                  </from>
                  <to>
                    <xdr:col>9</xdr:col>
                    <xdr:colOff>38100</xdr:colOff>
                    <xdr:row>10</xdr:row>
                    <xdr:rowOff>0</xdr:rowOff>
                  </to>
                </anchor>
              </controlPr>
            </control>
          </mc:Choice>
        </mc:AlternateContent>
        <mc:AlternateContent xmlns:mc="http://schemas.openxmlformats.org/markup-compatibility/2006">
          <mc:Choice Requires="x14">
            <control shapeId="6164" r:id="rId10" name="Check Box 20">
              <controlPr locked="0" defaultSize="0" autoFill="0" autoLine="0" autoPict="0">
                <anchor moveWithCells="1">
                  <from>
                    <xdr:col>15</xdr:col>
                    <xdr:colOff>742950</xdr:colOff>
                    <xdr:row>19</xdr:row>
                    <xdr:rowOff>9525</xdr:rowOff>
                  </from>
                  <to>
                    <xdr:col>16</xdr:col>
                    <xdr:colOff>0</xdr:colOff>
                    <xdr:row>19</xdr:row>
                    <xdr:rowOff>266700</xdr:rowOff>
                  </to>
                </anchor>
              </controlPr>
            </control>
          </mc:Choice>
        </mc:AlternateContent>
        <mc:AlternateContent xmlns:mc="http://schemas.openxmlformats.org/markup-compatibility/2006">
          <mc:Choice Requires="x14">
            <control shapeId="6165" r:id="rId11" name="Check Box 21">
              <controlPr locked="0" defaultSize="0" autoFill="0" autoLine="0" autoPict="0">
                <anchor moveWithCells="1">
                  <from>
                    <xdr:col>22</xdr:col>
                    <xdr:colOff>742950</xdr:colOff>
                    <xdr:row>19</xdr:row>
                    <xdr:rowOff>9525</xdr:rowOff>
                  </from>
                  <to>
                    <xdr:col>23</xdr:col>
                    <xdr:colOff>0</xdr:colOff>
                    <xdr:row>19</xdr:row>
                    <xdr:rowOff>266700</xdr:rowOff>
                  </to>
                </anchor>
              </controlPr>
            </control>
          </mc:Choice>
        </mc:AlternateContent>
        <mc:AlternateContent xmlns:mc="http://schemas.openxmlformats.org/markup-compatibility/2006">
          <mc:Choice Requires="x14">
            <control shapeId="6166" r:id="rId12" name="Check Box 22">
              <controlPr locked="0" defaultSize="0" autoFill="0" autoLine="0" autoPict="0">
                <anchor moveWithCells="1">
                  <from>
                    <xdr:col>8</xdr:col>
                    <xdr:colOff>742950</xdr:colOff>
                    <xdr:row>19</xdr:row>
                    <xdr:rowOff>9525</xdr:rowOff>
                  </from>
                  <to>
                    <xdr:col>9</xdr:col>
                    <xdr:colOff>0</xdr:colOff>
                    <xdr:row>19</xdr:row>
                    <xdr:rowOff>266700</xdr:rowOff>
                  </to>
                </anchor>
              </controlPr>
            </control>
          </mc:Choice>
        </mc:AlternateContent>
        <mc:AlternateContent xmlns:mc="http://schemas.openxmlformats.org/markup-compatibility/2006">
          <mc:Choice Requires="x14">
            <control shapeId="6171" r:id="rId13" name="Check Box 27">
              <controlPr defaultSize="0" autoFill="0" autoLine="0" autoPict="0">
                <anchor moveWithCells="1">
                  <from>
                    <xdr:col>15</xdr:col>
                    <xdr:colOff>781050</xdr:colOff>
                    <xdr:row>7</xdr:row>
                    <xdr:rowOff>276225</xdr:rowOff>
                  </from>
                  <to>
                    <xdr:col>16</xdr:col>
                    <xdr:colOff>38100</xdr:colOff>
                    <xdr:row>8</xdr:row>
                    <xdr:rowOff>266700</xdr:rowOff>
                  </to>
                </anchor>
              </controlPr>
            </control>
          </mc:Choice>
        </mc:AlternateContent>
        <mc:AlternateContent xmlns:mc="http://schemas.openxmlformats.org/markup-compatibility/2006">
          <mc:Choice Requires="x14">
            <control shapeId="6172" r:id="rId14" name="Check Box 28">
              <controlPr defaultSize="0" autoFill="0" autoLine="0" autoPict="0">
                <anchor moveWithCells="1">
                  <from>
                    <xdr:col>22</xdr:col>
                    <xdr:colOff>781050</xdr:colOff>
                    <xdr:row>7</xdr:row>
                    <xdr:rowOff>276225</xdr:rowOff>
                  </from>
                  <to>
                    <xdr:col>23</xdr:col>
                    <xdr:colOff>38100</xdr:colOff>
                    <xdr:row>8</xdr:row>
                    <xdr:rowOff>266700</xdr:rowOff>
                  </to>
                </anchor>
              </controlPr>
            </control>
          </mc:Choice>
        </mc:AlternateContent>
        <mc:AlternateContent xmlns:mc="http://schemas.openxmlformats.org/markup-compatibility/2006">
          <mc:Choice Requires="x14">
            <control shapeId="6173" r:id="rId15" name="Check Box 29">
              <controlPr defaultSize="0" autoFill="0" autoLine="0" autoPict="0">
                <anchor moveWithCells="1">
                  <from>
                    <xdr:col>8</xdr:col>
                    <xdr:colOff>781050</xdr:colOff>
                    <xdr:row>7</xdr:row>
                    <xdr:rowOff>276225</xdr:rowOff>
                  </from>
                  <to>
                    <xdr:col>9</xdr:col>
                    <xdr:colOff>38100</xdr:colOff>
                    <xdr:row>8</xdr:row>
                    <xdr:rowOff>266700</xdr:rowOff>
                  </to>
                </anchor>
              </controlPr>
            </control>
          </mc:Choice>
        </mc:AlternateContent>
        <mc:AlternateContent xmlns:mc="http://schemas.openxmlformats.org/markup-compatibility/2006">
          <mc:Choice Requires="x14">
            <control shapeId="6175" r:id="rId16" name="Check Box 31">
              <controlPr defaultSize="0" autoFill="0" autoLine="0" autoPict="0">
                <anchor moveWithCells="1">
                  <from>
                    <xdr:col>2</xdr:col>
                    <xdr:colOff>390525</xdr:colOff>
                    <xdr:row>21</xdr:row>
                    <xdr:rowOff>19050</xdr:rowOff>
                  </from>
                  <to>
                    <xdr:col>2</xdr:col>
                    <xdr:colOff>628650</xdr:colOff>
                    <xdr:row>21</xdr:row>
                    <xdr:rowOff>228600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14:formula1>
            <xm:f>INDIRECT(딜러사!$J$3)</xm:f>
          </x14:formula1>
          <xm:sqref>D3</xm:sqref>
        </x14:dataValidation>
        <x14:dataValidation type="list" allowBlank="1" showInputMessage="1" showErrorMessage="1">
          <x14:formula1>
            <xm:f>'공채&amp;차세'!$R$7:$R$12</xm:f>
          </x14:formula1>
          <xm:sqref>E14</xm:sqref>
        </x14:dataValidation>
        <x14:dataValidation type="list" allowBlank="1" showInputMessage="1" showErrorMessage="1">
          <x14:formula1>
            <xm:f>브랜드!$B$2:$B$22</xm:f>
          </x14:formula1>
          <xm:sqref>D4:G4</xm:sqref>
        </x14:dataValidation>
        <x14:dataValidation type="list" allowBlank="1" showInputMessage="1" showErrorMessage="1">
          <x14:formula1>
            <xm:f>INDIRECT(브랜드!$B$40)</xm:f>
          </x14:formula1>
          <xm:sqref>D6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FFC000"/>
  </sheetPr>
  <dimension ref="B1:V39"/>
  <sheetViews>
    <sheetView topLeftCell="A2" zoomScale="120" zoomScaleNormal="120" workbookViewId="0">
      <selection activeCell="Q42" sqref="Q42"/>
    </sheetView>
  </sheetViews>
  <sheetFormatPr defaultRowHeight="15" customHeight="1" x14ac:dyDescent="0.3"/>
  <cols>
    <col min="1" max="1" width="3.625" style="230" customWidth="1"/>
    <col min="2" max="3" width="6.5" style="229" customWidth="1"/>
    <col min="4" max="4" width="18.875" style="230" customWidth="1"/>
    <col min="5" max="5" width="20.375" style="230" customWidth="1"/>
    <col min="6" max="6" width="2" style="230" customWidth="1"/>
    <col min="7" max="7" width="13.5" style="229" customWidth="1"/>
    <col min="8" max="8" width="12.875" style="230" customWidth="1"/>
    <col min="9" max="9" width="6.75" style="231" customWidth="1"/>
    <col min="10" max="10" width="10" style="231" customWidth="1"/>
    <col min="11" max="11" width="2" style="230" customWidth="1"/>
    <col min="12" max="12" width="13.5" style="229" customWidth="1"/>
    <col min="13" max="13" width="12.875" style="230" customWidth="1"/>
    <col min="14" max="14" width="6.75" style="231" customWidth="1"/>
    <col min="15" max="15" width="10" style="231" customWidth="1"/>
    <col min="16" max="16" width="2" style="230" customWidth="1"/>
    <col min="17" max="17" width="13.5" style="229" customWidth="1"/>
    <col min="18" max="18" width="12.875" style="230" customWidth="1"/>
    <col min="19" max="19" width="6.75" style="231" customWidth="1"/>
    <col min="20" max="20" width="10" style="231" customWidth="1"/>
    <col min="21" max="21" width="9" style="230"/>
    <col min="22" max="22" width="9" style="232"/>
    <col min="23" max="16384" width="9" style="230"/>
  </cols>
  <sheetData>
    <row r="1" spans="2:21" ht="17.25" customHeight="1" x14ac:dyDescent="0.3"/>
    <row r="2" spans="2:21" ht="15" customHeight="1" thickBot="1" x14ac:dyDescent="0.35">
      <c r="G2" s="879" t="s">
        <v>1277</v>
      </c>
      <c r="H2" s="880"/>
      <c r="I2" s="880"/>
      <c r="J2" s="881"/>
      <c r="K2" s="233"/>
      <c r="L2" s="879" t="s">
        <v>1278</v>
      </c>
      <c r="M2" s="880"/>
      <c r="N2" s="880"/>
      <c r="O2" s="881"/>
      <c r="P2" s="233"/>
      <c r="Q2" s="879" t="s">
        <v>1279</v>
      </c>
      <c r="R2" s="880"/>
      <c r="S2" s="880"/>
      <c r="T2" s="881"/>
      <c r="U2" s="233"/>
    </row>
    <row r="3" spans="2:21" ht="15" customHeight="1" x14ac:dyDescent="0.3">
      <c r="B3" s="889" t="str">
        <f>'금융리스 입력'!$D$2</f>
        <v>2025_09_V1</v>
      </c>
      <c r="C3" s="890"/>
      <c r="D3" s="179" t="s">
        <v>1456</v>
      </c>
      <c r="E3" s="180">
        <f ca="1">TODAY()</f>
        <v>45904</v>
      </c>
      <c r="G3" s="234" t="s">
        <v>5</v>
      </c>
      <c r="H3" s="884">
        <f>'금융리스 입력'!J3</f>
        <v>36</v>
      </c>
      <c r="I3" s="884"/>
      <c r="J3" s="885"/>
      <c r="L3" s="234" t="s">
        <v>5</v>
      </c>
      <c r="M3" s="884">
        <f>'금융리스 입력'!Q3</f>
        <v>48</v>
      </c>
      <c r="N3" s="884"/>
      <c r="O3" s="885"/>
      <c r="Q3" s="234" t="s">
        <v>5</v>
      </c>
      <c r="R3" s="884">
        <f>'금융리스 입력'!X3</f>
        <v>60</v>
      </c>
      <c r="S3" s="884"/>
      <c r="T3" s="885"/>
    </row>
    <row r="4" spans="2:21" ht="15" customHeight="1" thickBot="1" x14ac:dyDescent="0.35">
      <c r="B4" s="859" t="s">
        <v>1</v>
      </c>
      <c r="C4" s="860"/>
      <c r="D4" s="882" t="str">
        <f>'금융리스 입력'!D3:G3</f>
        <v>기타</v>
      </c>
      <c r="E4" s="883"/>
      <c r="G4" s="235" t="s">
        <v>1446</v>
      </c>
      <c r="H4" s="886">
        <f>IF('금융리스 입력'!BB7=TRUE,D13-H6*D13,D13-I6)</f>
        <v>32000000</v>
      </c>
      <c r="I4" s="887"/>
      <c r="J4" s="888"/>
      <c r="L4" s="235" t="s">
        <v>1446</v>
      </c>
      <c r="M4" s="886">
        <f>IF('금융리스 입력'!BB12=TRUE,D13-M6*D13,D13-N6)</f>
        <v>32000000</v>
      </c>
      <c r="N4" s="887"/>
      <c r="O4" s="888"/>
      <c r="Q4" s="235" t="s">
        <v>1446</v>
      </c>
      <c r="R4" s="886">
        <f>IF('금융리스 입력'!BB17=TRUE,D13-R6*D13,D13-S6)</f>
        <v>32000000</v>
      </c>
      <c r="S4" s="887"/>
      <c r="T4" s="888"/>
    </row>
    <row r="5" spans="2:21" ht="15" customHeight="1" thickBot="1" x14ac:dyDescent="0.35">
      <c r="B5" s="859" t="s">
        <v>0</v>
      </c>
      <c r="C5" s="860"/>
      <c r="D5" s="882" t="str">
        <f>'금융리스 입력'!D4:G4</f>
        <v>BYD</v>
      </c>
      <c r="E5" s="883"/>
      <c r="G5" s="236"/>
      <c r="H5" s="233"/>
      <c r="I5" s="237"/>
      <c r="J5" s="237"/>
      <c r="K5" s="233"/>
      <c r="L5" s="236"/>
      <c r="M5" s="233"/>
      <c r="N5" s="237"/>
      <c r="O5" s="237"/>
      <c r="P5" s="233"/>
      <c r="Q5" s="236"/>
      <c r="R5" s="233"/>
      <c r="S5" s="237"/>
      <c r="T5" s="237"/>
    </row>
    <row r="6" spans="2:21" ht="15" customHeight="1" thickBot="1" x14ac:dyDescent="0.35">
      <c r="B6" s="859" t="s">
        <v>1235</v>
      </c>
      <c r="C6" s="860"/>
      <c r="D6" s="882" t="str">
        <f>'금융리스 입력'!D5:G5</f>
        <v>BYD</v>
      </c>
      <c r="E6" s="883"/>
      <c r="G6" s="238" t="s">
        <v>1435</v>
      </c>
      <c r="H6" s="239">
        <f>IF('금융리스 입력'!BB7=TRUE,'금융리스 입력'!J6,'금융리스 입력'!L7/'금융리스 입력'!D11)</f>
        <v>0.2</v>
      </c>
      <c r="I6" s="854">
        <f>IF('금융리스 입력'!BB7=FALSE,'금융리스 입력'!L7,D13*H6)</f>
        <v>8000000</v>
      </c>
      <c r="J6" s="855"/>
      <c r="L6" s="238" t="s">
        <v>1435</v>
      </c>
      <c r="M6" s="239">
        <f>IF('금융리스 입력'!BB12=TRUE,'금융리스 입력'!Q6,'금융리스 입력'!S7/'금융리스 입력'!D11)</f>
        <v>0.2</v>
      </c>
      <c r="N6" s="854">
        <f>IF('금융리스 입력'!BB12=FALSE,'금융리스 입력'!S7,D13*M6)</f>
        <v>8000000</v>
      </c>
      <c r="O6" s="855"/>
      <c r="Q6" s="238" t="s">
        <v>1435</v>
      </c>
      <c r="R6" s="239">
        <f>IF('금융리스 입력'!BB17=TRUE,'금융리스 입력'!X6,'금융리스 입력'!Z7/'금융리스 입력'!D11)</f>
        <v>0.2</v>
      </c>
      <c r="S6" s="854">
        <f>IF('금융리스 입력'!BB17=FALSE,'금융리스 입력'!Z7,D13*R6)</f>
        <v>8000000</v>
      </c>
      <c r="T6" s="855"/>
    </row>
    <row r="7" spans="2:21" ht="15" customHeight="1" x14ac:dyDescent="0.3">
      <c r="B7" s="859" t="s">
        <v>1236</v>
      </c>
      <c r="C7" s="860"/>
      <c r="D7" s="882" t="str">
        <f>'금융리스 입력'!D6:G6</f>
        <v>ATTO 3 Plus</v>
      </c>
      <c r="E7" s="883"/>
      <c r="G7" s="240" t="s">
        <v>1449</v>
      </c>
      <c r="H7" s="241">
        <f>IF('금융리스 입력'!BB8=TRUE,'금융리스 내부'!H9,0)</f>
        <v>0</v>
      </c>
      <c r="I7" s="877">
        <f>IF('금융리스 입력'!BB8=TRUE,'금융리스 내부'!I9,0)</f>
        <v>0</v>
      </c>
      <c r="J7" s="878"/>
      <c r="L7" s="240" t="s">
        <v>1449</v>
      </c>
      <c r="M7" s="241">
        <f>IF('금융리스 입력'!BB13=TRUE,'금융리스 내부'!M9,0)</f>
        <v>0</v>
      </c>
      <c r="N7" s="877">
        <f>IF('금융리스 입력'!BB13=TRUE,'금융리스 내부'!N9,0)</f>
        <v>0</v>
      </c>
      <c r="O7" s="878"/>
      <c r="Q7" s="240" t="s">
        <v>1449</v>
      </c>
      <c r="R7" s="241">
        <f>IF('금융리스 입력'!BB18=TRUE,'금융리스 내부'!R9,0)</f>
        <v>0</v>
      </c>
      <c r="S7" s="877">
        <f>IF('금융리스 입력'!BB18=TRUE,'금융리스 내부'!S9,0)</f>
        <v>0</v>
      </c>
      <c r="T7" s="878"/>
    </row>
    <row r="8" spans="2:21" ht="15" customHeight="1" x14ac:dyDescent="0.3">
      <c r="B8" s="859" t="s">
        <v>11</v>
      </c>
      <c r="C8" s="860"/>
      <c r="D8" s="861">
        <f>VLOOKUP($D$7,차종!E7:G1310,3,FALSE)</f>
        <v>0</v>
      </c>
      <c r="E8" s="853"/>
      <c r="G8" s="242" t="s">
        <v>1445</v>
      </c>
      <c r="H8" s="243">
        <f>VLOOKUP(H3,잔가!J41:K45,2,0)</f>
        <v>0.3</v>
      </c>
      <c r="I8" s="876">
        <f>D13*H8</f>
        <v>12000000</v>
      </c>
      <c r="J8" s="874"/>
      <c r="L8" s="242" t="s">
        <v>1445</v>
      </c>
      <c r="M8" s="243">
        <f>VLOOKUP(M3,잔가!J41:K45,2,0)</f>
        <v>0.2</v>
      </c>
      <c r="N8" s="876">
        <f>$D$13*M8</f>
        <v>8000000</v>
      </c>
      <c r="O8" s="874"/>
      <c r="Q8" s="242" t="s">
        <v>1445</v>
      </c>
      <c r="R8" s="243">
        <f>VLOOKUP(R3,잔가!J41:K45,2,0)</f>
        <v>0.15</v>
      </c>
      <c r="S8" s="876">
        <f>$D$13*R8</f>
        <v>6000000</v>
      </c>
      <c r="T8" s="874"/>
    </row>
    <row r="9" spans="2:21" ht="15" customHeight="1" x14ac:dyDescent="0.3">
      <c r="G9" s="242" t="s">
        <v>1448</v>
      </c>
      <c r="H9" s="244">
        <f>IF('금융리스 입력'!BB9=TRUE,'금융리스 입력'!J9,'금융리스 입력'!L10/'금융리스 입력'!D11)</f>
        <v>0.25</v>
      </c>
      <c r="I9" s="873">
        <f>IF('금융리스 입력'!BB9=FALSE,'금융리스 입력'!L7,D13*H9)</f>
        <v>5000000</v>
      </c>
      <c r="J9" s="874"/>
      <c r="L9" s="242" t="s">
        <v>1448</v>
      </c>
      <c r="M9" s="244">
        <f>IF('금융리스 입력'!BB14=TRUE,'금융리스 입력'!Q9,'금융리스 입력'!S10/'금융리스 입력'!D11)</f>
        <v>0.75</v>
      </c>
      <c r="N9" s="873">
        <f>IF('금융리스 입력'!BB14=FALSE,'금융리스 입력'!S7,D13*M9)</f>
        <v>30000000</v>
      </c>
      <c r="O9" s="874"/>
      <c r="Q9" s="242" t="s">
        <v>1448</v>
      </c>
      <c r="R9" s="244">
        <f>IF('금융리스 입력'!BB19=TRUE,'금융리스 입력'!X9,'금융리스 입력'!Z10/'금융리스 입력'!D11)</f>
        <v>0.75</v>
      </c>
      <c r="S9" s="873">
        <f>IF('금융리스 입력'!BB19=FALSE,'금융리스 입력'!Z7,D13*R9)</f>
        <v>30000000</v>
      </c>
      <c r="T9" s="874"/>
    </row>
    <row r="10" spans="2:21" ht="15" customHeight="1" x14ac:dyDescent="0.3">
      <c r="B10" s="859" t="s">
        <v>214</v>
      </c>
      <c r="C10" s="860"/>
      <c r="D10" s="861">
        <f>'금융리스 입력'!D8:G8</f>
        <v>40000000</v>
      </c>
      <c r="E10" s="853"/>
      <c r="K10" s="233"/>
      <c r="P10" s="233"/>
    </row>
    <row r="11" spans="2:21" ht="15" customHeight="1" x14ac:dyDescent="0.3">
      <c r="B11" s="859" t="s">
        <v>217</v>
      </c>
      <c r="C11" s="860"/>
      <c r="D11" s="861">
        <f>'금융리스 입력'!D9:G9</f>
        <v>0</v>
      </c>
      <c r="E11" s="853"/>
      <c r="G11" s="245" t="s">
        <v>1314</v>
      </c>
      <c r="H11" s="246"/>
      <c r="I11" s="852">
        <f>'금융리스 입력'!J13</f>
        <v>0</v>
      </c>
      <c r="J11" s="853"/>
      <c r="L11" s="245" t="s">
        <v>1314</v>
      </c>
      <c r="M11" s="246"/>
      <c r="N11" s="862">
        <f>'금융리스 입력'!Q13</f>
        <v>0</v>
      </c>
      <c r="O11" s="863"/>
      <c r="Q11" s="245" t="s">
        <v>1314</v>
      </c>
      <c r="R11" s="246"/>
      <c r="S11" s="862">
        <f>'금융리스 입력'!X13</f>
        <v>0</v>
      </c>
      <c r="T11" s="863"/>
    </row>
    <row r="12" spans="2:21" ht="15" customHeight="1" thickBot="1" x14ac:dyDescent="0.35">
      <c r="B12" s="859" t="s">
        <v>218</v>
      </c>
      <c r="C12" s="860"/>
      <c r="D12" s="861">
        <f>'금융리스 입력'!D10:G10</f>
        <v>0</v>
      </c>
      <c r="E12" s="853"/>
      <c r="G12" s="247"/>
      <c r="H12" s="248" t="s">
        <v>1465</v>
      </c>
      <c r="I12" s="875">
        <f>IF((I13+I14+J16+J17)/H4&gt;2.25%,"수수료 초과",2.25%-(J16+J17)/H4)</f>
        <v>2.2499999999999999E-2</v>
      </c>
      <c r="J12" s="875"/>
      <c r="K12" s="233"/>
      <c r="L12" s="247"/>
      <c r="M12" s="248" t="s">
        <v>1465</v>
      </c>
      <c r="N12" s="875">
        <f>IF((N13+N14+O16+O17)/M4&gt;2.25%,"수수료 초과",2.25%-(O16+O17)/M4)</f>
        <v>2.2499999999999999E-2</v>
      </c>
      <c r="O12" s="875"/>
      <c r="P12" s="233"/>
      <c r="Q12" s="247"/>
      <c r="R12" s="248" t="s">
        <v>1465</v>
      </c>
      <c r="S12" s="875">
        <f>IF((S13+S14+T16+T17)/R4&gt;2.25%,"수수료 초과",2.25%-(T16+T17)/R4)</f>
        <v>2.2499999999999999E-2</v>
      </c>
      <c r="T12" s="875"/>
    </row>
    <row r="13" spans="2:21" ht="15" customHeight="1" x14ac:dyDescent="0.3">
      <c r="B13" s="859" t="s">
        <v>219</v>
      </c>
      <c r="C13" s="860"/>
      <c r="D13" s="861">
        <f>'금융리스 입력'!D11:G11</f>
        <v>40000000</v>
      </c>
      <c r="E13" s="853"/>
      <c r="G13" s="234" t="s">
        <v>1307</v>
      </c>
      <c r="H13" s="249">
        <f>'금융리스 입력'!J16</f>
        <v>0</v>
      </c>
      <c r="I13" s="869">
        <f>ROUNDDOWN((H13*$H$4),-1)</f>
        <v>0</v>
      </c>
      <c r="J13" s="870"/>
      <c r="L13" s="234" t="s">
        <v>1307</v>
      </c>
      <c r="M13" s="250">
        <f>'금융리스 입력'!Q16</f>
        <v>0</v>
      </c>
      <c r="N13" s="869">
        <f>ROUNDDOWN((M13*$M$4),-1)</f>
        <v>0</v>
      </c>
      <c r="O13" s="870"/>
      <c r="Q13" s="234" t="s">
        <v>1307</v>
      </c>
      <c r="R13" s="250">
        <f>'금융리스 입력'!X16</f>
        <v>0</v>
      </c>
      <c r="S13" s="869">
        <f>ROUNDDOWN((R13*$R$4),-1)</f>
        <v>0</v>
      </c>
      <c r="T13" s="870"/>
    </row>
    <row r="14" spans="2:21" ht="15" customHeight="1" thickBot="1" x14ac:dyDescent="0.35">
      <c r="B14" s="251"/>
      <c r="E14" s="231"/>
      <c r="G14" s="235" t="s">
        <v>1308</v>
      </c>
      <c r="H14" s="252">
        <f>'금융리스 입력'!J17</f>
        <v>0</v>
      </c>
      <c r="I14" s="871">
        <f>ROUNDDOWN((H14*$H$4),-1)</f>
        <v>0</v>
      </c>
      <c r="J14" s="872"/>
      <c r="L14" s="235" t="s">
        <v>1308</v>
      </c>
      <c r="M14" s="253">
        <f>'금융리스 입력'!Q17</f>
        <v>0</v>
      </c>
      <c r="N14" s="871">
        <f>ROUNDDOWN((M14*$M$4),-1)</f>
        <v>0</v>
      </c>
      <c r="O14" s="872"/>
      <c r="Q14" s="235" t="s">
        <v>1308</v>
      </c>
      <c r="R14" s="253">
        <f>'금융리스 입력'!X17</f>
        <v>0</v>
      </c>
      <c r="S14" s="871">
        <f>ROUNDDOWN((R14*$R$4),-1)</f>
        <v>0</v>
      </c>
      <c r="T14" s="872"/>
    </row>
    <row r="15" spans="2:21" ht="15" customHeight="1" x14ac:dyDescent="0.3">
      <c r="B15" s="859" t="s">
        <v>1273</v>
      </c>
      <c r="C15" s="860"/>
      <c r="D15" s="861">
        <f>'금융리스 입력'!D13:G13</f>
        <v>1145450</v>
      </c>
      <c r="E15" s="853"/>
      <c r="G15" s="247"/>
      <c r="K15" s="233"/>
      <c r="L15" s="247"/>
      <c r="P15" s="233"/>
      <c r="Q15" s="247"/>
    </row>
    <row r="16" spans="2:21" ht="15" customHeight="1" x14ac:dyDescent="0.3">
      <c r="B16" s="895" t="s">
        <v>2</v>
      </c>
      <c r="C16" s="896"/>
      <c r="D16" s="882" t="str">
        <f>'금융리스 입력'!E14</f>
        <v>인천</v>
      </c>
      <c r="E16" s="883"/>
      <c r="G16" s="254" t="s">
        <v>1316</v>
      </c>
      <c r="H16" s="255" t="str">
        <f>$D$4</f>
        <v>기타</v>
      </c>
      <c r="I16" s="256">
        <f>VLOOKUP($D$4,딜러사!$J$6:$L$25,3,FALSE)-딜러사!F28-딜러사!F29</f>
        <v>0</v>
      </c>
      <c r="J16" s="257">
        <f>I16*H4</f>
        <v>0</v>
      </c>
      <c r="L16" s="254" t="s">
        <v>1316</v>
      </c>
      <c r="M16" s="255" t="str">
        <f>$D$4</f>
        <v>기타</v>
      </c>
      <c r="N16" s="256">
        <f>VLOOKUP($D$4,딜러사!$J$6:$L$25,3,FALSE)-딜러사!F28-딜러사!F29</f>
        <v>0</v>
      </c>
      <c r="O16" s="257">
        <f>N16*M4</f>
        <v>0</v>
      </c>
      <c r="Q16" s="254" t="s">
        <v>1316</v>
      </c>
      <c r="R16" s="255" t="str">
        <f>$D$4</f>
        <v>기타</v>
      </c>
      <c r="S16" s="256">
        <f>VLOOKUP($D$4,딜러사!$J$6:$L$25,3,FALSE)-딜러사!F28-딜러사!F29</f>
        <v>0</v>
      </c>
      <c r="T16" s="257">
        <f>S16*R4</f>
        <v>0</v>
      </c>
    </row>
    <row r="17" spans="2:21" ht="15" customHeight="1" x14ac:dyDescent="0.3">
      <c r="B17" s="897"/>
      <c r="C17" s="898"/>
      <c r="D17" s="258">
        <f>'금융리스 입력'!E15</f>
        <v>0.09</v>
      </c>
      <c r="E17" s="259">
        <f>'금융리스 입력'!F15</f>
        <v>0</v>
      </c>
      <c r="G17" s="260" t="s">
        <v>1317</v>
      </c>
      <c r="H17" s="377" t="str">
        <f>IF(D4="브리티시오토",D4,IF(D4="모터원","모터원담당",""))</f>
        <v/>
      </c>
      <c r="I17" s="261">
        <f>IF(D4="브리티시오토",0.2%,IF(D4="모터원",0.2%,0))</f>
        <v>0</v>
      </c>
      <c r="J17" s="262">
        <f>I17*H4</f>
        <v>0</v>
      </c>
      <c r="L17" s="260" t="s">
        <v>1317</v>
      </c>
      <c r="M17" s="377" t="str">
        <f>IF(D4="브리티시오토",D4,IF(D4="모터원","모터원담당",""))</f>
        <v/>
      </c>
      <c r="N17" s="261">
        <f>IF(D4="브리티시오토",0.2%,IF(D4="모터원",0.2%,0))</f>
        <v>0</v>
      </c>
      <c r="O17" s="262">
        <f>N17*M4</f>
        <v>0</v>
      </c>
      <c r="Q17" s="260" t="s">
        <v>1317</v>
      </c>
      <c r="R17" s="377" t="str">
        <f>IF(D4="브리티시오토",D4,IF(D4="모터원","모터원담당",""))</f>
        <v/>
      </c>
      <c r="S17" s="261">
        <f>IF(D4="브리티시오토",0.2%,IF(D4="모터원",0.2%,0))</f>
        <v>0</v>
      </c>
      <c r="T17" s="262">
        <f>S17*R4</f>
        <v>0</v>
      </c>
    </row>
    <row r="18" spans="2:21" ht="15" customHeight="1" x14ac:dyDescent="0.3">
      <c r="B18" s="859" t="s">
        <v>4</v>
      </c>
      <c r="C18" s="860"/>
      <c r="D18" s="861">
        <f>'금융리스 입력'!D16:G16</f>
        <v>100000</v>
      </c>
      <c r="E18" s="853"/>
      <c r="G18" s="247"/>
      <c r="H18" s="248" t="s">
        <v>1466</v>
      </c>
      <c r="I18" s="899">
        <f>(I13+I14+J16+J17)/H4</f>
        <v>0</v>
      </c>
      <c r="J18" s="899"/>
      <c r="K18" s="233"/>
      <c r="L18" s="247"/>
      <c r="M18" s="248" t="s">
        <v>1466</v>
      </c>
      <c r="N18" s="899">
        <f>(N13+N14+O16+O17)/M4</f>
        <v>0</v>
      </c>
      <c r="O18" s="899"/>
      <c r="P18" s="233"/>
      <c r="Q18" s="247"/>
      <c r="R18" s="248" t="s">
        <v>1466</v>
      </c>
      <c r="S18" s="899">
        <f>(S13+S14+T16+T17)/R4</f>
        <v>0</v>
      </c>
      <c r="T18" s="899"/>
    </row>
    <row r="19" spans="2:21" ht="15" customHeight="1" x14ac:dyDescent="0.3">
      <c r="B19" s="859" t="s">
        <v>3</v>
      </c>
      <c r="C19" s="860"/>
      <c r="D19" s="861">
        <f>'금융리스 입력'!D17:G17</f>
        <v>100000</v>
      </c>
      <c r="E19" s="853"/>
      <c r="G19" s="254" t="s">
        <v>222</v>
      </c>
      <c r="H19" s="263"/>
      <c r="I19" s="864">
        <f>H39</f>
        <v>973900</v>
      </c>
      <c r="J19" s="865"/>
      <c r="L19" s="264" t="s">
        <v>222</v>
      </c>
      <c r="M19" s="265"/>
      <c r="N19" s="866">
        <f>M39</f>
        <v>751800</v>
      </c>
      <c r="O19" s="867"/>
      <c r="Q19" s="254" t="s">
        <v>222</v>
      </c>
      <c r="R19" s="263"/>
      <c r="S19" s="868">
        <f>R39</f>
        <v>618900</v>
      </c>
      <c r="T19" s="865"/>
    </row>
    <row r="20" spans="2:21" ht="15" customHeight="1" thickBot="1" x14ac:dyDescent="0.35">
      <c r="B20" s="859" t="s">
        <v>215</v>
      </c>
      <c r="C20" s="860"/>
      <c r="D20" s="861">
        <f>'금융리스 입력'!D18:G18</f>
        <v>1345450</v>
      </c>
      <c r="E20" s="853"/>
      <c r="G20" s="266" t="s">
        <v>10</v>
      </c>
      <c r="H20" s="267"/>
      <c r="I20" s="893">
        <f>IF('금융리스 입력'!BB10=FALSE,0,'공채&amp;차세'!M50)</f>
        <v>0</v>
      </c>
      <c r="J20" s="894"/>
      <c r="L20" s="268" t="s">
        <v>10</v>
      </c>
      <c r="M20" s="233"/>
      <c r="N20" s="891">
        <f>IF('금융리스 입력'!BB15=FALSE,0,'공채&amp;차세'!M50)</f>
        <v>0</v>
      </c>
      <c r="O20" s="892"/>
      <c r="Q20" s="266" t="s">
        <v>10</v>
      </c>
      <c r="R20" s="267"/>
      <c r="S20" s="893">
        <f>IF('금융리스 입력'!BB20=FALSE,0,'공채&amp;차세'!M50)</f>
        <v>0</v>
      </c>
      <c r="T20" s="894"/>
    </row>
    <row r="21" spans="2:21" ht="15" customHeight="1" thickBot="1" x14ac:dyDescent="0.35">
      <c r="B21" s="251"/>
      <c r="E21" s="231"/>
      <c r="G21" s="238" t="s">
        <v>223</v>
      </c>
      <c r="H21" s="269"/>
      <c r="I21" s="854">
        <f>I19+I20</f>
        <v>973900</v>
      </c>
      <c r="J21" s="855"/>
      <c r="L21" s="238" t="s">
        <v>223</v>
      </c>
      <c r="M21" s="269"/>
      <c r="N21" s="854">
        <f>N19+N20</f>
        <v>751800</v>
      </c>
      <c r="O21" s="855"/>
      <c r="Q21" s="238" t="s">
        <v>223</v>
      </c>
      <c r="R21" s="269"/>
      <c r="S21" s="854">
        <f>S19+S20</f>
        <v>618900</v>
      </c>
      <c r="T21" s="855"/>
    </row>
    <row r="22" spans="2:21" ht="15" customHeight="1" thickBot="1" x14ac:dyDescent="0.35">
      <c r="B22" s="236"/>
      <c r="C22" s="236"/>
      <c r="D22" s="891"/>
      <c r="E22" s="891"/>
      <c r="U22" s="233"/>
    </row>
    <row r="23" spans="2:21" ht="15" customHeight="1" thickBot="1" x14ac:dyDescent="0.35">
      <c r="B23" s="247"/>
      <c r="C23" s="247"/>
      <c r="D23" s="233"/>
      <c r="E23" s="233"/>
      <c r="G23" s="238" t="s">
        <v>1451</v>
      </c>
      <c r="H23" s="858">
        <f>RATE(H3,H39,-H4,I7,0,0.00001)*12</f>
        <v>6.0274463841729256E-2</v>
      </c>
      <c r="I23" s="856"/>
      <c r="J23" s="857"/>
      <c r="L23" s="238" t="s">
        <v>1451</v>
      </c>
      <c r="M23" s="858">
        <f>RATE(M3,M39,-M4,N7,0,0.00001)*12</f>
        <v>6.0190193485511315E-2</v>
      </c>
      <c r="N23" s="856"/>
      <c r="O23" s="857"/>
      <c r="Q23" s="238" t="s">
        <v>1451</v>
      </c>
      <c r="R23" s="858">
        <f>RATE(R3,R39,-R4,S7,0,0.00001)*12</f>
        <v>6.0168230510412563E-2</v>
      </c>
      <c r="S23" s="856"/>
      <c r="T23" s="857"/>
      <c r="U23" s="233"/>
    </row>
    <row r="24" spans="2:21" ht="15" customHeight="1" thickBot="1" x14ac:dyDescent="0.35">
      <c r="G24" s="238" t="s">
        <v>1450</v>
      </c>
      <c r="H24" s="856">
        <f>VLOOKUP($D$5,브랜드!$B$2:$D$29,3,FALSE)</f>
        <v>0.06</v>
      </c>
      <c r="I24" s="856"/>
      <c r="J24" s="857"/>
      <c r="K24" s="233"/>
      <c r="L24" s="238" t="s">
        <v>1450</v>
      </c>
      <c r="M24" s="856">
        <f>VLOOKUP($D$5,브랜드!$B$2:$D$29,3,FALSE)</f>
        <v>0.06</v>
      </c>
      <c r="N24" s="856"/>
      <c r="O24" s="857"/>
      <c r="P24" s="233"/>
      <c r="Q24" s="238" t="s">
        <v>1450</v>
      </c>
      <c r="R24" s="856">
        <f>VLOOKUP($D$5,브랜드!$B$2:$D$29,3,FALSE)</f>
        <v>0.06</v>
      </c>
      <c r="S24" s="856"/>
      <c r="T24" s="857"/>
      <c r="U24" s="233"/>
    </row>
    <row r="25" spans="2:21" ht="15" customHeight="1" x14ac:dyDescent="0.3">
      <c r="U25" s="233"/>
    </row>
    <row r="26" spans="2:21" ht="15" customHeight="1" x14ac:dyDescent="0.3">
      <c r="U26" s="233"/>
    </row>
    <row r="27" spans="2:21" ht="15" customHeight="1" x14ac:dyDescent="0.3">
      <c r="G27" s="247"/>
      <c r="H27" s="233"/>
      <c r="I27" s="233"/>
      <c r="J27" s="237"/>
      <c r="K27" s="233"/>
      <c r="L27" s="247"/>
      <c r="M27" s="233"/>
      <c r="N27" s="233"/>
      <c r="O27" s="237"/>
      <c r="P27" s="233"/>
      <c r="Q27" s="247"/>
      <c r="R27" s="233"/>
      <c r="S27" s="233"/>
      <c r="T27" s="237"/>
      <c r="U27" s="233"/>
    </row>
    <row r="28" spans="2:21" ht="15" customHeight="1" x14ac:dyDescent="0.3">
      <c r="G28" s="247"/>
      <c r="H28" s="233"/>
      <c r="I28" s="237"/>
      <c r="J28" s="237"/>
      <c r="K28" s="233"/>
      <c r="L28" s="247"/>
      <c r="M28" s="233"/>
      <c r="N28" s="237"/>
      <c r="O28" s="237"/>
      <c r="P28" s="233"/>
      <c r="Q28" s="247"/>
      <c r="R28" s="233"/>
      <c r="S28" s="237"/>
      <c r="T28" s="237"/>
      <c r="U28" s="233"/>
    </row>
    <row r="29" spans="2:21" ht="15" customHeight="1" x14ac:dyDescent="0.3">
      <c r="G29" s="247"/>
      <c r="H29" s="233"/>
      <c r="I29" s="237"/>
      <c r="J29" s="237"/>
      <c r="K29" s="233"/>
      <c r="L29" s="247"/>
      <c r="M29" s="233"/>
      <c r="N29" s="237"/>
      <c r="O29" s="237"/>
      <c r="P29" s="233"/>
      <c r="Q29" s="247"/>
      <c r="R29" s="233"/>
      <c r="S29" s="237"/>
      <c r="T29" s="237"/>
      <c r="U29" s="233"/>
    </row>
    <row r="30" spans="2:21" ht="15" customHeight="1" x14ac:dyDescent="0.3">
      <c r="F30" s="233"/>
      <c r="U30" s="233"/>
    </row>
    <row r="31" spans="2:21" ht="15" customHeight="1" x14ac:dyDescent="0.3">
      <c r="F31" s="233"/>
      <c r="U31" s="233"/>
    </row>
    <row r="32" spans="2:21" ht="15" customHeight="1" x14ac:dyDescent="0.3">
      <c r="F32" s="233"/>
      <c r="U32" s="233"/>
    </row>
    <row r="33" spans="6:21" ht="15" customHeight="1" x14ac:dyDescent="0.3">
      <c r="F33" s="233"/>
      <c r="U33" s="233"/>
    </row>
    <row r="34" spans="6:21" ht="15" customHeight="1" x14ac:dyDescent="0.3">
      <c r="F34" s="233"/>
      <c r="H34" s="231"/>
      <c r="K34" s="231"/>
      <c r="L34" s="270"/>
      <c r="M34" s="231"/>
      <c r="P34" s="231"/>
      <c r="Q34" s="270"/>
      <c r="R34" s="231"/>
      <c r="U34" s="233"/>
    </row>
    <row r="35" spans="6:21" ht="15" customHeight="1" x14ac:dyDescent="0.3">
      <c r="F35" s="233"/>
      <c r="G35" s="247"/>
      <c r="I35" s="233"/>
      <c r="J35" s="237"/>
      <c r="K35" s="233"/>
      <c r="L35" s="247"/>
      <c r="M35" s="233"/>
      <c r="N35" s="237"/>
      <c r="O35" s="237"/>
      <c r="P35" s="233"/>
      <c r="Q35" s="247"/>
      <c r="R35" s="233"/>
      <c r="S35" s="237"/>
      <c r="T35" s="237"/>
      <c r="U35" s="233"/>
    </row>
    <row r="39" spans="6:21" ht="15" customHeight="1" x14ac:dyDescent="0.3">
      <c r="G39" s="245" t="s">
        <v>222</v>
      </c>
      <c r="H39" s="851">
        <f>ROUNDUP(PMT(H24/12,H3,-H4-I13-I14-10000-J16-J17+I11,I7),-2)</f>
        <v>973900</v>
      </c>
      <c r="I39" s="852"/>
      <c r="J39" s="853"/>
      <c r="K39" s="237"/>
      <c r="L39" s="271" t="s">
        <v>222</v>
      </c>
      <c r="M39" s="851">
        <f>ROUNDUP(PMT(M24/12,M3,-M4-N13-N14-10000-O16-O17+N11,N7),-2)</f>
        <v>751800</v>
      </c>
      <c r="N39" s="852"/>
      <c r="O39" s="853"/>
      <c r="P39" s="237"/>
      <c r="Q39" s="271" t="s">
        <v>222</v>
      </c>
      <c r="R39" s="851">
        <f>ROUNDUP(PMT(R24/12,R3,-R4-S13-S14-T16-10000-T17+S11,S7),-2)</f>
        <v>618900</v>
      </c>
      <c r="S39" s="852"/>
      <c r="T39" s="853"/>
    </row>
  </sheetData>
  <mergeCells count="84">
    <mergeCell ref="I20:J20"/>
    <mergeCell ref="D22:E22"/>
    <mergeCell ref="D10:E10"/>
    <mergeCell ref="D11:E11"/>
    <mergeCell ref="D13:E13"/>
    <mergeCell ref="D19:E19"/>
    <mergeCell ref="D15:E15"/>
    <mergeCell ref="N20:O20"/>
    <mergeCell ref="S20:T20"/>
    <mergeCell ref="B10:C10"/>
    <mergeCell ref="B11:C11"/>
    <mergeCell ref="B13:C13"/>
    <mergeCell ref="D20:E20"/>
    <mergeCell ref="B20:C20"/>
    <mergeCell ref="B12:C12"/>
    <mergeCell ref="D12:E12"/>
    <mergeCell ref="B15:C15"/>
    <mergeCell ref="B16:C17"/>
    <mergeCell ref="D16:E16"/>
    <mergeCell ref="D18:E18"/>
    <mergeCell ref="S18:T18"/>
    <mergeCell ref="N18:O18"/>
    <mergeCell ref="I18:J18"/>
    <mergeCell ref="B5:C5"/>
    <mergeCell ref="D5:E5"/>
    <mergeCell ref="G2:J2"/>
    <mergeCell ref="L2:O2"/>
    <mergeCell ref="B7:C7"/>
    <mergeCell ref="D7:E7"/>
    <mergeCell ref="B6:C6"/>
    <mergeCell ref="D6:E6"/>
    <mergeCell ref="I6:J6"/>
    <mergeCell ref="N6:O6"/>
    <mergeCell ref="N7:O7"/>
    <mergeCell ref="I7:J7"/>
    <mergeCell ref="Q2:T2"/>
    <mergeCell ref="B4:C4"/>
    <mergeCell ref="D4:E4"/>
    <mergeCell ref="H3:J3"/>
    <mergeCell ref="M3:O3"/>
    <mergeCell ref="R3:T3"/>
    <mergeCell ref="H4:J4"/>
    <mergeCell ref="M4:O4"/>
    <mergeCell ref="R4:T4"/>
    <mergeCell ref="B3:C3"/>
    <mergeCell ref="S6:T6"/>
    <mergeCell ref="I9:J9"/>
    <mergeCell ref="N9:O9"/>
    <mergeCell ref="S9:T9"/>
    <mergeCell ref="I12:J12"/>
    <mergeCell ref="N12:O12"/>
    <mergeCell ref="S12:T12"/>
    <mergeCell ref="S8:T8"/>
    <mergeCell ref="N8:O8"/>
    <mergeCell ref="I8:J8"/>
    <mergeCell ref="S7:T7"/>
    <mergeCell ref="B8:C8"/>
    <mergeCell ref="D8:E8"/>
    <mergeCell ref="B19:C19"/>
    <mergeCell ref="S11:T11"/>
    <mergeCell ref="I19:J19"/>
    <mergeCell ref="N19:O19"/>
    <mergeCell ref="S19:T19"/>
    <mergeCell ref="I13:J13"/>
    <mergeCell ref="I14:J14"/>
    <mergeCell ref="N13:O13"/>
    <mergeCell ref="N14:O14"/>
    <mergeCell ref="S13:T13"/>
    <mergeCell ref="S14:T14"/>
    <mergeCell ref="I11:J11"/>
    <mergeCell ref="N11:O11"/>
    <mergeCell ref="B18:C18"/>
    <mergeCell ref="R39:T39"/>
    <mergeCell ref="M39:O39"/>
    <mergeCell ref="H39:J39"/>
    <mergeCell ref="I21:J21"/>
    <mergeCell ref="N21:O21"/>
    <mergeCell ref="S21:T21"/>
    <mergeCell ref="H24:J24"/>
    <mergeCell ref="M24:O24"/>
    <mergeCell ref="R24:T24"/>
    <mergeCell ref="H23:J23"/>
    <mergeCell ref="M23:O23"/>
    <mergeCell ref="R23:T23"/>
  </mergeCells>
  <phoneticPr fontId="1" type="noConversion"/>
  <dataValidations disablePrompts="1" count="1">
    <dataValidation type="list" allowBlank="1" showInputMessage="1" showErrorMessage="1" sqref="P4">
      <formula1>"10000,15000,20000,30000"</formula1>
    </dataValidation>
  </dataValidations>
  <pageMargins left="0.7" right="0.7" top="0.75" bottom="0.75" header="0.3" footer="0.3"/>
  <pageSetup paperSize="9" scale="40" orientation="portrait" r:id="rId1"/>
  <colBreaks count="1" manualBreakCount="1">
    <brk id="20"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00B0F0"/>
  </sheetPr>
  <dimension ref="A4:DA40"/>
  <sheetViews>
    <sheetView zoomScale="40" zoomScaleNormal="40" zoomScaleSheetLayoutView="40" workbookViewId="0">
      <selection activeCell="Q42" sqref="Q42"/>
    </sheetView>
  </sheetViews>
  <sheetFormatPr defaultColWidth="2.25" defaultRowHeight="39.75" customHeight="1" x14ac:dyDescent="0.3"/>
  <cols>
    <col min="1" max="58" width="2.25" style="81"/>
    <col min="59" max="73" width="2.25" style="82"/>
    <col min="74" max="16384" width="2.25" style="81"/>
  </cols>
  <sheetData>
    <row r="4" spans="1:85" ht="39.75" customHeight="1" x14ac:dyDescent="0.3">
      <c r="C4" s="83"/>
      <c r="D4" s="83"/>
      <c r="E4" s="83"/>
      <c r="F4" s="83"/>
      <c r="G4" s="83"/>
      <c r="H4" s="83"/>
      <c r="I4" s="83"/>
      <c r="J4" s="83"/>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495" t="str">
        <f>'금융리스 입력'!D2</f>
        <v>2025_09_V1</v>
      </c>
      <c r="AX4" s="495"/>
      <c r="AY4" s="495"/>
      <c r="AZ4" s="495"/>
      <c r="BA4" s="495"/>
      <c r="BB4" s="495"/>
      <c r="BC4" s="495"/>
      <c r="BD4" s="495"/>
      <c r="BE4" s="495"/>
      <c r="BF4" s="495"/>
      <c r="BG4" s="495"/>
      <c r="BH4" s="83"/>
      <c r="BI4" s="83"/>
      <c r="BJ4" s="83"/>
      <c r="BK4" s="83"/>
      <c r="BL4" s="83"/>
      <c r="BM4" s="83"/>
      <c r="BN4" s="83"/>
      <c r="BO4" s="83"/>
      <c r="BP4" s="83"/>
      <c r="BQ4" s="83"/>
      <c r="BR4" s="83"/>
      <c r="BS4" s="83"/>
      <c r="BT4" s="83"/>
      <c r="BU4" s="83"/>
      <c r="BV4" s="83"/>
      <c r="BW4" s="83"/>
      <c r="BX4" s="83"/>
      <c r="BY4" s="83"/>
      <c r="BZ4" s="83"/>
      <c r="CA4" s="83"/>
      <c r="CB4" s="83"/>
      <c r="CC4" s="83"/>
      <c r="CD4" s="83"/>
      <c r="CE4" s="83"/>
      <c r="CF4" s="83"/>
      <c r="CG4" s="83"/>
    </row>
    <row r="5" spans="1:85" ht="39.75" customHeight="1" x14ac:dyDescent="0.3">
      <c r="C5" s="425" t="s">
        <v>1558</v>
      </c>
      <c r="D5" s="425"/>
      <c r="E5" s="425"/>
      <c r="F5" s="425"/>
      <c r="G5" s="425"/>
      <c r="H5" s="425"/>
      <c r="I5" s="425"/>
      <c r="J5" s="425"/>
      <c r="K5" s="425"/>
      <c r="L5" s="425"/>
      <c r="M5" s="425"/>
      <c r="N5" s="425"/>
      <c r="O5" s="425"/>
      <c r="P5" s="425"/>
      <c r="Q5" s="425"/>
      <c r="R5" s="425"/>
      <c r="S5" s="425"/>
      <c r="T5" s="425"/>
      <c r="U5" s="425"/>
      <c r="V5" s="425"/>
      <c r="W5" s="425"/>
      <c r="X5" s="425"/>
      <c r="Y5" s="425"/>
      <c r="Z5" s="425"/>
      <c r="AA5" s="425"/>
      <c r="AB5" s="425"/>
      <c r="AC5" s="425"/>
      <c r="AD5" s="425"/>
      <c r="AE5" s="425"/>
      <c r="AF5" s="425"/>
      <c r="AG5" s="425"/>
      <c r="AH5" s="425"/>
      <c r="AI5" s="425"/>
      <c r="AJ5" s="425"/>
      <c r="AK5" s="425"/>
      <c r="AL5" s="425"/>
      <c r="AM5" s="425"/>
      <c r="AN5" s="425"/>
      <c r="AO5" s="425"/>
      <c r="AP5" s="425"/>
      <c r="AQ5" s="425"/>
      <c r="AR5" s="425"/>
      <c r="AS5" s="425"/>
      <c r="AT5" s="425"/>
      <c r="AU5" s="425"/>
      <c r="AV5" s="425"/>
      <c r="AW5" s="425"/>
      <c r="AX5" s="425"/>
      <c r="AY5" s="425"/>
      <c r="AZ5" s="425"/>
      <c r="BA5" s="84"/>
      <c r="BB5" s="84"/>
      <c r="BC5" s="83"/>
      <c r="BD5" s="83"/>
      <c r="BE5" s="83"/>
      <c r="BF5" s="83"/>
      <c r="BG5" s="83"/>
      <c r="BH5" s="83"/>
      <c r="BI5" s="83"/>
      <c r="BK5" s="85"/>
      <c r="BL5" s="85"/>
      <c r="BM5" s="85"/>
      <c r="BN5" s="85"/>
      <c r="BO5" s="85"/>
      <c r="BP5" s="85"/>
      <c r="BQ5" s="450">
        <f ca="1">TODAY()</f>
        <v>45904</v>
      </c>
      <c r="BR5" s="450"/>
      <c r="BS5" s="450"/>
      <c r="BT5" s="450"/>
      <c r="BU5" s="450"/>
      <c r="BV5" s="450"/>
      <c r="BW5" s="450"/>
      <c r="BX5" s="450"/>
      <c r="BY5" s="450"/>
      <c r="BZ5" s="450"/>
      <c r="CA5" s="450"/>
      <c r="CB5" s="450"/>
      <c r="CC5" s="450"/>
      <c r="CD5" s="450"/>
      <c r="CE5" s="450"/>
      <c r="CF5" s="148"/>
    </row>
    <row r="6" spans="1:85" ht="31.5" customHeight="1" x14ac:dyDescent="0.3">
      <c r="C6" s="425"/>
      <c r="D6" s="425"/>
      <c r="E6" s="425"/>
      <c r="F6" s="425"/>
      <c r="G6" s="425"/>
      <c r="H6" s="425"/>
      <c r="I6" s="425"/>
      <c r="J6" s="425"/>
      <c r="K6" s="425"/>
      <c r="L6" s="425"/>
      <c r="M6" s="425"/>
      <c r="N6" s="425"/>
      <c r="O6" s="425"/>
      <c r="P6" s="425"/>
      <c r="Q6" s="425"/>
      <c r="R6" s="425"/>
      <c r="S6" s="425"/>
      <c r="T6" s="425"/>
      <c r="U6" s="425"/>
      <c r="V6" s="425"/>
      <c r="W6" s="425"/>
      <c r="X6" s="425"/>
      <c r="Y6" s="425"/>
      <c r="Z6" s="425"/>
      <c r="AA6" s="425"/>
      <c r="AB6" s="425"/>
      <c r="AC6" s="425"/>
      <c r="AD6" s="425"/>
      <c r="AE6" s="425"/>
      <c r="AF6" s="425"/>
      <c r="AG6" s="425"/>
      <c r="AH6" s="425"/>
      <c r="AI6" s="425"/>
      <c r="AJ6" s="425"/>
      <c r="AK6" s="425"/>
      <c r="AL6" s="425"/>
      <c r="AM6" s="425"/>
      <c r="AN6" s="425"/>
      <c r="AO6" s="425"/>
      <c r="AP6" s="425"/>
      <c r="AQ6" s="425"/>
      <c r="AR6" s="425"/>
      <c r="AS6" s="425"/>
      <c r="AT6" s="425"/>
      <c r="AU6" s="425"/>
      <c r="AV6" s="425"/>
      <c r="AW6" s="425"/>
      <c r="AX6" s="425"/>
      <c r="AY6" s="425"/>
      <c r="AZ6" s="425"/>
      <c r="BA6" s="84"/>
      <c r="BB6" s="84"/>
      <c r="BS6" s="451" t="s">
        <v>1534</v>
      </c>
      <c r="BT6" s="451"/>
      <c r="BU6" s="451"/>
      <c r="BV6" s="451"/>
      <c r="BW6" s="452" t="str">
        <f>'할부 입력'!D19</f>
        <v>메리츠캐피탈 담당자</v>
      </c>
      <c r="BX6" s="452"/>
      <c r="BY6" s="452"/>
      <c r="BZ6" s="452"/>
      <c r="CA6" s="452"/>
      <c r="CB6" s="452"/>
      <c r="CC6" s="452"/>
      <c r="CD6" s="452"/>
      <c r="CE6" s="452"/>
      <c r="CF6" s="149"/>
    </row>
    <row r="7" spans="1:85" ht="19.5" customHeight="1" x14ac:dyDescent="0.3">
      <c r="A7" s="86"/>
      <c r="B7" s="86"/>
      <c r="C7" s="425"/>
      <c r="D7" s="425"/>
      <c r="E7" s="425"/>
      <c r="F7" s="425"/>
      <c r="G7" s="425"/>
      <c r="H7" s="425"/>
      <c r="I7" s="425"/>
      <c r="J7" s="425"/>
      <c r="K7" s="425"/>
      <c r="L7" s="425"/>
      <c r="M7" s="425"/>
      <c r="N7" s="425"/>
      <c r="O7" s="425"/>
      <c r="P7" s="425"/>
      <c r="Q7" s="425"/>
      <c r="R7" s="425"/>
      <c r="S7" s="425"/>
      <c r="T7" s="425"/>
      <c r="U7" s="425"/>
      <c r="V7" s="425"/>
      <c r="W7" s="425"/>
      <c r="X7" s="425"/>
      <c r="Y7" s="425"/>
      <c r="Z7" s="425"/>
      <c r="AA7" s="425"/>
      <c r="AB7" s="425"/>
      <c r="AC7" s="425"/>
      <c r="AD7" s="425"/>
      <c r="AE7" s="425"/>
      <c r="AF7" s="425"/>
      <c r="AG7" s="425"/>
      <c r="AH7" s="425"/>
      <c r="AI7" s="425"/>
      <c r="AJ7" s="425"/>
      <c r="AK7" s="425"/>
      <c r="AL7" s="425"/>
      <c r="AM7" s="425"/>
      <c r="AN7" s="425"/>
      <c r="AO7" s="425"/>
      <c r="AP7" s="425"/>
      <c r="AQ7" s="425"/>
      <c r="AR7" s="425"/>
      <c r="AS7" s="425"/>
      <c r="AT7" s="425"/>
      <c r="AU7" s="425"/>
      <c r="AV7" s="425"/>
      <c r="AW7" s="425"/>
      <c r="AX7" s="425"/>
      <c r="AY7" s="425"/>
      <c r="AZ7" s="425"/>
      <c r="BA7" s="84"/>
      <c r="BB7" s="84"/>
      <c r="BM7" s="81"/>
      <c r="BN7" s="81"/>
      <c r="BO7" s="81"/>
      <c r="BP7" s="81"/>
      <c r="BQ7" s="81"/>
      <c r="BR7" s="81"/>
      <c r="BS7" s="81"/>
      <c r="BT7" s="81"/>
      <c r="BU7" s="81"/>
    </row>
    <row r="8" spans="1:85" ht="19.5" customHeight="1" x14ac:dyDescent="0.3">
      <c r="A8" s="86"/>
      <c r="B8" s="86"/>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47"/>
      <c r="AR8" s="147"/>
      <c r="AS8" s="147"/>
      <c r="AT8" s="147"/>
      <c r="AU8" s="147"/>
      <c r="AV8" s="147"/>
      <c r="AW8" s="147"/>
      <c r="AX8" s="147"/>
      <c r="AY8" s="147"/>
      <c r="AZ8" s="147"/>
      <c r="BA8" s="84"/>
      <c r="BB8" s="84"/>
      <c r="BM8" s="81"/>
      <c r="BN8" s="81"/>
      <c r="BO8" s="81"/>
      <c r="BP8" s="81"/>
      <c r="BQ8" s="81"/>
      <c r="BR8" s="81"/>
      <c r="BS8" s="81"/>
      <c r="BT8" s="81"/>
      <c r="BU8" s="81"/>
    </row>
    <row r="9" spans="1:85" ht="19.5" customHeight="1" x14ac:dyDescent="0.3">
      <c r="A9" s="86"/>
      <c r="B9" s="86"/>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84"/>
      <c r="BB9" s="84"/>
      <c r="BM9" s="81"/>
      <c r="BN9" s="81"/>
      <c r="BO9" s="81"/>
      <c r="BP9" s="81"/>
      <c r="BQ9" s="81"/>
      <c r="BR9" s="81"/>
      <c r="BS9" s="81"/>
      <c r="BT9" s="81"/>
      <c r="BU9" s="81"/>
    </row>
    <row r="10" spans="1:85" ht="19.5" customHeight="1" x14ac:dyDescent="0.3">
      <c r="A10" s="86"/>
      <c r="B10" s="86"/>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47"/>
      <c r="AA10" s="147"/>
      <c r="AB10" s="147"/>
      <c r="AC10" s="147"/>
      <c r="AD10" s="147"/>
      <c r="AE10" s="147"/>
      <c r="AF10" s="147"/>
      <c r="AG10" s="147"/>
      <c r="AH10" s="147"/>
      <c r="AI10" s="147"/>
      <c r="AJ10" s="147"/>
      <c r="AK10" s="147"/>
      <c r="AL10" s="147"/>
      <c r="AM10" s="147"/>
      <c r="AN10" s="147"/>
      <c r="AO10" s="147"/>
      <c r="AP10" s="147"/>
      <c r="AQ10" s="147"/>
      <c r="AR10" s="147"/>
      <c r="AS10" s="147"/>
      <c r="AT10" s="147"/>
      <c r="AU10" s="147"/>
      <c r="AV10" s="147"/>
      <c r="AW10" s="147"/>
      <c r="AX10" s="147"/>
      <c r="AY10" s="147"/>
      <c r="AZ10" s="147"/>
      <c r="BA10" s="84"/>
      <c r="BB10" s="84"/>
      <c r="BM10" s="81"/>
      <c r="BN10" s="81"/>
      <c r="BO10" s="81"/>
      <c r="BP10" s="81"/>
      <c r="BQ10" s="81"/>
      <c r="BR10" s="81"/>
      <c r="BS10" s="81"/>
      <c r="BT10" s="81"/>
      <c r="BU10" s="81"/>
    </row>
    <row r="11" spans="1:85" ht="32.25" customHeight="1" x14ac:dyDescent="0.45">
      <c r="AZ11" s="541" t="str">
        <f>'할부 입력'!D20</f>
        <v>VIP 고객님</v>
      </c>
      <c r="BA11" s="541"/>
      <c r="BB11" s="541"/>
      <c r="BC11" s="541"/>
      <c r="BD11" s="541"/>
      <c r="BE11" s="541"/>
      <c r="BF11" s="541"/>
      <c r="BG11" s="541"/>
      <c r="BH11" s="541"/>
      <c r="BI11" s="541"/>
      <c r="BJ11" s="541"/>
      <c r="BK11" s="541"/>
      <c r="BL11" s="541"/>
      <c r="BM11" s="541"/>
      <c r="BN11" s="542" t="s">
        <v>1538</v>
      </c>
      <c r="BO11" s="542"/>
      <c r="BP11" s="542"/>
      <c r="BQ11" s="542"/>
      <c r="BR11" s="542"/>
      <c r="BS11" s="542"/>
      <c r="BT11" s="542"/>
      <c r="BU11" s="542"/>
      <c r="BV11" s="542"/>
      <c r="BW11" s="542"/>
      <c r="BX11" s="542"/>
      <c r="BY11" s="542"/>
      <c r="BZ11" s="542"/>
      <c r="CA11" s="542"/>
      <c r="CB11" s="542"/>
      <c r="CC11" s="542"/>
      <c r="CD11" s="542"/>
      <c r="CE11" s="542"/>
      <c r="CF11" s="145"/>
    </row>
    <row r="12" spans="1:85" ht="39.75" customHeight="1" thickBot="1" x14ac:dyDescent="0.35">
      <c r="C12" s="87" t="s">
        <v>1388</v>
      </c>
      <c r="BU12" s="81"/>
    </row>
    <row r="13" spans="1:85" s="87" customFormat="1" ht="51" customHeight="1" thickBot="1" x14ac:dyDescent="0.35">
      <c r="C13" s="462" t="s">
        <v>1406</v>
      </c>
      <c r="D13" s="463"/>
      <c r="E13" s="463"/>
      <c r="F13" s="463"/>
      <c r="G13" s="463"/>
      <c r="H13" s="463"/>
      <c r="I13" s="463"/>
      <c r="J13" s="463"/>
      <c r="K13" s="463"/>
      <c r="L13" s="463"/>
      <c r="M13" s="463"/>
      <c r="N13" s="463"/>
      <c r="O13" s="463"/>
      <c r="P13" s="448" t="str">
        <f>'할부 입력'!D4</f>
        <v>BYD</v>
      </c>
      <c r="Q13" s="448"/>
      <c r="R13" s="448"/>
      <c r="S13" s="448"/>
      <c r="T13" s="448"/>
      <c r="U13" s="448"/>
      <c r="V13" s="448"/>
      <c r="W13" s="448"/>
      <c r="X13" s="448"/>
      <c r="Y13" s="448"/>
      <c r="Z13" s="448"/>
      <c r="AA13" s="448"/>
      <c r="AB13" s="448"/>
      <c r="AC13" s="505" t="str">
        <f>'할부 입력'!D6</f>
        <v>ATTO 3</v>
      </c>
      <c r="AD13" s="505"/>
      <c r="AE13" s="505"/>
      <c r="AF13" s="505"/>
      <c r="AG13" s="505"/>
      <c r="AH13" s="505"/>
      <c r="AI13" s="505"/>
      <c r="AJ13" s="505"/>
      <c r="AK13" s="505"/>
      <c r="AL13" s="505"/>
      <c r="AM13" s="505"/>
      <c r="AN13" s="505"/>
      <c r="AO13" s="505"/>
      <c r="AP13" s="505"/>
      <c r="AQ13" s="505"/>
      <c r="AR13" s="505"/>
      <c r="AS13" s="505"/>
      <c r="AT13" s="505"/>
      <c r="AU13" s="505"/>
      <c r="AV13" s="505"/>
      <c r="AW13" s="505"/>
      <c r="AX13" s="505"/>
      <c r="AY13" s="505"/>
      <c r="AZ13" s="505"/>
      <c r="BA13" s="505"/>
      <c r="BB13" s="505"/>
      <c r="BC13" s="505"/>
      <c r="BD13" s="505"/>
      <c r="BE13" s="505"/>
      <c r="BF13" s="505"/>
      <c r="BG13" s="505"/>
      <c r="BH13" s="505"/>
      <c r="BI13" s="505"/>
      <c r="BJ13" s="505"/>
      <c r="BK13" s="505"/>
      <c r="BL13" s="505"/>
      <c r="BM13" s="505"/>
      <c r="BN13" s="505"/>
      <c r="BO13" s="505"/>
      <c r="BP13" s="505"/>
      <c r="BQ13" s="505"/>
      <c r="BR13" s="505"/>
      <c r="BS13" s="505"/>
      <c r="BT13" s="505"/>
      <c r="BU13" s="505"/>
      <c r="BV13" s="505"/>
      <c r="BW13" s="504">
        <f>'할부 입력'!D7</f>
        <v>0</v>
      </c>
      <c r="BX13" s="504"/>
      <c r="BY13" s="504"/>
      <c r="BZ13" s="504"/>
      <c r="CA13" s="504"/>
      <c r="CB13" s="504"/>
      <c r="CC13" s="504"/>
      <c r="CD13" s="504"/>
      <c r="CE13" s="504"/>
      <c r="CF13" s="116"/>
    </row>
    <row r="14" spans="1:85" s="87" customFormat="1" ht="51" customHeight="1" thickTop="1" x14ac:dyDescent="0.3">
      <c r="C14" s="464" t="s">
        <v>1389</v>
      </c>
      <c r="D14" s="465"/>
      <c r="E14" s="465"/>
      <c r="F14" s="465"/>
      <c r="G14" s="465"/>
      <c r="H14" s="465"/>
      <c r="I14" s="465"/>
      <c r="J14" s="465"/>
      <c r="K14" s="465"/>
      <c r="L14" s="465"/>
      <c r="M14" s="465"/>
      <c r="N14" s="465"/>
      <c r="O14" s="465"/>
      <c r="P14" s="444">
        <f>'할부 입력'!D8</f>
        <v>39000000</v>
      </c>
      <c r="Q14" s="444"/>
      <c r="R14" s="444"/>
      <c r="S14" s="444"/>
      <c r="T14" s="444"/>
      <c r="U14" s="444"/>
      <c r="V14" s="444"/>
      <c r="W14" s="444"/>
      <c r="X14" s="444"/>
      <c r="Y14" s="444"/>
      <c r="Z14" s="444"/>
      <c r="AA14" s="444"/>
      <c r="AB14" s="444"/>
      <c r="AC14" s="444"/>
      <c r="AD14" s="444"/>
      <c r="AE14" s="444"/>
      <c r="AF14" s="444"/>
      <c r="AG14" s="444"/>
      <c r="AH14" s="444"/>
      <c r="AI14" s="444"/>
      <c r="AJ14" s="444"/>
      <c r="AK14" s="444"/>
      <c r="AL14" s="444"/>
      <c r="AM14" s="444"/>
      <c r="AN14" s="444"/>
      <c r="AO14" s="444"/>
      <c r="AP14" s="465" t="s">
        <v>1390</v>
      </c>
      <c r="AQ14" s="465"/>
      <c r="AR14" s="465"/>
      <c r="AS14" s="465"/>
      <c r="AT14" s="465"/>
      <c r="AU14" s="465"/>
      <c r="AV14" s="465"/>
      <c r="AW14" s="465"/>
      <c r="AX14" s="465"/>
      <c r="AY14" s="465"/>
      <c r="AZ14" s="465"/>
      <c r="BA14" s="465"/>
      <c r="BB14" s="465"/>
      <c r="BC14" s="465"/>
      <c r="BD14" s="444">
        <f>'할부 입력'!D9</f>
        <v>0</v>
      </c>
      <c r="BE14" s="444"/>
      <c r="BF14" s="444"/>
      <c r="BG14" s="444"/>
      <c r="BH14" s="444"/>
      <c r="BI14" s="444"/>
      <c r="BJ14" s="444"/>
      <c r="BK14" s="444"/>
      <c r="BL14" s="444"/>
      <c r="BM14" s="444"/>
      <c r="BN14" s="444"/>
      <c r="BO14" s="444"/>
      <c r="BP14" s="444"/>
      <c r="BQ14" s="444"/>
      <c r="BR14" s="444"/>
      <c r="BS14" s="444"/>
      <c r="BT14" s="444"/>
      <c r="BU14" s="444"/>
      <c r="BV14" s="444"/>
      <c r="BW14" s="444"/>
      <c r="BX14" s="444"/>
      <c r="BY14" s="444"/>
      <c r="BZ14" s="444"/>
      <c r="CA14" s="444"/>
      <c r="CB14" s="444"/>
      <c r="CC14" s="444"/>
      <c r="CD14" s="444"/>
      <c r="CE14" s="445"/>
      <c r="CF14" s="117"/>
    </row>
    <row r="15" spans="1:85" s="87" customFormat="1" ht="51" customHeight="1" thickBot="1" x14ac:dyDescent="0.35">
      <c r="C15" s="466" t="s">
        <v>1391</v>
      </c>
      <c r="D15" s="467"/>
      <c r="E15" s="467"/>
      <c r="F15" s="467"/>
      <c r="G15" s="467"/>
      <c r="H15" s="467"/>
      <c r="I15" s="467"/>
      <c r="J15" s="467"/>
      <c r="K15" s="467"/>
      <c r="L15" s="467"/>
      <c r="M15" s="467"/>
      <c r="N15" s="467"/>
      <c r="O15" s="467"/>
      <c r="P15" s="443">
        <f>'할부 입력'!D10</f>
        <v>0</v>
      </c>
      <c r="Q15" s="443"/>
      <c r="R15" s="443"/>
      <c r="S15" s="443"/>
      <c r="T15" s="443"/>
      <c r="U15" s="443"/>
      <c r="V15" s="443"/>
      <c r="W15" s="443"/>
      <c r="X15" s="443"/>
      <c r="Y15" s="443"/>
      <c r="Z15" s="443"/>
      <c r="AA15" s="443"/>
      <c r="AB15" s="443"/>
      <c r="AC15" s="443"/>
      <c r="AD15" s="443"/>
      <c r="AE15" s="443"/>
      <c r="AF15" s="443"/>
      <c r="AG15" s="443"/>
      <c r="AH15" s="443"/>
      <c r="AI15" s="443"/>
      <c r="AJ15" s="443"/>
      <c r="AK15" s="443"/>
      <c r="AL15" s="443"/>
      <c r="AM15" s="443"/>
      <c r="AN15" s="443"/>
      <c r="AO15" s="443"/>
      <c r="AP15" s="506" t="s">
        <v>1392</v>
      </c>
      <c r="AQ15" s="506"/>
      <c r="AR15" s="506"/>
      <c r="AS15" s="506"/>
      <c r="AT15" s="506"/>
      <c r="AU15" s="506"/>
      <c r="AV15" s="506"/>
      <c r="AW15" s="506"/>
      <c r="AX15" s="506"/>
      <c r="AY15" s="506"/>
      <c r="AZ15" s="506"/>
      <c r="BA15" s="506"/>
      <c r="BB15" s="506"/>
      <c r="BC15" s="506"/>
      <c r="BD15" s="446">
        <f>'할부 입력'!D11</f>
        <v>39000000</v>
      </c>
      <c r="BE15" s="446"/>
      <c r="BF15" s="446"/>
      <c r="BG15" s="446"/>
      <c r="BH15" s="446"/>
      <c r="BI15" s="446"/>
      <c r="BJ15" s="446"/>
      <c r="BK15" s="446"/>
      <c r="BL15" s="446"/>
      <c r="BM15" s="446"/>
      <c r="BN15" s="446"/>
      <c r="BO15" s="446"/>
      <c r="BP15" s="446"/>
      <c r="BQ15" s="446"/>
      <c r="BR15" s="446"/>
      <c r="BS15" s="446"/>
      <c r="BT15" s="446"/>
      <c r="BU15" s="446"/>
      <c r="BV15" s="446"/>
      <c r="BW15" s="446"/>
      <c r="BX15" s="446"/>
      <c r="BY15" s="446"/>
      <c r="BZ15" s="446"/>
      <c r="CA15" s="446"/>
      <c r="CB15" s="446"/>
      <c r="CC15" s="446"/>
      <c r="CD15" s="446"/>
      <c r="CE15" s="447"/>
      <c r="CF15" s="92"/>
    </row>
    <row r="16" spans="1:85" ht="21.75" customHeight="1" x14ac:dyDescent="0.3">
      <c r="A16" s="86"/>
      <c r="B16" s="86"/>
      <c r="C16" s="86"/>
      <c r="D16" s="86"/>
      <c r="E16" s="86"/>
      <c r="F16" s="86"/>
      <c r="G16" s="86"/>
      <c r="H16" s="86"/>
      <c r="I16" s="86"/>
      <c r="J16" s="83"/>
      <c r="K16" s="83"/>
      <c r="L16" s="83"/>
      <c r="M16" s="88"/>
      <c r="N16" s="89"/>
      <c r="O16" s="89"/>
      <c r="P16" s="89"/>
      <c r="Q16" s="89"/>
      <c r="R16" s="89"/>
      <c r="S16" s="89"/>
      <c r="T16" s="89"/>
      <c r="U16" s="89"/>
      <c r="V16" s="89"/>
      <c r="W16" s="89"/>
      <c r="X16" s="89"/>
      <c r="AH16" s="88"/>
      <c r="AI16" s="88"/>
      <c r="AJ16" s="88"/>
      <c r="AK16" s="88"/>
      <c r="AL16" s="88"/>
      <c r="AM16" s="88"/>
      <c r="AN16" s="88"/>
      <c r="AO16" s="83"/>
      <c r="AP16" s="83"/>
      <c r="AQ16" s="83"/>
      <c r="AR16" s="83"/>
      <c r="AS16" s="83"/>
      <c r="AZ16" s="83"/>
      <c r="BA16" s="83"/>
    </row>
    <row r="17" spans="1:84" ht="21.75" customHeight="1" x14ac:dyDescent="0.3">
      <c r="A17" s="86"/>
      <c r="B17" s="86"/>
      <c r="C17" s="86"/>
      <c r="D17" s="86"/>
      <c r="E17" s="86"/>
      <c r="F17" s="86"/>
      <c r="G17" s="86"/>
      <c r="H17" s="86"/>
      <c r="I17" s="86"/>
      <c r="J17" s="83"/>
      <c r="K17" s="83"/>
      <c r="L17" s="83"/>
      <c r="M17" s="88"/>
      <c r="N17" s="89"/>
      <c r="O17" s="89"/>
      <c r="P17" s="89"/>
      <c r="Q17" s="89"/>
      <c r="R17" s="89"/>
      <c r="S17" s="89"/>
      <c r="T17" s="89"/>
      <c r="U17" s="89"/>
      <c r="V17" s="89"/>
      <c r="W17" s="89"/>
      <c r="X17" s="89"/>
      <c r="AH17" s="88"/>
      <c r="AI17" s="88"/>
      <c r="AJ17" s="88"/>
      <c r="AK17" s="88"/>
      <c r="AL17" s="88"/>
      <c r="AM17" s="88"/>
      <c r="AN17" s="88"/>
      <c r="AO17" s="83"/>
      <c r="AP17" s="83"/>
      <c r="AQ17" s="83"/>
      <c r="AR17" s="83"/>
      <c r="AS17" s="83"/>
      <c r="AZ17" s="83"/>
      <c r="BA17" s="83"/>
    </row>
    <row r="18" spans="1:84" ht="39.75" customHeight="1" thickBot="1" x14ac:dyDescent="0.35">
      <c r="C18" s="87" t="s">
        <v>1393</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90"/>
      <c r="BH18" s="90"/>
      <c r="BI18" s="90"/>
      <c r="BJ18" s="90"/>
      <c r="BK18" s="90"/>
      <c r="BL18" s="90"/>
      <c r="BM18" s="90"/>
      <c r="BN18" s="90"/>
      <c r="BO18" s="90"/>
      <c r="BP18" s="90"/>
      <c r="BQ18" s="90"/>
      <c r="BR18" s="90"/>
      <c r="BS18" s="90"/>
      <c r="BT18" s="90"/>
      <c r="BU18" s="90"/>
      <c r="BV18" s="87"/>
      <c r="BW18" s="87"/>
      <c r="BX18" s="87"/>
      <c r="BY18" s="87"/>
      <c r="BZ18" s="87"/>
      <c r="CA18" s="87"/>
      <c r="CB18" s="87"/>
      <c r="CC18" s="87"/>
      <c r="CD18" s="87"/>
      <c r="CE18" s="87"/>
      <c r="CF18" s="87"/>
    </row>
    <row r="19" spans="1:84" s="87" customFormat="1" ht="51" customHeight="1" x14ac:dyDescent="0.3">
      <c r="C19" s="910" t="s">
        <v>1563</v>
      </c>
      <c r="D19" s="910"/>
      <c r="E19" s="910"/>
      <c r="F19" s="910"/>
      <c r="G19" s="910"/>
      <c r="H19" s="910"/>
      <c r="I19" s="910"/>
      <c r="J19" s="910"/>
      <c r="K19" s="910"/>
      <c r="L19" s="910"/>
      <c r="M19" s="910"/>
      <c r="N19" s="910"/>
      <c r="O19" s="479"/>
      <c r="P19" s="483">
        <f>'할부 입력'!D13</f>
        <v>1081810</v>
      </c>
      <c r="Q19" s="483"/>
      <c r="R19" s="483"/>
      <c r="S19" s="483"/>
      <c r="T19" s="483"/>
      <c r="U19" s="483"/>
      <c r="V19" s="483"/>
      <c r="W19" s="483"/>
      <c r="X19" s="483"/>
      <c r="Y19" s="483"/>
      <c r="Z19" s="483"/>
      <c r="AA19" s="483"/>
      <c r="AB19" s="483"/>
      <c r="AC19" s="911" t="s">
        <v>1564</v>
      </c>
      <c r="AD19" s="910"/>
      <c r="AE19" s="910"/>
      <c r="AF19" s="910"/>
      <c r="AG19" s="910"/>
      <c r="AH19" s="910"/>
      <c r="AI19" s="910"/>
      <c r="AJ19" s="910"/>
      <c r="AK19" s="910"/>
      <c r="AL19" s="910"/>
      <c r="AM19" s="910"/>
      <c r="AN19" s="910"/>
      <c r="AO19" s="479"/>
      <c r="AP19" s="483">
        <f>'할부 입력'!F15</f>
        <v>0</v>
      </c>
      <c r="AQ19" s="483"/>
      <c r="AR19" s="483"/>
      <c r="AS19" s="483"/>
      <c r="AT19" s="483"/>
      <c r="AU19" s="483"/>
      <c r="AV19" s="483"/>
      <c r="AW19" s="483"/>
      <c r="AX19" s="483"/>
      <c r="AY19" s="483"/>
      <c r="AZ19" s="483"/>
      <c r="BA19" s="483"/>
      <c r="BB19" s="483"/>
      <c r="BC19" s="484"/>
      <c r="BD19" s="912" t="s">
        <v>1528</v>
      </c>
      <c r="BE19" s="912"/>
      <c r="BF19" s="912"/>
      <c r="BG19" s="912"/>
      <c r="BH19" s="912"/>
      <c r="BI19" s="912"/>
      <c r="BJ19" s="912"/>
      <c r="BK19" s="912"/>
      <c r="BL19" s="912"/>
      <c r="BM19" s="912"/>
      <c r="BN19" s="912"/>
      <c r="BO19" s="912"/>
      <c r="BP19" s="912"/>
      <c r="BQ19" s="912"/>
      <c r="BR19" s="913">
        <f>'할부 입력'!D18</f>
        <v>1281810</v>
      </c>
      <c r="BS19" s="913"/>
      <c r="BT19" s="913"/>
      <c r="BU19" s="913"/>
      <c r="BV19" s="913"/>
      <c r="BW19" s="913"/>
      <c r="BX19" s="913"/>
      <c r="BY19" s="913"/>
      <c r="BZ19" s="913"/>
      <c r="CA19" s="913"/>
      <c r="CB19" s="913"/>
      <c r="CC19" s="913"/>
      <c r="CD19" s="913"/>
      <c r="CE19" s="914"/>
      <c r="CF19" s="118"/>
    </row>
    <row r="20" spans="1:84" s="87" customFormat="1" ht="51" customHeight="1" thickBot="1" x14ac:dyDescent="0.35">
      <c r="C20" s="907" t="s">
        <v>1565</v>
      </c>
      <c r="D20" s="907"/>
      <c r="E20" s="907"/>
      <c r="F20" s="907"/>
      <c r="G20" s="907"/>
      <c r="H20" s="907"/>
      <c r="I20" s="907"/>
      <c r="J20" s="907"/>
      <c r="K20" s="907"/>
      <c r="L20" s="907"/>
      <c r="M20" s="907"/>
      <c r="N20" s="907"/>
      <c r="O20" s="466"/>
      <c r="P20" s="443">
        <f>'할부 입력'!D16</f>
        <v>100000</v>
      </c>
      <c r="Q20" s="443"/>
      <c r="R20" s="443"/>
      <c r="S20" s="443"/>
      <c r="T20" s="443"/>
      <c r="U20" s="443"/>
      <c r="V20" s="443"/>
      <c r="W20" s="443"/>
      <c r="X20" s="443"/>
      <c r="Y20" s="443"/>
      <c r="Z20" s="443"/>
      <c r="AA20" s="443"/>
      <c r="AB20" s="443"/>
      <c r="AC20" s="908" t="s">
        <v>1566</v>
      </c>
      <c r="AD20" s="907"/>
      <c r="AE20" s="907"/>
      <c r="AF20" s="907"/>
      <c r="AG20" s="907"/>
      <c r="AH20" s="907"/>
      <c r="AI20" s="907"/>
      <c r="AJ20" s="907"/>
      <c r="AK20" s="907"/>
      <c r="AL20" s="907"/>
      <c r="AM20" s="907"/>
      <c r="AN20" s="907"/>
      <c r="AO20" s="466"/>
      <c r="AP20" s="443">
        <f>'할부 입력'!D17</f>
        <v>100000</v>
      </c>
      <c r="AQ20" s="443"/>
      <c r="AR20" s="443"/>
      <c r="AS20" s="443"/>
      <c r="AT20" s="443"/>
      <c r="AU20" s="443"/>
      <c r="AV20" s="443"/>
      <c r="AW20" s="443"/>
      <c r="AX20" s="443"/>
      <c r="AY20" s="443"/>
      <c r="AZ20" s="443"/>
      <c r="BA20" s="443"/>
      <c r="BB20" s="443"/>
      <c r="BC20" s="909"/>
      <c r="BD20" s="506"/>
      <c r="BE20" s="506"/>
      <c r="BF20" s="506"/>
      <c r="BG20" s="506"/>
      <c r="BH20" s="506"/>
      <c r="BI20" s="506"/>
      <c r="BJ20" s="506"/>
      <c r="BK20" s="506"/>
      <c r="BL20" s="506"/>
      <c r="BM20" s="506"/>
      <c r="BN20" s="506"/>
      <c r="BO20" s="506"/>
      <c r="BP20" s="506"/>
      <c r="BQ20" s="506"/>
      <c r="BR20" s="446"/>
      <c r="BS20" s="446"/>
      <c r="BT20" s="446"/>
      <c r="BU20" s="446"/>
      <c r="BV20" s="446"/>
      <c r="BW20" s="446"/>
      <c r="BX20" s="446"/>
      <c r="BY20" s="446"/>
      <c r="BZ20" s="446"/>
      <c r="CA20" s="446"/>
      <c r="CB20" s="446"/>
      <c r="CC20" s="446"/>
      <c r="CD20" s="446"/>
      <c r="CE20" s="447"/>
      <c r="CF20" s="92"/>
    </row>
    <row r="21" spans="1:84" ht="21.75" customHeight="1" x14ac:dyDescent="0.3"/>
    <row r="22" spans="1:84" ht="21.75" customHeight="1" x14ac:dyDescent="0.3"/>
    <row r="23" spans="1:84" ht="39.75" customHeight="1" thickBot="1" x14ac:dyDescent="0.35">
      <c r="C23" s="87" t="s">
        <v>1567</v>
      </c>
    </row>
    <row r="24" spans="1:84" ht="51" customHeight="1" thickBot="1" x14ac:dyDescent="0.35">
      <c r="C24" s="794" t="s">
        <v>1516</v>
      </c>
      <c r="D24" s="795"/>
      <c r="E24" s="795"/>
      <c r="F24" s="795"/>
      <c r="G24" s="795"/>
      <c r="H24" s="795"/>
      <c r="I24" s="795"/>
      <c r="J24" s="795"/>
      <c r="K24" s="795"/>
      <c r="L24" s="795"/>
      <c r="M24" s="795"/>
      <c r="N24" s="795"/>
      <c r="O24" s="795"/>
      <c r="P24" s="795"/>
      <c r="Q24" s="795"/>
      <c r="R24" s="463" t="s">
        <v>1525</v>
      </c>
      <c r="S24" s="463"/>
      <c r="T24" s="463"/>
      <c r="U24" s="463"/>
      <c r="V24" s="463"/>
      <c r="W24" s="463"/>
      <c r="X24" s="463"/>
      <c r="Y24" s="463"/>
      <c r="Z24" s="463"/>
      <c r="AA24" s="463"/>
      <c r="AB24" s="463"/>
      <c r="AC24" s="463"/>
      <c r="AD24" s="463"/>
      <c r="AE24" s="463"/>
      <c r="AF24" s="463"/>
      <c r="AG24" s="463"/>
      <c r="AH24" s="463"/>
      <c r="AI24" s="463"/>
      <c r="AJ24" s="463"/>
      <c r="AK24" s="463"/>
      <c r="AL24" s="463"/>
      <c r="AM24" s="463"/>
      <c r="AN24" s="463" t="s">
        <v>1526</v>
      </c>
      <c r="AO24" s="463"/>
      <c r="AP24" s="463"/>
      <c r="AQ24" s="463"/>
      <c r="AR24" s="463"/>
      <c r="AS24" s="463"/>
      <c r="AT24" s="463"/>
      <c r="AU24" s="463"/>
      <c r="AV24" s="463"/>
      <c r="AW24" s="463"/>
      <c r="AX24" s="463"/>
      <c r="AY24" s="463"/>
      <c r="AZ24" s="463"/>
      <c r="BA24" s="463"/>
      <c r="BB24" s="463"/>
      <c r="BC24" s="463"/>
      <c r="BD24" s="463"/>
      <c r="BE24" s="463"/>
      <c r="BF24" s="463"/>
      <c r="BG24" s="463"/>
      <c r="BH24" s="463"/>
      <c r="BI24" s="463"/>
      <c r="BJ24" s="463" t="s">
        <v>1527</v>
      </c>
      <c r="BK24" s="463"/>
      <c r="BL24" s="463"/>
      <c r="BM24" s="463"/>
      <c r="BN24" s="463"/>
      <c r="BO24" s="463"/>
      <c r="BP24" s="463"/>
      <c r="BQ24" s="463"/>
      <c r="BR24" s="463"/>
      <c r="BS24" s="463"/>
      <c r="BT24" s="463"/>
      <c r="BU24" s="463"/>
      <c r="BV24" s="463"/>
      <c r="BW24" s="463"/>
      <c r="BX24" s="463"/>
      <c r="BY24" s="463"/>
      <c r="BZ24" s="463"/>
      <c r="CA24" s="463"/>
      <c r="CB24" s="463"/>
      <c r="CC24" s="463"/>
      <c r="CD24" s="463"/>
      <c r="CE24" s="796"/>
      <c r="CF24" s="91"/>
    </row>
    <row r="25" spans="1:84" ht="48" customHeight="1" thickTop="1" x14ac:dyDescent="0.3">
      <c r="C25" s="789" t="s">
        <v>1552</v>
      </c>
      <c r="D25" s="790"/>
      <c r="E25" s="790"/>
      <c r="F25" s="790"/>
      <c r="G25" s="790"/>
      <c r="H25" s="790"/>
      <c r="I25" s="790"/>
      <c r="J25" s="790"/>
      <c r="K25" s="790"/>
      <c r="L25" s="790"/>
      <c r="M25" s="790"/>
      <c r="N25" s="790"/>
      <c r="O25" s="790"/>
      <c r="P25" s="790"/>
      <c r="Q25" s="790"/>
      <c r="R25" s="791">
        <f>'할부 입력'!J4</f>
        <v>35100000</v>
      </c>
      <c r="S25" s="791"/>
      <c r="T25" s="791"/>
      <c r="U25" s="791"/>
      <c r="V25" s="791"/>
      <c r="W25" s="791"/>
      <c r="X25" s="791"/>
      <c r="Y25" s="791"/>
      <c r="Z25" s="791"/>
      <c r="AA25" s="791"/>
      <c r="AB25" s="791"/>
      <c r="AC25" s="791"/>
      <c r="AD25" s="791"/>
      <c r="AE25" s="791"/>
      <c r="AF25" s="791"/>
      <c r="AG25" s="791"/>
      <c r="AH25" s="791"/>
      <c r="AI25" s="791"/>
      <c r="AJ25" s="791"/>
      <c r="AK25" s="791"/>
      <c r="AL25" s="791"/>
      <c r="AM25" s="791"/>
      <c r="AN25" s="792">
        <f>'할부 입력'!Q4</f>
        <v>29000000</v>
      </c>
      <c r="AO25" s="792"/>
      <c r="AP25" s="792"/>
      <c r="AQ25" s="792"/>
      <c r="AR25" s="792"/>
      <c r="AS25" s="792"/>
      <c r="AT25" s="792"/>
      <c r="AU25" s="792"/>
      <c r="AV25" s="792"/>
      <c r="AW25" s="792"/>
      <c r="AX25" s="792"/>
      <c r="AY25" s="792"/>
      <c r="AZ25" s="792"/>
      <c r="BA25" s="792"/>
      <c r="BB25" s="792"/>
      <c r="BC25" s="792"/>
      <c r="BD25" s="792"/>
      <c r="BE25" s="792"/>
      <c r="BF25" s="792"/>
      <c r="BG25" s="792"/>
      <c r="BH25" s="792"/>
      <c r="BI25" s="792"/>
      <c r="BJ25" s="792">
        <f>'할부 입력'!X4</f>
        <v>31200000</v>
      </c>
      <c r="BK25" s="792"/>
      <c r="BL25" s="792"/>
      <c r="BM25" s="792"/>
      <c r="BN25" s="792"/>
      <c r="BO25" s="792"/>
      <c r="BP25" s="792"/>
      <c r="BQ25" s="792"/>
      <c r="BR25" s="792"/>
      <c r="BS25" s="792"/>
      <c r="BT25" s="792"/>
      <c r="BU25" s="792"/>
      <c r="BV25" s="792"/>
      <c r="BW25" s="792"/>
      <c r="BX25" s="792"/>
      <c r="BY25" s="792"/>
      <c r="BZ25" s="792"/>
      <c r="CA25" s="792"/>
      <c r="CB25" s="792"/>
      <c r="CC25" s="792"/>
      <c r="CD25" s="792"/>
      <c r="CE25" s="793"/>
      <c r="CF25" s="119"/>
    </row>
    <row r="26" spans="1:84" ht="48" customHeight="1" x14ac:dyDescent="0.3">
      <c r="C26" s="477" t="s">
        <v>1553</v>
      </c>
      <c r="D26" s="478"/>
      <c r="E26" s="478"/>
      <c r="F26" s="478"/>
      <c r="G26" s="478"/>
      <c r="H26" s="478"/>
      <c r="I26" s="478"/>
      <c r="J26" s="478"/>
      <c r="K26" s="478"/>
      <c r="L26" s="478"/>
      <c r="M26" s="478"/>
      <c r="N26" s="478"/>
      <c r="O26" s="478"/>
      <c r="P26" s="478"/>
      <c r="Q26" s="478"/>
      <c r="R26" s="474">
        <f>'할부 입력'!J3</f>
        <v>36</v>
      </c>
      <c r="S26" s="475"/>
      <c r="T26" s="475"/>
      <c r="U26" s="475"/>
      <c r="V26" s="475"/>
      <c r="W26" s="475"/>
      <c r="X26" s="475"/>
      <c r="Y26" s="475"/>
      <c r="Z26" s="475"/>
      <c r="AA26" s="475"/>
      <c r="AB26" s="475"/>
      <c r="AC26" s="475"/>
      <c r="AD26" s="475"/>
      <c r="AE26" s="475"/>
      <c r="AF26" s="475"/>
      <c r="AG26" s="475"/>
      <c r="AH26" s="475"/>
      <c r="AI26" s="475"/>
      <c r="AJ26" s="475"/>
      <c r="AK26" s="475"/>
      <c r="AL26" s="475"/>
      <c r="AM26" s="476"/>
      <c r="AN26" s="474">
        <f>'할부 입력'!Q3</f>
        <v>48</v>
      </c>
      <c r="AO26" s="475"/>
      <c r="AP26" s="475"/>
      <c r="AQ26" s="475"/>
      <c r="AR26" s="475"/>
      <c r="AS26" s="475"/>
      <c r="AT26" s="475"/>
      <c r="AU26" s="475"/>
      <c r="AV26" s="475"/>
      <c r="AW26" s="475"/>
      <c r="AX26" s="475"/>
      <c r="AY26" s="475"/>
      <c r="AZ26" s="475"/>
      <c r="BA26" s="475"/>
      <c r="BB26" s="475"/>
      <c r="BC26" s="475"/>
      <c r="BD26" s="475"/>
      <c r="BE26" s="475"/>
      <c r="BF26" s="475"/>
      <c r="BG26" s="475"/>
      <c r="BH26" s="475"/>
      <c r="BI26" s="476"/>
      <c r="BJ26" s="474">
        <f>'할부 입력'!X3</f>
        <v>60</v>
      </c>
      <c r="BK26" s="475"/>
      <c r="BL26" s="475"/>
      <c r="BM26" s="475"/>
      <c r="BN26" s="475"/>
      <c r="BO26" s="475"/>
      <c r="BP26" s="475"/>
      <c r="BQ26" s="475"/>
      <c r="BR26" s="475"/>
      <c r="BS26" s="475"/>
      <c r="BT26" s="475"/>
      <c r="BU26" s="475"/>
      <c r="BV26" s="475"/>
      <c r="BW26" s="475"/>
      <c r="BX26" s="475"/>
      <c r="BY26" s="475"/>
      <c r="BZ26" s="475"/>
      <c r="CA26" s="475"/>
      <c r="CB26" s="475"/>
      <c r="CC26" s="475"/>
      <c r="CD26" s="475"/>
      <c r="CE26" s="475"/>
      <c r="CF26" s="120"/>
    </row>
    <row r="27" spans="1:84" ht="48" customHeight="1" thickBot="1" x14ac:dyDescent="0.35">
      <c r="C27" s="513" t="s">
        <v>1551</v>
      </c>
      <c r="D27" s="514"/>
      <c r="E27" s="514"/>
      <c r="F27" s="514"/>
      <c r="G27" s="514"/>
      <c r="H27" s="514"/>
      <c r="I27" s="514"/>
      <c r="J27" s="514"/>
      <c r="K27" s="514"/>
      <c r="L27" s="514"/>
      <c r="M27" s="514"/>
      <c r="N27" s="514"/>
      <c r="O27" s="514"/>
      <c r="P27" s="514"/>
      <c r="Q27" s="514"/>
      <c r="R27" s="500">
        <f>'할부 내부'!H6</f>
        <v>0.1</v>
      </c>
      <c r="S27" s="501"/>
      <c r="T27" s="501"/>
      <c r="U27" s="501"/>
      <c r="V27" s="501"/>
      <c r="W27" s="501"/>
      <c r="X27" s="501"/>
      <c r="Y27" s="501"/>
      <c r="Z27" s="501"/>
      <c r="AA27" s="496">
        <f>'할부 내부'!I6</f>
        <v>3900000</v>
      </c>
      <c r="AB27" s="496"/>
      <c r="AC27" s="496"/>
      <c r="AD27" s="496"/>
      <c r="AE27" s="496"/>
      <c r="AF27" s="496"/>
      <c r="AG27" s="496"/>
      <c r="AH27" s="496"/>
      <c r="AI27" s="496"/>
      <c r="AJ27" s="496"/>
      <c r="AK27" s="496"/>
      <c r="AL27" s="496"/>
      <c r="AM27" s="497"/>
      <c r="AN27" s="500">
        <f>'할부 내부'!M6</f>
        <v>0.25641025641025639</v>
      </c>
      <c r="AO27" s="501"/>
      <c r="AP27" s="501"/>
      <c r="AQ27" s="501"/>
      <c r="AR27" s="501"/>
      <c r="AS27" s="501"/>
      <c r="AT27" s="501"/>
      <c r="AU27" s="501"/>
      <c r="AV27" s="501"/>
      <c r="AW27" s="496">
        <f>'할부 내부'!N6</f>
        <v>10000000</v>
      </c>
      <c r="AX27" s="496"/>
      <c r="AY27" s="496"/>
      <c r="AZ27" s="496"/>
      <c r="BA27" s="496"/>
      <c r="BB27" s="496"/>
      <c r="BC27" s="496"/>
      <c r="BD27" s="496"/>
      <c r="BE27" s="496"/>
      <c r="BF27" s="496"/>
      <c r="BG27" s="496"/>
      <c r="BH27" s="496"/>
      <c r="BI27" s="497"/>
      <c r="BJ27" s="500">
        <f>'할부 내부'!R6</f>
        <v>0.2</v>
      </c>
      <c r="BK27" s="501"/>
      <c r="BL27" s="501"/>
      <c r="BM27" s="501"/>
      <c r="BN27" s="501"/>
      <c r="BO27" s="501"/>
      <c r="BP27" s="501"/>
      <c r="BQ27" s="501"/>
      <c r="BR27" s="501"/>
      <c r="BS27" s="496">
        <f>'할부 내부'!S6</f>
        <v>7800000</v>
      </c>
      <c r="BT27" s="496"/>
      <c r="BU27" s="496"/>
      <c r="BV27" s="496"/>
      <c r="BW27" s="496"/>
      <c r="BX27" s="496"/>
      <c r="BY27" s="496"/>
      <c r="BZ27" s="496"/>
      <c r="CA27" s="496"/>
      <c r="CB27" s="496"/>
      <c r="CC27" s="496"/>
      <c r="CD27" s="496"/>
      <c r="CE27" s="496"/>
      <c r="CF27" s="121"/>
    </row>
    <row r="28" spans="1:84" ht="48" customHeight="1" thickBot="1" x14ac:dyDescent="0.35">
      <c r="C28" s="519" t="s">
        <v>1569</v>
      </c>
      <c r="D28" s="520"/>
      <c r="E28" s="520"/>
      <c r="F28" s="520"/>
      <c r="G28" s="520"/>
      <c r="H28" s="520"/>
      <c r="I28" s="520"/>
      <c r="J28" s="520"/>
      <c r="K28" s="520"/>
      <c r="L28" s="520"/>
      <c r="M28" s="520"/>
      <c r="N28" s="520"/>
      <c r="O28" s="520"/>
      <c r="P28" s="520"/>
      <c r="Q28" s="520"/>
      <c r="R28" s="491">
        <f>'할부 입력'!J19</f>
        <v>1074300</v>
      </c>
      <c r="S28" s="492"/>
      <c r="T28" s="492"/>
      <c r="U28" s="492"/>
      <c r="V28" s="492"/>
      <c r="W28" s="492"/>
      <c r="X28" s="492"/>
      <c r="Y28" s="492"/>
      <c r="Z28" s="492"/>
      <c r="AA28" s="492"/>
      <c r="AB28" s="492"/>
      <c r="AC28" s="492"/>
      <c r="AD28" s="492"/>
      <c r="AE28" s="492"/>
      <c r="AF28" s="492"/>
      <c r="AG28" s="492"/>
      <c r="AH28" s="492"/>
      <c r="AI28" s="492"/>
      <c r="AJ28" s="492"/>
      <c r="AK28" s="492"/>
      <c r="AL28" s="492"/>
      <c r="AM28" s="493"/>
      <c r="AN28" s="491">
        <f>'할부 입력'!Q19</f>
        <v>685200</v>
      </c>
      <c r="AO28" s="492"/>
      <c r="AP28" s="492"/>
      <c r="AQ28" s="492"/>
      <c r="AR28" s="492"/>
      <c r="AS28" s="492"/>
      <c r="AT28" s="492"/>
      <c r="AU28" s="492"/>
      <c r="AV28" s="492"/>
      <c r="AW28" s="492"/>
      <c r="AX28" s="492"/>
      <c r="AY28" s="492"/>
      <c r="AZ28" s="492"/>
      <c r="BA28" s="492"/>
      <c r="BB28" s="492"/>
      <c r="BC28" s="492"/>
      <c r="BD28" s="492"/>
      <c r="BE28" s="492"/>
      <c r="BF28" s="492"/>
      <c r="BG28" s="492"/>
      <c r="BH28" s="492"/>
      <c r="BI28" s="493"/>
      <c r="BJ28" s="491">
        <f>'할부 입력'!X19</f>
        <v>606900</v>
      </c>
      <c r="BK28" s="492"/>
      <c r="BL28" s="492"/>
      <c r="BM28" s="492"/>
      <c r="BN28" s="492"/>
      <c r="BO28" s="492"/>
      <c r="BP28" s="492"/>
      <c r="BQ28" s="492"/>
      <c r="BR28" s="492"/>
      <c r="BS28" s="492"/>
      <c r="BT28" s="492"/>
      <c r="BU28" s="492"/>
      <c r="BV28" s="492"/>
      <c r="BW28" s="492"/>
      <c r="BX28" s="492"/>
      <c r="BY28" s="492"/>
      <c r="BZ28" s="492"/>
      <c r="CA28" s="492"/>
      <c r="CB28" s="492"/>
      <c r="CC28" s="492"/>
      <c r="CD28" s="492"/>
      <c r="CE28" s="494"/>
      <c r="CF28" s="92"/>
    </row>
    <row r="29" spans="1:84" ht="48" customHeight="1" thickBot="1" x14ac:dyDescent="0.35">
      <c r="C29" s="477" t="s">
        <v>1310</v>
      </c>
      <c r="D29" s="478"/>
      <c r="E29" s="478"/>
      <c r="F29" s="478"/>
      <c r="G29" s="478"/>
      <c r="H29" s="478"/>
      <c r="I29" s="478"/>
      <c r="J29" s="478"/>
      <c r="K29" s="478"/>
      <c r="L29" s="478"/>
      <c r="M29" s="478"/>
      <c r="N29" s="478"/>
      <c r="O29" s="478"/>
      <c r="P29" s="478"/>
      <c r="Q29" s="478"/>
      <c r="R29" s="906">
        <f>'할부 입력'!J20</f>
        <v>6.4073227963808377E-2</v>
      </c>
      <c r="S29" s="901"/>
      <c r="T29" s="901"/>
      <c r="U29" s="901"/>
      <c r="V29" s="901"/>
      <c r="W29" s="901"/>
      <c r="X29" s="901"/>
      <c r="Y29" s="901"/>
      <c r="Z29" s="901"/>
      <c r="AA29" s="901"/>
      <c r="AB29" s="901"/>
      <c r="AC29" s="901"/>
      <c r="AD29" s="901"/>
      <c r="AE29" s="901"/>
      <c r="AF29" s="901"/>
      <c r="AG29" s="901"/>
      <c r="AH29" s="901"/>
      <c r="AI29" s="901"/>
      <c r="AJ29" s="901"/>
      <c r="AK29" s="901"/>
      <c r="AL29" s="901"/>
      <c r="AM29" s="902"/>
      <c r="AN29" s="906">
        <f>'할부 입력'!Q20</f>
        <v>6.3103598779096479E-2</v>
      </c>
      <c r="AO29" s="901"/>
      <c r="AP29" s="901"/>
      <c r="AQ29" s="901"/>
      <c r="AR29" s="901"/>
      <c r="AS29" s="901"/>
      <c r="AT29" s="901"/>
      <c r="AU29" s="901"/>
      <c r="AV29" s="901"/>
      <c r="AW29" s="901"/>
      <c r="AX29" s="901"/>
      <c r="AY29" s="901"/>
      <c r="AZ29" s="901"/>
      <c r="BA29" s="901"/>
      <c r="BB29" s="901"/>
      <c r="BC29" s="901"/>
      <c r="BD29" s="901"/>
      <c r="BE29" s="901"/>
      <c r="BF29" s="901"/>
      <c r="BG29" s="901"/>
      <c r="BH29" s="901"/>
      <c r="BI29" s="902"/>
      <c r="BJ29" s="906">
        <f>'할부 입력'!X20</f>
        <v>6.2557024166873851E-2</v>
      </c>
      <c r="BK29" s="901"/>
      <c r="BL29" s="901"/>
      <c r="BM29" s="901"/>
      <c r="BN29" s="901"/>
      <c r="BO29" s="901"/>
      <c r="BP29" s="901"/>
      <c r="BQ29" s="901"/>
      <c r="BR29" s="901"/>
      <c r="BS29" s="901"/>
      <c r="BT29" s="901"/>
      <c r="BU29" s="901"/>
      <c r="BV29" s="901"/>
      <c r="BW29" s="901"/>
      <c r="BX29" s="901"/>
      <c r="BY29" s="901"/>
      <c r="BZ29" s="901"/>
      <c r="CA29" s="901"/>
      <c r="CB29" s="901"/>
      <c r="CC29" s="901"/>
      <c r="CD29" s="901"/>
      <c r="CE29" s="901"/>
      <c r="CF29" s="121"/>
    </row>
    <row r="30" spans="1:84" ht="48" customHeight="1" thickBot="1" x14ac:dyDescent="0.35">
      <c r="C30" s="430" t="s">
        <v>1570</v>
      </c>
      <c r="D30" s="431"/>
      <c r="E30" s="431"/>
      <c r="F30" s="431"/>
      <c r="G30" s="431"/>
      <c r="H30" s="431"/>
      <c r="I30" s="431"/>
      <c r="J30" s="431"/>
      <c r="K30" s="431"/>
      <c r="L30" s="431"/>
      <c r="M30" s="431"/>
      <c r="N30" s="431"/>
      <c r="O30" s="431"/>
      <c r="P30" s="431"/>
      <c r="Q30" s="431"/>
      <c r="R30" s="456">
        <f>AA27+BR19+R32</f>
        <v>5181810</v>
      </c>
      <c r="S30" s="457"/>
      <c r="T30" s="457"/>
      <c r="U30" s="457"/>
      <c r="V30" s="457"/>
      <c r="W30" s="457"/>
      <c r="X30" s="457"/>
      <c r="Y30" s="457"/>
      <c r="Z30" s="457"/>
      <c r="AA30" s="457"/>
      <c r="AB30" s="457"/>
      <c r="AC30" s="457"/>
      <c r="AD30" s="457"/>
      <c r="AE30" s="457"/>
      <c r="AF30" s="457"/>
      <c r="AG30" s="457"/>
      <c r="AH30" s="457"/>
      <c r="AI30" s="457"/>
      <c r="AJ30" s="457"/>
      <c r="AK30" s="457"/>
      <c r="AL30" s="457"/>
      <c r="AM30" s="458"/>
      <c r="AN30" s="456">
        <f>AW27+BR19+AN32</f>
        <v>11281810</v>
      </c>
      <c r="AO30" s="457"/>
      <c r="AP30" s="457"/>
      <c r="AQ30" s="457"/>
      <c r="AR30" s="457"/>
      <c r="AS30" s="457"/>
      <c r="AT30" s="457"/>
      <c r="AU30" s="457"/>
      <c r="AV30" s="457"/>
      <c r="AW30" s="457"/>
      <c r="AX30" s="457"/>
      <c r="AY30" s="457"/>
      <c r="AZ30" s="457"/>
      <c r="BA30" s="457"/>
      <c r="BB30" s="457"/>
      <c r="BC30" s="457"/>
      <c r="BD30" s="457"/>
      <c r="BE30" s="457"/>
      <c r="BF30" s="457"/>
      <c r="BG30" s="457"/>
      <c r="BH30" s="457"/>
      <c r="BI30" s="458"/>
      <c r="BJ30" s="456">
        <f>BS27+BR19+BJ32</f>
        <v>9081810</v>
      </c>
      <c r="BK30" s="457"/>
      <c r="BL30" s="457"/>
      <c r="BM30" s="457"/>
      <c r="BN30" s="457"/>
      <c r="BO30" s="457"/>
      <c r="BP30" s="457"/>
      <c r="BQ30" s="457"/>
      <c r="BR30" s="457"/>
      <c r="BS30" s="457"/>
      <c r="BT30" s="457"/>
      <c r="BU30" s="457"/>
      <c r="BV30" s="457"/>
      <c r="BW30" s="457"/>
      <c r="BX30" s="457"/>
      <c r="BY30" s="457"/>
      <c r="BZ30" s="457"/>
      <c r="CA30" s="457"/>
      <c r="CB30" s="457"/>
      <c r="CC30" s="457"/>
      <c r="CD30" s="457"/>
      <c r="CE30" s="459"/>
      <c r="CF30" s="117"/>
    </row>
    <row r="31" spans="1:84" ht="48" customHeight="1" x14ac:dyDescent="0.3">
      <c r="C31" s="805" t="s">
        <v>1568</v>
      </c>
      <c r="D31" s="806"/>
      <c r="E31" s="806"/>
      <c r="F31" s="806"/>
      <c r="G31" s="806"/>
      <c r="H31" s="806"/>
      <c r="I31" s="806"/>
      <c r="J31" s="806"/>
      <c r="K31" s="806"/>
      <c r="L31" s="806"/>
      <c r="M31" s="806"/>
      <c r="N31" s="806"/>
      <c r="O31" s="806"/>
      <c r="P31" s="806"/>
      <c r="Q31" s="806"/>
      <c r="R31" s="903">
        <f>'할부 입력'!J21</f>
        <v>1</v>
      </c>
      <c r="S31" s="904"/>
      <c r="T31" s="904"/>
      <c r="U31" s="904"/>
      <c r="V31" s="904"/>
      <c r="W31" s="904"/>
      <c r="X31" s="904"/>
      <c r="Y31" s="904"/>
      <c r="Z31" s="904"/>
      <c r="AA31" s="904">
        <f>'할부 입력'!J21*'할부 입력'!J4</f>
        <v>35100000</v>
      </c>
      <c r="AB31" s="904"/>
      <c r="AC31" s="904"/>
      <c r="AD31" s="904"/>
      <c r="AE31" s="904"/>
      <c r="AF31" s="904"/>
      <c r="AG31" s="904"/>
      <c r="AH31" s="904"/>
      <c r="AI31" s="904"/>
      <c r="AJ31" s="904"/>
      <c r="AK31" s="904"/>
      <c r="AL31" s="904"/>
      <c r="AM31" s="905"/>
      <c r="AN31" s="903">
        <f>'할부 입력'!Q21</f>
        <v>1</v>
      </c>
      <c r="AO31" s="904"/>
      <c r="AP31" s="904"/>
      <c r="AQ31" s="904"/>
      <c r="AR31" s="904"/>
      <c r="AS31" s="904"/>
      <c r="AT31" s="904"/>
      <c r="AU31" s="904"/>
      <c r="AV31" s="904"/>
      <c r="AW31" s="496">
        <f>'할부 입력'!Q21*'할부 입력'!Q4</f>
        <v>29000000</v>
      </c>
      <c r="AX31" s="496"/>
      <c r="AY31" s="496"/>
      <c r="AZ31" s="496"/>
      <c r="BA31" s="496"/>
      <c r="BB31" s="496"/>
      <c r="BC31" s="496"/>
      <c r="BD31" s="496"/>
      <c r="BE31" s="496"/>
      <c r="BF31" s="496"/>
      <c r="BG31" s="496"/>
      <c r="BH31" s="496"/>
      <c r="BI31" s="497"/>
      <c r="BJ31" s="903">
        <f>'할부 입력'!X21</f>
        <v>1</v>
      </c>
      <c r="BK31" s="904"/>
      <c r="BL31" s="904"/>
      <c r="BM31" s="904"/>
      <c r="BN31" s="904"/>
      <c r="BO31" s="904"/>
      <c r="BP31" s="904"/>
      <c r="BQ31" s="904"/>
      <c r="BR31" s="904"/>
      <c r="BS31" s="496">
        <f>'할부 입력'!X21*'할부 입력'!X4</f>
        <v>31200000</v>
      </c>
      <c r="BT31" s="496"/>
      <c r="BU31" s="496"/>
      <c r="BV31" s="496"/>
      <c r="BW31" s="496"/>
      <c r="BX31" s="496"/>
      <c r="BY31" s="496"/>
      <c r="BZ31" s="496"/>
      <c r="CA31" s="496"/>
      <c r="CB31" s="496"/>
      <c r="CC31" s="496"/>
      <c r="CD31" s="496"/>
      <c r="CE31" s="496"/>
      <c r="CF31" s="122"/>
    </row>
    <row r="32" spans="1:84" ht="48" customHeight="1" x14ac:dyDescent="0.3">
      <c r="C32" s="477" t="s">
        <v>1480</v>
      </c>
      <c r="D32" s="478"/>
      <c r="E32" s="478"/>
      <c r="F32" s="478"/>
      <c r="G32" s="478"/>
      <c r="H32" s="478"/>
      <c r="I32" s="478"/>
      <c r="J32" s="478"/>
      <c r="K32" s="478"/>
      <c r="L32" s="478"/>
      <c r="M32" s="478"/>
      <c r="N32" s="478"/>
      <c r="O32" s="478"/>
      <c r="P32" s="478"/>
      <c r="Q32" s="478"/>
      <c r="R32" s="900">
        <f>'할부 입력'!J22</f>
        <v>0</v>
      </c>
      <c r="S32" s="901"/>
      <c r="T32" s="901"/>
      <c r="U32" s="901"/>
      <c r="V32" s="901"/>
      <c r="W32" s="901"/>
      <c r="X32" s="901"/>
      <c r="Y32" s="901"/>
      <c r="Z32" s="901"/>
      <c r="AA32" s="901"/>
      <c r="AB32" s="901"/>
      <c r="AC32" s="901"/>
      <c r="AD32" s="901"/>
      <c r="AE32" s="901"/>
      <c r="AF32" s="901"/>
      <c r="AG32" s="901"/>
      <c r="AH32" s="901"/>
      <c r="AI32" s="901"/>
      <c r="AJ32" s="901"/>
      <c r="AK32" s="901"/>
      <c r="AL32" s="901"/>
      <c r="AM32" s="902"/>
      <c r="AN32" s="900">
        <f>'할부 입력'!Q22</f>
        <v>0</v>
      </c>
      <c r="AO32" s="901"/>
      <c r="AP32" s="901"/>
      <c r="AQ32" s="901"/>
      <c r="AR32" s="901"/>
      <c r="AS32" s="901"/>
      <c r="AT32" s="901"/>
      <c r="AU32" s="901"/>
      <c r="AV32" s="901"/>
      <c r="AW32" s="901"/>
      <c r="AX32" s="901"/>
      <c r="AY32" s="901"/>
      <c r="AZ32" s="901"/>
      <c r="BA32" s="901"/>
      <c r="BB32" s="901"/>
      <c r="BC32" s="901"/>
      <c r="BD32" s="901"/>
      <c r="BE32" s="901"/>
      <c r="BF32" s="901"/>
      <c r="BG32" s="901"/>
      <c r="BH32" s="901"/>
      <c r="BI32" s="902"/>
      <c r="BJ32" s="900">
        <f>'할부 입력'!X22</f>
        <v>0</v>
      </c>
      <c r="BK32" s="901"/>
      <c r="BL32" s="901"/>
      <c r="BM32" s="901"/>
      <c r="BN32" s="901"/>
      <c r="BO32" s="901"/>
      <c r="BP32" s="901"/>
      <c r="BQ32" s="901"/>
      <c r="BR32" s="901"/>
      <c r="BS32" s="901"/>
      <c r="BT32" s="901"/>
      <c r="BU32" s="901"/>
      <c r="BV32" s="901"/>
      <c r="BW32" s="901"/>
      <c r="BX32" s="901"/>
      <c r="BY32" s="901"/>
      <c r="BZ32" s="901"/>
      <c r="CA32" s="901"/>
      <c r="CB32" s="901"/>
      <c r="CC32" s="901"/>
      <c r="CD32" s="901"/>
      <c r="CE32" s="901"/>
      <c r="CF32" s="121"/>
    </row>
    <row r="33" spans="2:105" ht="48" customHeight="1" thickBot="1" x14ac:dyDescent="0.35">
      <c r="C33" s="524" t="str">
        <f>IF('할부 입력'!BB8=TRUE,"잔존가치",IF('할부 입력'!BB11=TRUE,"잔존가치",IF('할부 입력'!BB14=TRUE,"잔존가치","")))</f>
        <v/>
      </c>
      <c r="D33" s="525"/>
      <c r="E33" s="525"/>
      <c r="F33" s="525"/>
      <c r="G33" s="525"/>
      <c r="H33" s="525"/>
      <c r="I33" s="525"/>
      <c r="J33" s="525"/>
      <c r="K33" s="525"/>
      <c r="L33" s="525"/>
      <c r="M33" s="525"/>
      <c r="N33" s="525"/>
      <c r="O33" s="525"/>
      <c r="P33" s="525"/>
      <c r="Q33" s="525"/>
      <c r="R33" s="807">
        <f>'할부 내부'!H7</f>
        <v>0</v>
      </c>
      <c r="S33" s="808"/>
      <c r="T33" s="808"/>
      <c r="U33" s="808"/>
      <c r="V33" s="808"/>
      <c r="W33" s="808"/>
      <c r="X33" s="808"/>
      <c r="Y33" s="808"/>
      <c r="Z33" s="808"/>
      <c r="AA33" s="809">
        <f>'할부 내부'!I7</f>
        <v>0</v>
      </c>
      <c r="AB33" s="809"/>
      <c r="AC33" s="809"/>
      <c r="AD33" s="809"/>
      <c r="AE33" s="809"/>
      <c r="AF33" s="809"/>
      <c r="AG33" s="809"/>
      <c r="AH33" s="809"/>
      <c r="AI33" s="809"/>
      <c r="AJ33" s="809"/>
      <c r="AK33" s="809"/>
      <c r="AL33" s="809"/>
      <c r="AM33" s="810"/>
      <c r="AN33" s="807">
        <f>'할부 내부'!M7</f>
        <v>0</v>
      </c>
      <c r="AO33" s="808"/>
      <c r="AP33" s="808"/>
      <c r="AQ33" s="808"/>
      <c r="AR33" s="808"/>
      <c r="AS33" s="808"/>
      <c r="AT33" s="808"/>
      <c r="AU33" s="808"/>
      <c r="AV33" s="808"/>
      <c r="AW33" s="809">
        <f>'할부 내부'!N7</f>
        <v>0</v>
      </c>
      <c r="AX33" s="809"/>
      <c r="AY33" s="809"/>
      <c r="AZ33" s="809"/>
      <c r="BA33" s="809"/>
      <c r="BB33" s="809"/>
      <c r="BC33" s="809"/>
      <c r="BD33" s="809"/>
      <c r="BE33" s="809"/>
      <c r="BF33" s="809"/>
      <c r="BG33" s="809"/>
      <c r="BH33" s="809"/>
      <c r="BI33" s="810"/>
      <c r="BJ33" s="807">
        <f>'할부 내부'!R7</f>
        <v>0</v>
      </c>
      <c r="BK33" s="808"/>
      <c r="BL33" s="808"/>
      <c r="BM33" s="808"/>
      <c r="BN33" s="808"/>
      <c r="BO33" s="808"/>
      <c r="BP33" s="808"/>
      <c r="BQ33" s="808"/>
      <c r="BR33" s="808"/>
      <c r="BS33" s="809">
        <f>'할부 내부'!S7</f>
        <v>0</v>
      </c>
      <c r="BT33" s="809"/>
      <c r="BU33" s="809"/>
      <c r="BV33" s="809"/>
      <c r="BW33" s="809"/>
      <c r="BX33" s="809"/>
      <c r="BY33" s="809"/>
      <c r="BZ33" s="809"/>
      <c r="CA33" s="809"/>
      <c r="CB33" s="809"/>
      <c r="CC33" s="809"/>
      <c r="CD33" s="809"/>
      <c r="CE33" s="809"/>
      <c r="CF33" s="121"/>
    </row>
    <row r="34" spans="2:105" ht="29.25" customHeight="1" thickBot="1" x14ac:dyDescent="0.35">
      <c r="C34" s="93"/>
      <c r="D34" s="93"/>
      <c r="E34" s="93"/>
      <c r="F34" s="93"/>
      <c r="G34" s="93"/>
      <c r="H34" s="93"/>
      <c r="I34" s="93"/>
      <c r="J34" s="93"/>
      <c r="K34" s="93"/>
      <c r="L34" s="93"/>
      <c r="M34" s="93"/>
      <c r="N34" s="93"/>
      <c r="O34" s="93"/>
      <c r="P34" s="93"/>
      <c r="Q34" s="93"/>
    </row>
    <row r="35" spans="2:105" ht="49.5" customHeight="1" thickBot="1" x14ac:dyDescent="0.35">
      <c r="C35" s="534" t="s">
        <v>1529</v>
      </c>
      <c r="D35" s="535"/>
      <c r="E35" s="535"/>
      <c r="F35" s="535"/>
      <c r="G35" s="535"/>
      <c r="H35" s="535"/>
      <c r="I35" s="535"/>
      <c r="J35" s="535"/>
      <c r="K35" s="535"/>
      <c r="L35" s="535"/>
      <c r="M35" s="535"/>
      <c r="N35" s="535"/>
      <c r="O35" s="535"/>
      <c r="P35" s="535"/>
      <c r="Q35" s="535"/>
      <c r="R35" s="787"/>
      <c r="S35" s="788"/>
      <c r="T35" s="788"/>
      <c r="U35" s="788"/>
      <c r="V35" s="788"/>
      <c r="W35" s="788"/>
      <c r="X35" s="788"/>
      <c r="Y35" s="788"/>
      <c r="Z35" s="788"/>
      <c r="AA35" s="788"/>
      <c r="AB35" s="788"/>
      <c r="AC35" s="788"/>
      <c r="AD35" s="788"/>
      <c r="AE35" s="788"/>
      <c r="AF35" s="788"/>
      <c r="AG35" s="788"/>
      <c r="AH35" s="788"/>
      <c r="AI35" s="788"/>
      <c r="AJ35" s="788"/>
      <c r="AK35" s="788"/>
      <c r="AL35" s="788"/>
      <c r="AM35" s="788"/>
      <c r="AN35" s="788"/>
      <c r="AO35" s="788"/>
      <c r="AP35" s="788"/>
      <c r="AQ35" s="788"/>
      <c r="AR35" s="788"/>
      <c r="AS35" s="788"/>
      <c r="AT35" s="788"/>
      <c r="AU35" s="788"/>
      <c r="AV35" s="788"/>
      <c r="AW35" s="788"/>
      <c r="AX35" s="788"/>
      <c r="AY35" s="788"/>
      <c r="AZ35" s="788"/>
      <c r="BA35" s="788"/>
      <c r="BB35" s="788"/>
      <c r="BC35" s="788"/>
      <c r="BD35" s="788"/>
      <c r="BE35" s="788"/>
      <c r="BF35" s="788"/>
      <c r="BG35" s="788"/>
      <c r="BH35" s="788"/>
      <c r="BI35" s="788"/>
      <c r="BJ35" s="788"/>
      <c r="BK35" s="788"/>
      <c r="BL35" s="788"/>
      <c r="BM35" s="788"/>
      <c r="BN35" s="788"/>
      <c r="BO35" s="788"/>
      <c r="BP35" s="788"/>
      <c r="BQ35" s="788"/>
      <c r="BR35" s="788"/>
      <c r="BS35" s="788"/>
      <c r="BT35" s="788"/>
      <c r="BU35" s="788"/>
      <c r="BV35" s="788"/>
      <c r="BW35" s="788"/>
      <c r="BX35" s="788"/>
      <c r="BY35" s="788"/>
      <c r="BZ35" s="788"/>
      <c r="CA35" s="788"/>
      <c r="CB35" s="788"/>
      <c r="CC35" s="788"/>
      <c r="CD35" s="788"/>
      <c r="CE35" s="788"/>
      <c r="DA35" s="375"/>
    </row>
    <row r="36" spans="2:105" ht="29.25" customHeight="1" thickBot="1" x14ac:dyDescent="0.35"/>
    <row r="37" spans="2:105" ht="48.75" customHeight="1" x14ac:dyDescent="0.3">
      <c r="C37" s="526" t="s">
        <v>1543</v>
      </c>
      <c r="D37" s="526"/>
      <c r="E37" s="526"/>
      <c r="F37" s="526"/>
      <c r="G37" s="526"/>
      <c r="H37" s="526"/>
      <c r="I37" s="526"/>
      <c r="J37" s="526"/>
      <c r="K37" s="526"/>
      <c r="L37" s="526"/>
      <c r="M37" s="526"/>
      <c r="N37" s="526"/>
      <c r="O37" s="526"/>
      <c r="P37" s="526"/>
      <c r="Q37" s="526"/>
      <c r="R37" s="526"/>
      <c r="S37" s="526"/>
      <c r="T37" s="526"/>
      <c r="U37" s="526"/>
      <c r="V37" s="526"/>
      <c r="W37" s="526"/>
      <c r="X37" s="526"/>
      <c r="Y37" s="526"/>
      <c r="Z37" s="526"/>
      <c r="AA37" s="526"/>
      <c r="AB37" s="526"/>
      <c r="AC37" s="526"/>
      <c r="AD37" s="526"/>
      <c r="AE37" s="526"/>
      <c r="AF37" s="526"/>
      <c r="AG37" s="526"/>
      <c r="AH37" s="526"/>
      <c r="AI37" s="526"/>
      <c r="AJ37" s="526"/>
      <c r="AK37" s="526"/>
      <c r="AL37" s="526"/>
      <c r="AM37" s="526"/>
      <c r="AN37" s="526"/>
      <c r="AO37" s="526"/>
      <c r="AP37" s="526"/>
      <c r="AQ37" s="526"/>
      <c r="AR37" s="526"/>
      <c r="AS37" s="526"/>
      <c r="AT37" s="526"/>
      <c r="AU37" s="526"/>
      <c r="AV37" s="526"/>
      <c r="AW37" s="526"/>
      <c r="AX37" s="526"/>
      <c r="AY37" s="526"/>
      <c r="AZ37" s="526"/>
      <c r="BA37" s="526"/>
      <c r="BB37" s="526"/>
      <c r="BC37" s="526"/>
      <c r="BD37" s="526"/>
      <c r="BE37" s="526"/>
      <c r="BF37" s="526"/>
      <c r="BG37" s="526"/>
      <c r="BH37" s="526"/>
      <c r="BI37" s="526"/>
      <c r="BJ37" s="526"/>
      <c r="BK37" s="526"/>
      <c r="BL37" s="526"/>
      <c r="BM37" s="526"/>
      <c r="BN37" s="526"/>
      <c r="BO37" s="526"/>
      <c r="BP37" s="526"/>
      <c r="BQ37" s="526"/>
      <c r="BR37" s="526"/>
      <c r="BS37" s="526"/>
      <c r="BT37" s="526"/>
      <c r="BU37" s="526"/>
      <c r="BV37" s="526"/>
      <c r="BW37" s="526"/>
      <c r="BX37" s="526"/>
      <c r="BY37" s="526"/>
      <c r="BZ37" s="526"/>
      <c r="CA37" s="526"/>
      <c r="CB37" s="526"/>
      <c r="CC37" s="526"/>
      <c r="CD37" s="526"/>
      <c r="CE37" s="526"/>
      <c r="CF37" s="146"/>
      <c r="CG37" s="95"/>
    </row>
    <row r="38" spans="2:105" ht="48.75" customHeight="1" x14ac:dyDescent="0.3">
      <c r="B38" s="83"/>
      <c r="C38" s="529" t="s">
        <v>1580</v>
      </c>
      <c r="D38" s="529"/>
      <c r="E38" s="529"/>
      <c r="F38" s="529"/>
      <c r="G38" s="529"/>
      <c r="H38" s="529"/>
      <c r="I38" s="529"/>
      <c r="J38" s="529"/>
      <c r="K38" s="529"/>
      <c r="L38" s="529"/>
      <c r="M38" s="529"/>
      <c r="N38" s="529"/>
      <c r="O38" s="529"/>
      <c r="P38" s="529"/>
      <c r="Q38" s="529"/>
      <c r="R38" s="529"/>
      <c r="S38" s="529"/>
      <c r="T38" s="529"/>
      <c r="U38" s="529"/>
      <c r="V38" s="529"/>
      <c r="W38" s="529"/>
      <c r="X38" s="529"/>
      <c r="Y38" s="529"/>
      <c r="Z38" s="529"/>
      <c r="AA38" s="529"/>
      <c r="AB38" s="529"/>
      <c r="AC38" s="529"/>
      <c r="AD38" s="529"/>
      <c r="AE38" s="529"/>
      <c r="AF38" s="529"/>
      <c r="AG38" s="529"/>
      <c r="AH38" s="529"/>
      <c r="AI38" s="529"/>
      <c r="AJ38" s="529"/>
      <c r="AK38" s="529"/>
      <c r="AL38" s="529"/>
      <c r="AM38" s="529"/>
      <c r="AN38" s="529"/>
      <c r="AO38" s="529"/>
      <c r="AP38" s="529"/>
      <c r="AQ38" s="529"/>
      <c r="AR38" s="529"/>
      <c r="AS38" s="529"/>
      <c r="AT38" s="529"/>
      <c r="AU38" s="529"/>
      <c r="AV38" s="529"/>
      <c r="AW38" s="529"/>
      <c r="AX38" s="529"/>
      <c r="AY38" s="529"/>
      <c r="AZ38" s="529"/>
      <c r="BA38" s="529"/>
      <c r="BB38" s="529"/>
      <c r="BC38" s="529"/>
      <c r="BD38" s="529"/>
      <c r="BE38" s="529"/>
      <c r="BF38" s="529"/>
      <c r="BG38" s="529"/>
      <c r="BH38" s="529"/>
      <c r="BI38" s="529"/>
      <c r="BJ38" s="529"/>
      <c r="BK38" s="529"/>
      <c r="BL38" s="529"/>
      <c r="BM38" s="529"/>
      <c r="BN38" s="529"/>
      <c r="BO38" s="529"/>
      <c r="BP38" s="529"/>
      <c r="BQ38" s="529"/>
      <c r="BR38" s="529"/>
      <c r="BS38" s="529"/>
      <c r="BT38" s="529"/>
      <c r="BU38" s="529"/>
      <c r="BV38" s="529"/>
      <c r="BW38" s="529"/>
      <c r="BX38" s="529"/>
      <c r="BY38" s="529"/>
      <c r="BZ38" s="529"/>
      <c r="CA38" s="529"/>
      <c r="CB38" s="529"/>
      <c r="CC38" s="529"/>
      <c r="CD38" s="529"/>
      <c r="CE38" s="529"/>
      <c r="CF38" s="146"/>
      <c r="CG38" s="95"/>
    </row>
    <row r="39" spans="2:105" ht="48.75" customHeight="1" thickBot="1" x14ac:dyDescent="0.35">
      <c r="B39" s="83"/>
      <c r="C39" s="528" t="s">
        <v>1581</v>
      </c>
      <c r="D39" s="528"/>
      <c r="E39" s="528"/>
      <c r="F39" s="528"/>
      <c r="G39" s="528"/>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528"/>
      <c r="AF39" s="528"/>
      <c r="AG39" s="528"/>
      <c r="AH39" s="528"/>
      <c r="AI39" s="528"/>
      <c r="AJ39" s="528"/>
      <c r="AK39" s="528"/>
      <c r="AL39" s="528"/>
      <c r="AM39" s="528"/>
      <c r="AN39" s="528"/>
      <c r="AO39" s="528"/>
      <c r="AP39" s="528"/>
      <c r="AQ39" s="528"/>
      <c r="AR39" s="528"/>
      <c r="AS39" s="528"/>
      <c r="AT39" s="528"/>
      <c r="AU39" s="528"/>
      <c r="AV39" s="528"/>
      <c r="AW39" s="528"/>
      <c r="AX39" s="528"/>
      <c r="AY39" s="528"/>
      <c r="AZ39" s="528"/>
      <c r="BA39" s="528"/>
      <c r="BB39" s="528"/>
      <c r="BC39" s="528"/>
      <c r="BD39" s="528"/>
      <c r="BE39" s="528"/>
      <c r="BF39" s="528"/>
      <c r="BG39" s="528"/>
      <c r="BH39" s="528"/>
      <c r="BI39" s="528"/>
      <c r="BJ39" s="528"/>
      <c r="BK39" s="528"/>
      <c r="BL39" s="528"/>
      <c r="BM39" s="528"/>
      <c r="BN39" s="528"/>
      <c r="BO39" s="528"/>
      <c r="BP39" s="528"/>
      <c r="BQ39" s="528"/>
      <c r="BR39" s="528"/>
      <c r="BS39" s="528"/>
      <c r="BT39" s="528"/>
      <c r="BU39" s="528"/>
      <c r="BV39" s="528"/>
      <c r="BW39" s="528"/>
      <c r="BX39" s="528"/>
      <c r="BY39" s="528"/>
      <c r="BZ39" s="528"/>
      <c r="CA39" s="528"/>
      <c r="CB39" s="528"/>
      <c r="CC39" s="528"/>
      <c r="CD39" s="528"/>
      <c r="CE39" s="528"/>
      <c r="CF39" s="146"/>
      <c r="CG39" s="95"/>
    </row>
    <row r="40" spans="2:105" ht="39.75" customHeight="1" x14ac:dyDescent="0.45">
      <c r="C40" s="811" t="s">
        <v>1545</v>
      </c>
      <c r="D40" s="811"/>
      <c r="E40" s="811"/>
      <c r="F40" s="811"/>
      <c r="G40" s="811"/>
      <c r="H40" s="811"/>
      <c r="I40" s="811"/>
      <c r="J40" s="811"/>
      <c r="K40" s="811"/>
      <c r="L40" s="811"/>
      <c r="M40" s="811"/>
      <c r="N40" s="811"/>
      <c r="O40" s="811"/>
      <c r="P40" s="811"/>
      <c r="Q40" s="811"/>
      <c r="R40" s="811"/>
      <c r="S40" s="811"/>
      <c r="T40" s="811"/>
      <c r="U40" s="811"/>
      <c r="V40" s="811"/>
      <c r="W40" s="811"/>
      <c r="X40" s="811"/>
      <c r="Y40" s="811"/>
      <c r="Z40" s="811"/>
      <c r="AA40" s="811"/>
      <c r="AB40" s="811"/>
      <c r="AC40" s="811"/>
      <c r="AD40" s="811"/>
      <c r="AE40" s="811"/>
      <c r="AF40" s="811"/>
      <c r="AG40" s="811"/>
      <c r="AH40" s="811"/>
      <c r="AI40" s="811"/>
      <c r="AJ40" s="811"/>
      <c r="AK40" s="811"/>
      <c r="AL40" s="811"/>
      <c r="AM40" s="811"/>
      <c r="AN40" s="811"/>
      <c r="AO40" s="811"/>
      <c r="AP40" s="811"/>
      <c r="AQ40" s="811"/>
      <c r="AR40" s="811"/>
      <c r="AS40" s="811"/>
      <c r="AT40" s="811"/>
      <c r="AU40" s="811"/>
      <c r="AV40" s="811"/>
      <c r="AW40" s="811"/>
      <c r="AX40" s="811"/>
      <c r="AY40" s="811"/>
      <c r="AZ40" s="811"/>
      <c r="BA40" s="811"/>
      <c r="BB40" s="811"/>
      <c r="BC40" s="811"/>
      <c r="BD40" s="811"/>
      <c r="BE40" s="811"/>
      <c r="BF40" s="811"/>
      <c r="BG40" s="811"/>
      <c r="BH40" s="811"/>
      <c r="BI40" s="811"/>
      <c r="BJ40" s="811"/>
      <c r="BK40" s="811"/>
      <c r="BL40" s="811"/>
      <c r="BM40" s="811"/>
      <c r="BN40" s="811"/>
      <c r="BO40" s="811"/>
      <c r="BP40" s="811"/>
      <c r="BQ40" s="811"/>
      <c r="BR40" s="811"/>
      <c r="BS40" s="811"/>
      <c r="BT40" s="811"/>
      <c r="BU40" s="811"/>
      <c r="BV40" s="811"/>
      <c r="BW40" s="811"/>
      <c r="BX40" s="811"/>
      <c r="BY40" s="811"/>
      <c r="BZ40" s="811"/>
      <c r="CA40" s="811"/>
      <c r="CB40" s="811"/>
      <c r="CC40" s="811"/>
      <c r="CD40" s="811"/>
      <c r="CE40" s="811"/>
      <c r="CF40" s="150"/>
    </row>
  </sheetData>
  <sheetProtection algorithmName="SHA-512" hashValue="BsRjwoQip7XLrLip6A0KX04Au1j24XtkQEwahhFSCbJkqfTvOuL1IzJ877XUBKxnwaqWUTDAlEGE+thJ3xDFaA==" saltValue="lBNftRF+hHJUVbXYkVj03g==" spinCount="100000" sheet="1" objects="1" scenarios="1"/>
  <mergeCells count="84">
    <mergeCell ref="AZ11:BM11"/>
    <mergeCell ref="BN11:CE11"/>
    <mergeCell ref="BD19:BQ20"/>
    <mergeCell ref="BR19:CE20"/>
    <mergeCell ref="AW4:BG4"/>
    <mergeCell ref="C5:AZ7"/>
    <mergeCell ref="BQ5:CE5"/>
    <mergeCell ref="BS6:BV6"/>
    <mergeCell ref="BW6:CE6"/>
    <mergeCell ref="C13:O13"/>
    <mergeCell ref="P13:AB13"/>
    <mergeCell ref="AC13:BV13"/>
    <mergeCell ref="BW13:CE13"/>
    <mergeCell ref="C14:O14"/>
    <mergeCell ref="P14:AO14"/>
    <mergeCell ref="AP14:BC14"/>
    <mergeCell ref="BD14:CE14"/>
    <mergeCell ref="BD15:CE15"/>
    <mergeCell ref="C19:O19"/>
    <mergeCell ref="P19:AB19"/>
    <mergeCell ref="AC19:AO19"/>
    <mergeCell ref="AP19:BC19"/>
    <mergeCell ref="C20:O20"/>
    <mergeCell ref="P20:AB20"/>
    <mergeCell ref="AC20:AO20"/>
    <mergeCell ref="AP20:BC20"/>
    <mergeCell ref="C15:O15"/>
    <mergeCell ref="P15:AO15"/>
    <mergeCell ref="AP15:BC15"/>
    <mergeCell ref="C24:Q24"/>
    <mergeCell ref="R24:AM24"/>
    <mergeCell ref="AN24:BI24"/>
    <mergeCell ref="BJ24:CE24"/>
    <mergeCell ref="C25:Q25"/>
    <mergeCell ref="R25:AM25"/>
    <mergeCell ref="AN25:BI25"/>
    <mergeCell ref="BJ25:CE25"/>
    <mergeCell ref="C29:Q29"/>
    <mergeCell ref="R29:AM29"/>
    <mergeCell ref="AN29:BI29"/>
    <mergeCell ref="BJ29:CE29"/>
    <mergeCell ref="C26:Q26"/>
    <mergeCell ref="R26:AM26"/>
    <mergeCell ref="AN26:BI26"/>
    <mergeCell ref="BJ26:CE26"/>
    <mergeCell ref="C27:Q27"/>
    <mergeCell ref="R27:Z27"/>
    <mergeCell ref="AA27:AM27"/>
    <mergeCell ref="AN27:AV27"/>
    <mergeCell ref="AW27:BI27"/>
    <mergeCell ref="BJ27:BR27"/>
    <mergeCell ref="BS27:CE27"/>
    <mergeCell ref="C28:Q28"/>
    <mergeCell ref="R28:AM28"/>
    <mergeCell ref="AN28:BI28"/>
    <mergeCell ref="BJ28:CE28"/>
    <mergeCell ref="AA33:AM33"/>
    <mergeCell ref="AN33:AV33"/>
    <mergeCell ref="AW33:BI33"/>
    <mergeCell ref="BJ33:BR33"/>
    <mergeCell ref="R31:Z31"/>
    <mergeCell ref="BS31:CE31"/>
    <mergeCell ref="C30:Q30"/>
    <mergeCell ref="R30:AM30"/>
    <mergeCell ref="AN30:BI30"/>
    <mergeCell ref="BJ30:CE30"/>
    <mergeCell ref="AA31:AM31"/>
    <mergeCell ref="BJ31:BR31"/>
    <mergeCell ref="C35:Q35"/>
    <mergeCell ref="R35:CE35"/>
    <mergeCell ref="C40:CE40"/>
    <mergeCell ref="C31:Q31"/>
    <mergeCell ref="BS33:CE33"/>
    <mergeCell ref="C37:CE37"/>
    <mergeCell ref="C38:CE38"/>
    <mergeCell ref="C39:CE39"/>
    <mergeCell ref="C32:Q32"/>
    <mergeCell ref="R32:AM32"/>
    <mergeCell ref="AN32:BI32"/>
    <mergeCell ref="BJ32:CE32"/>
    <mergeCell ref="C33:Q33"/>
    <mergeCell ref="R33:Z33"/>
    <mergeCell ref="AW31:BI31"/>
    <mergeCell ref="AN31:AV31"/>
  </mergeCells>
  <phoneticPr fontId="1" type="noConversion"/>
  <pageMargins left="0.7" right="0.7" top="0.75" bottom="0.75" header="0.3" footer="0.3"/>
  <pageSetup paperSize="9" scale="4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locked="0" defaultSize="0" print="0" autoFill="0" autoLine="0" autoPict="0">
                <anchor moveWithCells="1" sizeWithCells="1">
                  <from>
                    <xdr:col>54</xdr:col>
                    <xdr:colOff>152400</xdr:colOff>
                    <xdr:row>23</xdr:row>
                    <xdr:rowOff>123825</xdr:rowOff>
                  </from>
                  <to>
                    <xdr:col>57</xdr:col>
                    <xdr:colOff>47625</xdr:colOff>
                    <xdr:row>23</xdr:row>
                    <xdr:rowOff>523875</xdr:rowOff>
                  </to>
                </anchor>
              </controlPr>
            </control>
          </mc:Choice>
        </mc:AlternateContent>
        <mc:AlternateContent xmlns:mc="http://schemas.openxmlformats.org/markup-compatibility/2006">
          <mc:Choice Requires="x14">
            <control shapeId="20482" r:id="rId5" name="Check Box 2">
              <controlPr locked="0" defaultSize="0" print="0" autoFill="0" autoLine="0" autoPict="0">
                <anchor moveWithCells="1" sizeWithCells="1">
                  <from>
                    <xdr:col>77</xdr:col>
                    <xdr:colOff>47625</xdr:colOff>
                    <xdr:row>23</xdr:row>
                    <xdr:rowOff>114300</xdr:rowOff>
                  </from>
                  <to>
                    <xdr:col>79</xdr:col>
                    <xdr:colOff>123825</xdr:colOff>
                    <xdr:row>23</xdr:row>
                    <xdr:rowOff>514350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5" id="{A48561A5-7AD0-400B-B6EC-6C8D29CF59F8}">
            <xm:f>'금융리스 입력'!$BB$11=FALSE</xm:f>
            <x14:dxf>
              <font>
                <color theme="0"/>
              </font>
            </x14:dxf>
          </x14:cfRule>
          <xm:sqref>AN31:BI33 AN25:BI27</xm:sqref>
        </x14:conditionalFormatting>
        <x14:conditionalFormatting xmlns:xm="http://schemas.microsoft.com/office/excel/2006/main">
          <x14:cfRule type="expression" priority="14" id="{A6301CAE-EC9A-4E2A-ABAC-E93217C69397}">
            <xm:f>'금융리스 입력'!$BB$11=FALSE</xm:f>
            <x14:dxf>
              <font>
                <color theme="4" tint="0.59996337778862885"/>
              </font>
            </x14:dxf>
          </x14:cfRule>
          <xm:sqref>AN28:BI28 AN30:BI30</xm:sqref>
        </x14:conditionalFormatting>
        <x14:conditionalFormatting xmlns:xm="http://schemas.microsoft.com/office/excel/2006/main">
          <x14:cfRule type="expression" priority="13" id="{42EBB1CE-EAFD-4D2F-917C-8DDFAAF12CC2}">
            <xm:f>'금융리스 입력'!$BB$16=FALSE</xm:f>
            <x14:dxf>
              <font>
                <color theme="0"/>
              </font>
            </x14:dxf>
          </x14:cfRule>
          <xm:sqref>BJ25:CE27 BJ31:CE33</xm:sqref>
        </x14:conditionalFormatting>
        <x14:conditionalFormatting xmlns:xm="http://schemas.microsoft.com/office/excel/2006/main">
          <x14:cfRule type="expression" priority="12" id="{92BEEB93-D0AC-40F0-8E9D-32982F5A28A5}">
            <xm:f>'금융리스 입력'!$BB$16=FALSE</xm:f>
            <x14:dxf>
              <font>
                <color theme="4" tint="0.59996337778862885"/>
              </font>
            </x14:dxf>
          </x14:cfRule>
          <xm:sqref>BJ28:CE28 BJ30:CE30</xm:sqref>
        </x14:conditionalFormatting>
        <x14:conditionalFormatting xmlns:xm="http://schemas.microsoft.com/office/excel/2006/main">
          <x14:cfRule type="expression" priority="11" id="{F31EDC26-1150-4155-A770-815E366CA4F7}">
            <xm:f>'할부 입력'!$BB$8=FALSE</xm:f>
            <x14:dxf>
              <font>
                <color theme="0"/>
              </font>
            </x14:dxf>
          </x14:cfRule>
          <xm:sqref>R33:AM33</xm:sqref>
        </x14:conditionalFormatting>
        <x14:conditionalFormatting xmlns:xm="http://schemas.microsoft.com/office/excel/2006/main">
          <x14:cfRule type="expression" priority="10" id="{351876CC-3B6C-4781-AB09-0EB9D9FB2358}">
            <xm:f>'할부 입력'!$BB$11=FALSE</xm:f>
            <x14:dxf>
              <font>
                <color theme="0"/>
              </font>
            </x14:dxf>
          </x14:cfRule>
          <xm:sqref>AN33:BI33</xm:sqref>
        </x14:conditionalFormatting>
        <x14:conditionalFormatting xmlns:xm="http://schemas.microsoft.com/office/excel/2006/main">
          <x14:cfRule type="expression" priority="9" id="{517A5C0F-A03F-4239-9352-36306B0F4945}">
            <xm:f>'할부 입력'!$BB$14=FALSE</xm:f>
            <x14:dxf>
              <font>
                <color theme="0"/>
              </font>
            </x14:dxf>
          </x14:cfRule>
          <xm:sqref>BJ33:CE33</xm:sqref>
        </x14:conditionalFormatting>
        <x14:conditionalFormatting xmlns:xm="http://schemas.microsoft.com/office/excel/2006/main">
          <x14:cfRule type="expression" priority="6" id="{5757D186-EE00-4DAC-A142-CE3EC8551955}">
            <xm:f>'금융리스 입력'!$BB$11=FALSE</xm:f>
            <x14:dxf>
              <font>
                <color theme="0"/>
              </font>
            </x14:dxf>
          </x14:cfRule>
          <xm:sqref>AW31:BI31</xm:sqref>
        </x14:conditionalFormatting>
        <x14:conditionalFormatting xmlns:xm="http://schemas.microsoft.com/office/excel/2006/main">
          <x14:cfRule type="expression" priority="5" id="{D0273A1D-42CD-41C1-BA83-5126A955F26B}">
            <xm:f>'금융리스 입력'!$BB$16=FALSE</xm:f>
            <x14:dxf>
              <font>
                <color theme="0"/>
              </font>
            </x14:dxf>
          </x14:cfRule>
          <xm:sqref>BS31:CE31</xm:sqref>
        </x14:conditionalFormatting>
        <x14:conditionalFormatting xmlns:xm="http://schemas.microsoft.com/office/excel/2006/main">
          <x14:cfRule type="expression" priority="2" id="{932BA758-3EC5-48F2-A9B3-5515E5CE8142}">
            <xm:f>'금융리스 입력'!$BB$11=FALSE</xm:f>
            <x14:dxf>
              <font>
                <color theme="0"/>
              </font>
            </x14:dxf>
          </x14:cfRule>
          <xm:sqref>AN29:BI29</xm:sqref>
        </x14:conditionalFormatting>
        <x14:conditionalFormatting xmlns:xm="http://schemas.microsoft.com/office/excel/2006/main">
          <x14:cfRule type="expression" priority="1" id="{5259EE27-A0A4-4D23-ADE3-0721FA39BD6C}">
            <xm:f>'금융리스 입력'!$BB$16=FALSE</xm:f>
            <x14:dxf>
              <font>
                <color theme="0"/>
              </font>
            </x14:dxf>
          </x14:cfRule>
          <xm:sqref>BJ29:CE29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00B0F0"/>
  </sheetPr>
  <dimension ref="A1:BD28"/>
  <sheetViews>
    <sheetView zoomScale="110" zoomScaleNormal="110" workbookViewId="0">
      <selection activeCell="Q42" sqref="Q42"/>
    </sheetView>
  </sheetViews>
  <sheetFormatPr defaultRowHeight="17.25" customHeight="1" x14ac:dyDescent="0.3"/>
  <cols>
    <col min="1" max="1" width="3.75" style="96" customWidth="1"/>
    <col min="2" max="2" width="8.75" style="96" customWidth="1"/>
    <col min="3" max="3" width="9.125" style="96" customWidth="1"/>
    <col min="4" max="5" width="8.625" style="96" customWidth="1"/>
    <col min="6" max="6" width="8.5" style="96" customWidth="1"/>
    <col min="7" max="7" width="14.25" style="96" customWidth="1"/>
    <col min="8" max="8" width="4" style="96" customWidth="1"/>
    <col min="9" max="9" width="13.375" style="96" customWidth="1"/>
    <col min="10" max="11" width="7.125" style="96" customWidth="1"/>
    <col min="12" max="12" width="2.75" style="96" customWidth="1"/>
    <col min="13" max="13" width="7.125" style="96" customWidth="1"/>
    <col min="14" max="14" width="7.125" style="97" customWidth="1"/>
    <col min="15" max="15" width="2.625" style="96" customWidth="1"/>
    <col min="16" max="16" width="13.375" style="96" customWidth="1"/>
    <col min="17" max="18" width="7.125" style="96" customWidth="1"/>
    <col min="19" max="19" width="2.75" style="96" customWidth="1"/>
    <col min="20" max="20" width="7.125" style="96" customWidth="1"/>
    <col min="21" max="21" width="7.125" style="97" customWidth="1"/>
    <col min="22" max="22" width="2.625" style="96" customWidth="1"/>
    <col min="23" max="23" width="13.375" style="96" customWidth="1"/>
    <col min="24" max="25" width="7.125" style="96" customWidth="1"/>
    <col min="26" max="26" width="2.75" style="96" customWidth="1"/>
    <col min="27" max="27" width="7.125" style="96" customWidth="1"/>
    <col min="28" max="28" width="7.125" style="97" customWidth="1"/>
    <col min="29" max="29" width="1.375" style="98" customWidth="1"/>
    <col min="30" max="30" width="10.5" style="98" customWidth="1"/>
    <col min="31" max="31" width="10.5" style="126" customWidth="1"/>
    <col min="32" max="32" width="10.5" style="127" customWidth="1"/>
    <col min="33" max="33" width="10.5" style="98" customWidth="1"/>
    <col min="34" max="34" width="9" style="96"/>
    <col min="35" max="35" width="10.5" style="96" bestFit="1" customWidth="1"/>
    <col min="36" max="49" width="9" style="96"/>
    <col min="50" max="50" width="9" style="272"/>
    <col min="51" max="51" width="9" style="272" customWidth="1"/>
    <col min="52" max="56" width="9" style="99"/>
    <col min="57" max="16384" width="9" style="96"/>
  </cols>
  <sheetData>
    <row r="1" spans="1:55" ht="23.25" customHeight="1" thickBot="1" x14ac:dyDescent="0.35">
      <c r="Y1" s="836"/>
      <c r="Z1" s="836"/>
      <c r="AA1" s="837"/>
      <c r="AB1" s="837"/>
      <c r="AC1" s="125"/>
      <c r="AD1" s="103"/>
    </row>
    <row r="2" spans="1:55" ht="21.75" customHeight="1" thickBot="1" x14ac:dyDescent="0.35">
      <c r="A2" s="100"/>
      <c r="B2" s="834" t="s">
        <v>1471</v>
      </c>
      <c r="C2" s="835"/>
      <c r="D2" s="838" t="str">
        <f>'운용리스 입력'!D2:G2</f>
        <v>2025_09_V1</v>
      </c>
      <c r="E2" s="839"/>
      <c r="F2" s="128" t="s">
        <v>1460</v>
      </c>
      <c r="G2" s="129">
        <f ca="1">TODAY()</f>
        <v>45904</v>
      </c>
      <c r="H2" s="100"/>
      <c r="I2" s="640" t="s">
        <v>1277</v>
      </c>
      <c r="J2" s="641"/>
      <c r="K2" s="641"/>
      <c r="L2" s="641"/>
      <c r="M2" s="641"/>
      <c r="N2" s="642"/>
      <c r="O2" s="100"/>
      <c r="P2" s="640" t="s">
        <v>1278</v>
      </c>
      <c r="Q2" s="641"/>
      <c r="R2" s="641"/>
      <c r="S2" s="641"/>
      <c r="T2" s="641"/>
      <c r="U2" s="642"/>
      <c r="V2" s="100"/>
      <c r="W2" s="640" t="s">
        <v>1279</v>
      </c>
      <c r="X2" s="641"/>
      <c r="Y2" s="641"/>
      <c r="Z2" s="641"/>
      <c r="AA2" s="641"/>
      <c r="AB2" s="642"/>
      <c r="AC2" s="103"/>
      <c r="BA2" s="274" t="s">
        <v>1272</v>
      </c>
      <c r="BB2" s="275"/>
      <c r="BC2" s="276"/>
    </row>
    <row r="3" spans="1:55" ht="21.75" customHeight="1" thickBot="1" x14ac:dyDescent="0.35">
      <c r="A3" s="100"/>
      <c r="B3" s="576" t="s">
        <v>1</v>
      </c>
      <c r="C3" s="577"/>
      <c r="D3" s="630" t="s">
        <v>1696</v>
      </c>
      <c r="E3" s="628"/>
      <c r="F3" s="628"/>
      <c r="G3" s="629"/>
      <c r="H3" s="100"/>
      <c r="I3" s="151" t="s">
        <v>5</v>
      </c>
      <c r="J3" s="669">
        <v>36</v>
      </c>
      <c r="K3" s="670"/>
      <c r="L3" s="670"/>
      <c r="M3" s="670"/>
      <c r="N3" s="671"/>
      <c r="O3" s="100"/>
      <c r="P3" s="151" t="s">
        <v>5</v>
      </c>
      <c r="Q3" s="670">
        <v>48</v>
      </c>
      <c r="R3" s="670"/>
      <c r="S3" s="670"/>
      <c r="T3" s="670"/>
      <c r="U3" s="671"/>
      <c r="V3" s="100"/>
      <c r="W3" s="176" t="s">
        <v>5</v>
      </c>
      <c r="X3" s="669">
        <v>60</v>
      </c>
      <c r="Y3" s="670"/>
      <c r="Z3" s="670"/>
      <c r="AA3" s="670"/>
      <c r="AB3" s="671"/>
      <c r="AC3" s="103"/>
      <c r="BA3" s="274" t="s">
        <v>1273</v>
      </c>
      <c r="BB3" s="275" t="b">
        <v>1</v>
      </c>
      <c r="BC3" s="276"/>
    </row>
    <row r="4" spans="1:55" ht="21.75" customHeight="1" thickBot="1" x14ac:dyDescent="0.35">
      <c r="A4" s="100"/>
      <c r="B4" s="590" t="s">
        <v>0</v>
      </c>
      <c r="C4" s="591"/>
      <c r="D4" s="592" t="s">
        <v>1693</v>
      </c>
      <c r="E4" s="593"/>
      <c r="F4" s="593"/>
      <c r="G4" s="594"/>
      <c r="H4" s="100"/>
      <c r="I4" s="151" t="s">
        <v>1446</v>
      </c>
      <c r="J4" s="840">
        <f>'할부 내부'!H4</f>
        <v>35100000</v>
      </c>
      <c r="K4" s="840"/>
      <c r="L4" s="840"/>
      <c r="M4" s="840"/>
      <c r="N4" s="841"/>
      <c r="O4" s="100"/>
      <c r="P4" s="151" t="s">
        <v>1446</v>
      </c>
      <c r="Q4" s="840">
        <f>'할부 내부'!M4</f>
        <v>29000000</v>
      </c>
      <c r="R4" s="840"/>
      <c r="S4" s="840"/>
      <c r="T4" s="840"/>
      <c r="U4" s="841"/>
      <c r="V4" s="100"/>
      <c r="W4" s="151" t="s">
        <v>1446</v>
      </c>
      <c r="X4" s="840">
        <f>'할부 내부'!R4</f>
        <v>31200000</v>
      </c>
      <c r="Y4" s="840"/>
      <c r="Z4" s="840"/>
      <c r="AA4" s="840"/>
      <c r="AB4" s="841"/>
      <c r="AC4" s="105"/>
      <c r="AD4" s="106"/>
      <c r="AG4" s="106"/>
      <c r="BA4" s="274" t="s">
        <v>1274</v>
      </c>
      <c r="BB4" s="275" t="b">
        <v>1</v>
      </c>
      <c r="BC4" s="276"/>
    </row>
    <row r="5" spans="1:55" ht="21.75" customHeight="1" thickBot="1" x14ac:dyDescent="0.35">
      <c r="A5" s="100"/>
      <c r="B5" s="590" t="s">
        <v>1426</v>
      </c>
      <c r="C5" s="591"/>
      <c r="D5" s="592" t="s">
        <v>1693</v>
      </c>
      <c r="E5" s="593"/>
      <c r="F5" s="593"/>
      <c r="G5" s="594"/>
      <c r="H5" s="100"/>
      <c r="I5" s="100"/>
      <c r="J5" s="100"/>
      <c r="K5" s="100"/>
      <c r="L5" s="100"/>
      <c r="M5" s="100"/>
      <c r="N5" s="104"/>
      <c r="O5" s="100"/>
      <c r="P5" s="100"/>
      <c r="Q5" s="100"/>
      <c r="R5" s="100"/>
      <c r="S5" s="100"/>
      <c r="T5" s="100"/>
      <c r="U5" s="104"/>
      <c r="V5" s="100"/>
      <c r="W5" s="100"/>
      <c r="X5" s="100"/>
      <c r="Y5" s="100"/>
      <c r="Z5" s="100"/>
      <c r="AA5" s="100"/>
      <c r="AB5" s="104"/>
      <c r="AC5" s="105"/>
      <c r="AD5" s="106"/>
      <c r="AG5" s="106"/>
      <c r="BA5" s="274" t="s">
        <v>4</v>
      </c>
      <c r="BB5" s="275" t="b">
        <v>1</v>
      </c>
      <c r="BC5" s="276"/>
    </row>
    <row r="6" spans="1:55" ht="21.75" customHeight="1" x14ac:dyDescent="0.3">
      <c r="A6" s="100"/>
      <c r="B6" s="590" t="s">
        <v>1427</v>
      </c>
      <c r="C6" s="591"/>
      <c r="D6" s="592" t="s">
        <v>1694</v>
      </c>
      <c r="E6" s="593"/>
      <c r="F6" s="593"/>
      <c r="G6" s="594"/>
      <c r="H6" s="100"/>
      <c r="I6" s="152" t="s">
        <v>1435</v>
      </c>
      <c r="J6" s="620">
        <v>0.1</v>
      </c>
      <c r="K6" s="621"/>
      <c r="L6" s="606">
        <f>D11*J6</f>
        <v>3900000</v>
      </c>
      <c r="M6" s="607"/>
      <c r="N6" s="608"/>
      <c r="O6" s="100"/>
      <c r="P6" s="152" t="s">
        <v>1435</v>
      </c>
      <c r="Q6" s="620">
        <v>0.5</v>
      </c>
      <c r="R6" s="621"/>
      <c r="S6" s="606">
        <f>D11*Q6</f>
        <v>19500000</v>
      </c>
      <c r="T6" s="607"/>
      <c r="U6" s="608"/>
      <c r="V6" s="100"/>
      <c r="W6" s="152" t="s">
        <v>1435</v>
      </c>
      <c r="X6" s="620">
        <v>0.2</v>
      </c>
      <c r="Y6" s="621"/>
      <c r="Z6" s="606">
        <f>D11*X6</f>
        <v>7800000</v>
      </c>
      <c r="AA6" s="607"/>
      <c r="AB6" s="608"/>
      <c r="AC6" s="103"/>
      <c r="BA6" s="274" t="s">
        <v>1276</v>
      </c>
      <c r="BB6" s="275" t="b">
        <v>1</v>
      </c>
      <c r="BC6" s="276"/>
    </row>
    <row r="7" spans="1:55" ht="21.75" customHeight="1" thickBot="1" x14ac:dyDescent="0.35">
      <c r="A7" s="100"/>
      <c r="B7" s="660" t="s">
        <v>11</v>
      </c>
      <c r="C7" s="661"/>
      <c r="D7" s="657">
        <f>'할부 내부'!D8:E8</f>
        <v>0</v>
      </c>
      <c r="E7" s="658"/>
      <c r="F7" s="658"/>
      <c r="G7" s="659"/>
      <c r="H7" s="100"/>
      <c r="I7" s="155" t="str">
        <f>IF(BB7=TRUE,"% 입력","금액 입력")</f>
        <v>% 입력</v>
      </c>
      <c r="J7" s="833">
        <f>L7/D11</f>
        <v>0.25641025641025639</v>
      </c>
      <c r="K7" s="623"/>
      <c r="L7" s="615">
        <v>10000000</v>
      </c>
      <c r="M7" s="616"/>
      <c r="N7" s="617"/>
      <c r="O7" s="100"/>
      <c r="P7" s="155" t="str">
        <f>IF(BB10=TRUE,"% 입력","금액 입력")</f>
        <v>금액 입력</v>
      </c>
      <c r="Q7" s="828">
        <f>S7/D11</f>
        <v>0.25641025641025639</v>
      </c>
      <c r="R7" s="828"/>
      <c r="S7" s="615">
        <v>10000000</v>
      </c>
      <c r="T7" s="616"/>
      <c r="U7" s="617"/>
      <c r="V7" s="100"/>
      <c r="W7" s="155" t="str">
        <f>IF(BB13=TRUE,"% 입력","금액 입력")</f>
        <v>% 입력</v>
      </c>
      <c r="X7" s="828">
        <f>Z7/D11</f>
        <v>0.76923076923076927</v>
      </c>
      <c r="Y7" s="832"/>
      <c r="Z7" s="615">
        <v>30000000</v>
      </c>
      <c r="AA7" s="616"/>
      <c r="AB7" s="617"/>
      <c r="AC7" s="103"/>
      <c r="BA7" s="274" t="s">
        <v>1436</v>
      </c>
      <c r="BB7" s="275" t="b">
        <v>1</v>
      </c>
      <c r="BC7" s="276"/>
    </row>
    <row r="8" spans="1:55" ht="21.75" customHeight="1" thickBot="1" x14ac:dyDescent="0.35">
      <c r="A8" s="100"/>
      <c r="B8" s="576" t="s">
        <v>1428</v>
      </c>
      <c r="C8" s="577"/>
      <c r="D8" s="578">
        <v>39000000</v>
      </c>
      <c r="E8" s="579"/>
      <c r="F8" s="579"/>
      <c r="G8" s="580"/>
      <c r="H8" s="100"/>
      <c r="I8" s="100"/>
      <c r="J8" s="100"/>
      <c r="K8" s="100"/>
      <c r="L8" s="100"/>
      <c r="M8" s="100"/>
      <c r="N8" s="104"/>
      <c r="O8" s="100"/>
      <c r="P8" s="100"/>
      <c r="Q8" s="100"/>
      <c r="R8" s="100"/>
      <c r="S8" s="100"/>
      <c r="T8" s="100"/>
      <c r="U8" s="104"/>
      <c r="V8" s="100"/>
      <c r="W8" s="100"/>
      <c r="X8" s="100"/>
      <c r="Y8" s="100"/>
      <c r="Z8" s="100"/>
      <c r="AA8" s="100"/>
      <c r="AB8" s="104"/>
      <c r="AC8" s="103"/>
      <c r="BA8" s="277" t="s">
        <v>1281</v>
      </c>
      <c r="BB8" s="278" t="b">
        <v>0</v>
      </c>
      <c r="BC8" s="276" t="b">
        <v>0</v>
      </c>
    </row>
    <row r="9" spans="1:55" ht="21.75" customHeight="1" x14ac:dyDescent="0.3">
      <c r="A9" s="100"/>
      <c r="B9" s="590" t="s">
        <v>1390</v>
      </c>
      <c r="C9" s="591"/>
      <c r="D9" s="581">
        <v>0</v>
      </c>
      <c r="E9" s="582"/>
      <c r="F9" s="582"/>
      <c r="G9" s="583"/>
      <c r="H9" s="100"/>
      <c r="I9" s="152" t="s">
        <v>8</v>
      </c>
      <c r="J9" s="826">
        <v>0.15</v>
      </c>
      <c r="K9" s="827"/>
      <c r="L9" s="606">
        <f>D11*J9</f>
        <v>5850000</v>
      </c>
      <c r="M9" s="607"/>
      <c r="N9" s="608"/>
      <c r="O9" s="100"/>
      <c r="P9" s="152" t="s">
        <v>8</v>
      </c>
      <c r="Q9" s="826">
        <v>0.2</v>
      </c>
      <c r="R9" s="826"/>
      <c r="S9" s="606">
        <f>D11*Q9</f>
        <v>7800000</v>
      </c>
      <c r="T9" s="607"/>
      <c r="U9" s="608"/>
      <c r="V9" s="100"/>
      <c r="W9" s="152" t="s">
        <v>8</v>
      </c>
      <c r="X9" s="826">
        <v>0.3</v>
      </c>
      <c r="Y9" s="827"/>
      <c r="Z9" s="607">
        <f>D11*X9</f>
        <v>11700000</v>
      </c>
      <c r="AA9" s="607"/>
      <c r="AB9" s="608"/>
      <c r="AC9" s="103"/>
      <c r="BA9" s="274" t="s">
        <v>1476</v>
      </c>
      <c r="BB9" s="275" t="b">
        <v>0</v>
      </c>
      <c r="BC9" s="276"/>
    </row>
    <row r="10" spans="1:55" ht="21.75" customHeight="1" thickBot="1" x14ac:dyDescent="0.35">
      <c r="A10" s="100"/>
      <c r="B10" s="660" t="s">
        <v>1391</v>
      </c>
      <c r="C10" s="661"/>
      <c r="D10" s="664">
        <v>0</v>
      </c>
      <c r="E10" s="665"/>
      <c r="F10" s="665"/>
      <c r="G10" s="666"/>
      <c r="H10" s="100"/>
      <c r="I10" s="155" t="str">
        <f>IF(BB9=TRUE,"% 입력","금액 입력")</f>
        <v>금액 입력</v>
      </c>
      <c r="J10" s="833">
        <f>L10/D11</f>
        <v>0.25641025641025639</v>
      </c>
      <c r="K10" s="623"/>
      <c r="L10" s="842">
        <v>10000000</v>
      </c>
      <c r="M10" s="843"/>
      <c r="N10" s="844"/>
      <c r="O10" s="100"/>
      <c r="P10" s="155" t="str">
        <f>IF(BB12=TRUE,"% 입력","금액 입력")</f>
        <v>금액 입력</v>
      </c>
      <c r="Q10" s="828">
        <f>S10/D11</f>
        <v>0.76923076923076927</v>
      </c>
      <c r="R10" s="828"/>
      <c r="S10" s="829">
        <v>30000000</v>
      </c>
      <c r="T10" s="830"/>
      <c r="U10" s="831"/>
      <c r="V10" s="100"/>
      <c r="W10" s="155" t="str">
        <f>IF(BB15=TRUE,"% 입력","금액 입력")</f>
        <v>금액 입력</v>
      </c>
      <c r="X10" s="828">
        <f>Z10/D11</f>
        <v>0.76923076923076927</v>
      </c>
      <c r="Y10" s="832"/>
      <c r="Z10" s="830">
        <v>30000000</v>
      </c>
      <c r="AA10" s="830"/>
      <c r="AB10" s="831"/>
      <c r="AC10" s="103"/>
      <c r="BA10" s="274" t="s">
        <v>1437</v>
      </c>
      <c r="BB10" s="275" t="b">
        <v>0</v>
      </c>
      <c r="BC10" s="276"/>
    </row>
    <row r="11" spans="1:55" ht="21.75" customHeight="1" thickTop="1" thickBot="1" x14ac:dyDescent="0.35">
      <c r="A11" s="100"/>
      <c r="B11" s="568" t="s">
        <v>1429</v>
      </c>
      <c r="C11" s="569"/>
      <c r="D11" s="565">
        <f>D8+D9-D10</f>
        <v>39000000</v>
      </c>
      <c r="E11" s="566"/>
      <c r="F11" s="566"/>
      <c r="G11" s="567"/>
      <c r="H11" s="100"/>
      <c r="I11" s="175" t="s">
        <v>1468</v>
      </c>
      <c r="J11" s="821">
        <f>'할부 내부'!H8</f>
        <v>0.3</v>
      </c>
      <c r="K11" s="825"/>
      <c r="L11" s="822">
        <f>'할부 내부'!I8</f>
        <v>11700000</v>
      </c>
      <c r="M11" s="823"/>
      <c r="N11" s="824"/>
      <c r="O11" s="100"/>
      <c r="P11" s="175" t="s">
        <v>1468</v>
      </c>
      <c r="Q11" s="821">
        <f>'할부 내부'!M8</f>
        <v>0.2</v>
      </c>
      <c r="R11" s="821"/>
      <c r="S11" s="822">
        <f>'할부 내부'!N8</f>
        <v>7800000</v>
      </c>
      <c r="T11" s="823"/>
      <c r="U11" s="824"/>
      <c r="V11" s="100"/>
      <c r="W11" s="175" t="s">
        <v>1468</v>
      </c>
      <c r="X11" s="821">
        <f>'할부 내부'!R8</f>
        <v>0.15</v>
      </c>
      <c r="Y11" s="825"/>
      <c r="Z11" s="823">
        <f>'할부 내부'!S8</f>
        <v>5850000</v>
      </c>
      <c r="AA11" s="823"/>
      <c r="AB11" s="824"/>
      <c r="AC11" s="103"/>
      <c r="BA11" s="274" t="s">
        <v>1283</v>
      </c>
      <c r="BB11" s="275" t="b">
        <v>0</v>
      </c>
      <c r="BC11" s="276" t="b">
        <v>0</v>
      </c>
    </row>
    <row r="12" spans="1:55" ht="21.75" customHeight="1" thickBot="1" x14ac:dyDescent="0.35">
      <c r="A12" s="100"/>
      <c r="H12" s="100"/>
      <c r="I12" s="100"/>
      <c r="J12" s="100"/>
      <c r="K12" s="100"/>
      <c r="L12" s="100"/>
      <c r="M12" s="100"/>
      <c r="N12" s="104"/>
      <c r="O12" s="100"/>
      <c r="P12" s="100"/>
      <c r="Q12" s="100"/>
      <c r="R12" s="100"/>
      <c r="S12" s="100"/>
      <c r="T12" s="100"/>
      <c r="U12" s="104"/>
      <c r="V12" s="100"/>
      <c r="W12" s="100"/>
      <c r="X12" s="100"/>
      <c r="Y12" s="100"/>
      <c r="Z12" s="100"/>
      <c r="AA12" s="100"/>
      <c r="AB12" s="104"/>
      <c r="AC12" s="103"/>
      <c r="BA12" s="277" t="s">
        <v>1477</v>
      </c>
      <c r="BB12" s="278" t="b">
        <v>0</v>
      </c>
      <c r="BC12" s="276"/>
    </row>
    <row r="13" spans="1:55" ht="21.75" customHeight="1" thickBot="1" x14ac:dyDescent="0.35">
      <c r="A13" s="100"/>
      <c r="B13" s="576" t="s">
        <v>1433</v>
      </c>
      <c r="C13" s="577"/>
      <c r="D13" s="624">
        <f>취득세!I6</f>
        <v>1081810</v>
      </c>
      <c r="E13" s="607"/>
      <c r="F13" s="607"/>
      <c r="G13" s="608"/>
      <c r="H13" s="100"/>
      <c r="I13" s="158" t="s">
        <v>1314</v>
      </c>
      <c r="J13" s="599">
        <v>0</v>
      </c>
      <c r="K13" s="599"/>
      <c r="L13" s="599"/>
      <c r="M13" s="599"/>
      <c r="N13" s="600"/>
      <c r="O13" s="100"/>
      <c r="P13" s="158" t="s">
        <v>1314</v>
      </c>
      <c r="Q13" s="599">
        <v>0</v>
      </c>
      <c r="R13" s="599"/>
      <c r="S13" s="599"/>
      <c r="T13" s="599"/>
      <c r="U13" s="600"/>
      <c r="V13" s="100"/>
      <c r="W13" s="158" t="s">
        <v>1314</v>
      </c>
      <c r="X13" s="599">
        <v>0</v>
      </c>
      <c r="Y13" s="599"/>
      <c r="Z13" s="599"/>
      <c r="AA13" s="599"/>
      <c r="AB13" s="600"/>
      <c r="AC13" s="103"/>
      <c r="BA13" s="274" t="s">
        <v>1438</v>
      </c>
      <c r="BB13" s="275" t="b">
        <v>1</v>
      </c>
      <c r="BC13" s="276"/>
    </row>
    <row r="14" spans="1:55" ht="21.75" customHeight="1" thickBot="1" x14ac:dyDescent="0.35">
      <c r="A14" s="100"/>
      <c r="B14" s="588" t="s">
        <v>1274</v>
      </c>
      <c r="C14" s="589"/>
      <c r="D14" s="105" t="s">
        <v>1424</v>
      </c>
      <c r="E14" s="625" t="s">
        <v>1413</v>
      </c>
      <c r="F14" s="593"/>
      <c r="G14" s="594"/>
      <c r="H14" s="100"/>
      <c r="O14" s="100"/>
      <c r="V14" s="100"/>
      <c r="AC14" s="103"/>
      <c r="AG14" s="96"/>
      <c r="BA14" s="274" t="s">
        <v>1285</v>
      </c>
      <c r="BB14" s="275" t="b">
        <v>0</v>
      </c>
      <c r="BC14" s="276" t="b">
        <v>0</v>
      </c>
    </row>
    <row r="15" spans="1:55" ht="21.75" customHeight="1" thickBot="1" x14ac:dyDescent="0.35">
      <c r="A15" s="100"/>
      <c r="B15" s="819"/>
      <c r="C15" s="820"/>
      <c r="D15" s="109" t="s">
        <v>1425</v>
      </c>
      <c r="E15" s="178">
        <v>0.09</v>
      </c>
      <c r="F15" s="556">
        <f>'공채&amp;차세'!X4</f>
        <v>0</v>
      </c>
      <c r="G15" s="557"/>
      <c r="H15" s="100"/>
      <c r="I15" s="151" t="s">
        <v>1464</v>
      </c>
      <c r="J15" s="845">
        <f>'할부 내부'!I12</f>
        <v>2.2499999999999999E-2</v>
      </c>
      <c r="K15" s="846"/>
      <c r="L15" s="846"/>
      <c r="M15" s="846"/>
      <c r="N15" s="847"/>
      <c r="O15" s="100"/>
      <c r="P15" s="151" t="s">
        <v>1464</v>
      </c>
      <c r="Q15" s="848">
        <f>'할부 내부'!N12</f>
        <v>2.2499999999999999E-2</v>
      </c>
      <c r="R15" s="849"/>
      <c r="S15" s="849"/>
      <c r="T15" s="849"/>
      <c r="U15" s="850"/>
      <c r="V15" s="100"/>
      <c r="W15" s="151" t="s">
        <v>1464</v>
      </c>
      <c r="X15" s="848">
        <f>'할부 내부'!S12</f>
        <v>2.2499999999999999E-2</v>
      </c>
      <c r="Y15" s="849"/>
      <c r="Z15" s="849"/>
      <c r="AA15" s="849"/>
      <c r="AB15" s="850"/>
      <c r="AC15" s="103"/>
      <c r="BA15" s="277" t="s">
        <v>1478</v>
      </c>
      <c r="BB15" s="278" t="b">
        <v>0</v>
      </c>
      <c r="BC15" s="276"/>
    </row>
    <row r="16" spans="1:55" ht="21.75" customHeight="1" x14ac:dyDescent="0.3">
      <c r="A16" s="100"/>
      <c r="B16" s="590" t="s">
        <v>4</v>
      </c>
      <c r="C16" s="591"/>
      <c r="D16" s="581">
        <v>100000</v>
      </c>
      <c r="E16" s="582"/>
      <c r="F16" s="582"/>
      <c r="G16" s="583"/>
      <c r="H16" s="100"/>
      <c r="I16" s="152" t="s">
        <v>1307</v>
      </c>
      <c r="J16" s="685">
        <v>0</v>
      </c>
      <c r="K16" s="686"/>
      <c r="L16" s="606">
        <f>'할부 내부'!I13</f>
        <v>0</v>
      </c>
      <c r="M16" s="607"/>
      <c r="N16" s="608"/>
      <c r="O16" s="100"/>
      <c r="P16" s="152" t="s">
        <v>1307</v>
      </c>
      <c r="Q16" s="678">
        <v>0</v>
      </c>
      <c r="R16" s="679"/>
      <c r="S16" s="606">
        <f>'할부 내부'!N13</f>
        <v>0</v>
      </c>
      <c r="T16" s="607"/>
      <c r="U16" s="608"/>
      <c r="V16" s="100"/>
      <c r="W16" s="152" t="s">
        <v>1307</v>
      </c>
      <c r="X16" s="678">
        <v>0</v>
      </c>
      <c r="Y16" s="679"/>
      <c r="Z16" s="606">
        <f>'할부 내부'!S13</f>
        <v>0</v>
      </c>
      <c r="AA16" s="607"/>
      <c r="AB16" s="608"/>
      <c r="AC16" s="103"/>
    </row>
    <row r="17" spans="1:56" ht="21.75" customHeight="1" thickBot="1" x14ac:dyDescent="0.35">
      <c r="A17" s="100"/>
      <c r="B17" s="660" t="s">
        <v>1276</v>
      </c>
      <c r="C17" s="661"/>
      <c r="D17" s="664">
        <v>100000</v>
      </c>
      <c r="E17" s="665"/>
      <c r="F17" s="665"/>
      <c r="G17" s="666"/>
      <c r="H17" s="100"/>
      <c r="I17" s="153" t="s">
        <v>1308</v>
      </c>
      <c r="J17" s="687">
        <v>0</v>
      </c>
      <c r="K17" s="688"/>
      <c r="L17" s="603">
        <f>'할부 내부'!I14</f>
        <v>0</v>
      </c>
      <c r="M17" s="604"/>
      <c r="N17" s="605"/>
      <c r="O17" s="100"/>
      <c r="P17" s="153" t="s">
        <v>1308</v>
      </c>
      <c r="Q17" s="680">
        <v>0</v>
      </c>
      <c r="R17" s="681"/>
      <c r="S17" s="603">
        <f>'할부 내부'!N14</f>
        <v>0</v>
      </c>
      <c r="T17" s="604"/>
      <c r="U17" s="605"/>
      <c r="V17" s="100"/>
      <c r="W17" s="153" t="s">
        <v>1308</v>
      </c>
      <c r="X17" s="680">
        <v>0</v>
      </c>
      <c r="Y17" s="681"/>
      <c r="Z17" s="603">
        <f>'할부 내부'!S14</f>
        <v>0</v>
      </c>
      <c r="AA17" s="604"/>
      <c r="AB17" s="605"/>
      <c r="AC17" s="103"/>
    </row>
    <row r="18" spans="1:56" ht="21.75" customHeight="1" thickBot="1" x14ac:dyDescent="0.35">
      <c r="A18" s="100"/>
      <c r="B18" s="568" t="s">
        <v>1434</v>
      </c>
      <c r="C18" s="569"/>
      <c r="D18" s="562">
        <f>SUM(D13+F15+D16+D17)</f>
        <v>1281810</v>
      </c>
      <c r="E18" s="563"/>
      <c r="F18" s="563"/>
      <c r="G18" s="564"/>
      <c r="H18" s="100"/>
      <c r="I18" s="100"/>
      <c r="J18" s="100"/>
      <c r="K18" s="100"/>
      <c r="L18" s="100"/>
      <c r="M18" s="100"/>
      <c r="N18" s="104"/>
      <c r="P18" s="100"/>
      <c r="Q18" s="100"/>
      <c r="R18" s="100"/>
      <c r="S18" s="100"/>
      <c r="T18" s="100"/>
      <c r="U18" s="104"/>
      <c r="W18" s="100"/>
      <c r="X18" s="100"/>
      <c r="Y18" s="100"/>
      <c r="Z18" s="100"/>
      <c r="AA18" s="100"/>
      <c r="AB18" s="104"/>
      <c r="AC18" s="103"/>
      <c r="BA18" s="130"/>
      <c r="BB18" s="131"/>
    </row>
    <row r="19" spans="1:56" ht="21.75" customHeight="1" thickBot="1" x14ac:dyDescent="0.35">
      <c r="A19" s="100"/>
      <c r="B19" s="662" t="s">
        <v>1385</v>
      </c>
      <c r="C19" s="663"/>
      <c r="D19" s="669" t="s">
        <v>1384</v>
      </c>
      <c r="E19" s="670"/>
      <c r="F19" s="670"/>
      <c r="G19" s="671"/>
      <c r="H19" s="100"/>
      <c r="I19" s="177" t="s">
        <v>1469</v>
      </c>
      <c r="J19" s="915">
        <f>IF(J4&lt;20000000,"20,000,000 이하 불가",'할부 내부'!H25)</f>
        <v>1074300</v>
      </c>
      <c r="K19" s="916"/>
      <c r="L19" s="916"/>
      <c r="M19" s="916"/>
      <c r="N19" s="917"/>
      <c r="O19" s="100"/>
      <c r="P19" s="177" t="s">
        <v>1469</v>
      </c>
      <c r="Q19" s="915">
        <f>IF(Q4&lt;20000000,"20,000,000 이하 불가",'할부 내부'!M25)</f>
        <v>685200</v>
      </c>
      <c r="R19" s="916"/>
      <c r="S19" s="916"/>
      <c r="T19" s="916"/>
      <c r="U19" s="917"/>
      <c r="V19" s="100"/>
      <c r="W19" s="177" t="s">
        <v>1469</v>
      </c>
      <c r="X19" s="915">
        <f>IF(X4&lt;20000000,"20,000,000 이하 불가",'할부 내부'!R25)</f>
        <v>606900</v>
      </c>
      <c r="Y19" s="916"/>
      <c r="Z19" s="916"/>
      <c r="AA19" s="916"/>
      <c r="AB19" s="917"/>
      <c r="AC19" s="103"/>
      <c r="AE19" s="133"/>
      <c r="AF19" s="134"/>
    </row>
    <row r="20" spans="1:56" ht="21.75" customHeight="1" thickBot="1" x14ac:dyDescent="0.35">
      <c r="A20" s="100"/>
      <c r="B20" s="662" t="s">
        <v>1535</v>
      </c>
      <c r="C20" s="663"/>
      <c r="D20" s="669" t="s">
        <v>1536</v>
      </c>
      <c r="E20" s="670"/>
      <c r="F20" s="670"/>
      <c r="G20" s="671"/>
      <c r="H20" s="100"/>
      <c r="I20" s="151" t="s">
        <v>1310</v>
      </c>
      <c r="J20" s="652">
        <f>'할부 내부'!H21</f>
        <v>6.4073227963808377E-2</v>
      </c>
      <c r="K20" s="652"/>
      <c r="L20" s="652"/>
      <c r="M20" s="652"/>
      <c r="N20" s="653"/>
      <c r="O20" s="100"/>
      <c r="P20" s="151" t="s">
        <v>1310</v>
      </c>
      <c r="Q20" s="652">
        <f>'할부 내부'!M21</f>
        <v>6.3103598779096479E-2</v>
      </c>
      <c r="R20" s="652"/>
      <c r="S20" s="652"/>
      <c r="T20" s="652"/>
      <c r="U20" s="653"/>
      <c r="V20" s="100"/>
      <c r="W20" s="151" t="s">
        <v>1310</v>
      </c>
      <c r="X20" s="652">
        <f>'할부 내부'!R21</f>
        <v>6.2557024166873851E-2</v>
      </c>
      <c r="Y20" s="652"/>
      <c r="Z20" s="652"/>
      <c r="AA20" s="652"/>
      <c r="AB20" s="653"/>
      <c r="AC20" s="103"/>
      <c r="AF20" s="98"/>
    </row>
    <row r="21" spans="1:56" ht="21.75" customHeight="1" thickBot="1" x14ac:dyDescent="0.35">
      <c r="A21" s="100"/>
      <c r="B21" s="135"/>
      <c r="C21" s="136" t="s">
        <v>1461</v>
      </c>
      <c r="D21" s="137"/>
      <c r="E21" s="137"/>
      <c r="F21" s="137"/>
      <c r="G21" s="138"/>
      <c r="H21" s="100"/>
      <c r="I21" s="163" t="s">
        <v>1470</v>
      </c>
      <c r="J21" s="924">
        <v>1</v>
      </c>
      <c r="K21" s="925"/>
      <c r="L21" s="925"/>
      <c r="M21" s="925"/>
      <c r="N21" s="926"/>
      <c r="O21" s="100"/>
      <c r="P21" s="163" t="s">
        <v>1470</v>
      </c>
      <c r="Q21" s="924">
        <v>1</v>
      </c>
      <c r="R21" s="925"/>
      <c r="S21" s="925"/>
      <c r="T21" s="925"/>
      <c r="U21" s="926"/>
      <c r="V21" s="100"/>
      <c r="W21" s="163" t="s">
        <v>1470</v>
      </c>
      <c r="X21" s="924">
        <v>1</v>
      </c>
      <c r="Y21" s="925"/>
      <c r="Z21" s="925"/>
      <c r="AA21" s="925"/>
      <c r="AB21" s="926"/>
      <c r="AC21" s="103"/>
    </row>
    <row r="22" spans="1:56" ht="21.75" customHeight="1" thickBot="1" x14ac:dyDescent="0.35">
      <c r="A22" s="100"/>
      <c r="B22" s="139"/>
      <c r="C22" s="140" t="s">
        <v>1462</v>
      </c>
      <c r="D22" s="141"/>
      <c r="E22" s="141"/>
      <c r="F22" s="141"/>
      <c r="G22" s="142"/>
      <c r="H22" s="100"/>
      <c r="I22" s="151" t="s">
        <v>1574</v>
      </c>
      <c r="J22" s="918">
        <f>'할부 내부'!I16</f>
        <v>0</v>
      </c>
      <c r="K22" s="919"/>
      <c r="L22" s="919"/>
      <c r="M22" s="919"/>
      <c r="N22" s="920"/>
      <c r="P22" s="151" t="s">
        <v>1574</v>
      </c>
      <c r="Q22" s="921">
        <f>'할부 내부'!N16</f>
        <v>0</v>
      </c>
      <c r="R22" s="922"/>
      <c r="S22" s="922"/>
      <c r="T22" s="922"/>
      <c r="U22" s="923"/>
      <c r="W22" s="151" t="s">
        <v>1574</v>
      </c>
      <c r="X22" s="921">
        <f>'할부 내부'!S16</f>
        <v>0</v>
      </c>
      <c r="Y22" s="922"/>
      <c r="Z22" s="922"/>
      <c r="AA22" s="922"/>
      <c r="AB22" s="923"/>
      <c r="AC22" s="103"/>
    </row>
    <row r="23" spans="1:56" ht="21.75" customHeight="1" x14ac:dyDescent="0.3">
      <c r="A23" s="100"/>
      <c r="H23" s="100"/>
      <c r="O23" s="100"/>
      <c r="V23" s="100"/>
      <c r="AC23" s="103"/>
      <c r="AE23" s="133"/>
      <c r="AF23" s="134"/>
    </row>
    <row r="24" spans="1:56" ht="21.75" customHeight="1" x14ac:dyDescent="0.3">
      <c r="A24" s="100"/>
      <c r="H24" s="100"/>
      <c r="O24" s="100"/>
      <c r="V24" s="100"/>
      <c r="AC24" s="103"/>
    </row>
    <row r="25" spans="1:56" s="100" customFormat="1" ht="21.75" customHeight="1" x14ac:dyDescent="0.3">
      <c r="N25" s="104"/>
      <c r="O25" s="110"/>
      <c r="U25" s="104"/>
      <c r="V25" s="110"/>
      <c r="AB25" s="104"/>
      <c r="AC25" s="103"/>
      <c r="AD25" s="103"/>
      <c r="AE25" s="143"/>
      <c r="AF25" s="98"/>
      <c r="AG25" s="103"/>
      <c r="AX25" s="273"/>
      <c r="AY25" s="273"/>
      <c r="AZ25" s="144"/>
      <c r="BA25" s="144"/>
      <c r="BB25" s="144"/>
      <c r="BC25" s="144"/>
      <c r="BD25" s="144"/>
    </row>
    <row r="26" spans="1:56" ht="21.75" customHeight="1" x14ac:dyDescent="0.3">
      <c r="A26" s="100"/>
      <c r="H26" s="100"/>
      <c r="O26" s="100"/>
      <c r="V26" s="100"/>
      <c r="AC26" s="103"/>
    </row>
    <row r="27" spans="1:56" ht="21.75" customHeight="1" x14ac:dyDescent="0.3">
      <c r="A27" s="100"/>
      <c r="H27" s="100"/>
      <c r="O27" s="100"/>
      <c r="V27" s="100"/>
      <c r="AC27" s="103"/>
    </row>
    <row r="28" spans="1:56" ht="18" customHeight="1" x14ac:dyDescent="0.3">
      <c r="A28" s="100"/>
      <c r="B28" s="100"/>
      <c r="C28" s="100"/>
      <c r="D28" s="100"/>
      <c r="E28" s="100"/>
      <c r="F28" s="100"/>
      <c r="G28" s="100"/>
      <c r="H28" s="100"/>
      <c r="I28" s="105"/>
      <c r="J28" s="100"/>
      <c r="L28" s="100"/>
      <c r="M28" s="100"/>
      <c r="N28" s="104"/>
      <c r="O28" s="100"/>
      <c r="P28" s="105"/>
      <c r="Q28" s="100"/>
      <c r="R28" s="100"/>
      <c r="S28" s="100"/>
      <c r="T28" s="100"/>
      <c r="U28" s="104"/>
      <c r="V28" s="100"/>
      <c r="W28" s="105"/>
      <c r="X28" s="100"/>
      <c r="Y28" s="100"/>
      <c r="Z28" s="100"/>
      <c r="AA28" s="100"/>
      <c r="AB28" s="104"/>
      <c r="AC28" s="103"/>
    </row>
  </sheetData>
  <sheetProtection algorithmName="SHA-512" hashValue="jJza0aRWPhQ69okHjJflS0v+TKCs8dK99XW7k+3pcX/E2d49dAmYpKR4kq/Em8vp0y7GuJ6yJMWsmH8fwe73aA==" saltValue="mbs3y8CY6miYLmKPaYD2tA==" spinCount="100000" sheet="1" objects="1" scenarios="1"/>
  <mergeCells count="106">
    <mergeCell ref="J22:N22"/>
    <mergeCell ref="X22:AB22"/>
    <mergeCell ref="Q22:U22"/>
    <mergeCell ref="J21:N21"/>
    <mergeCell ref="Q21:U21"/>
    <mergeCell ref="X21:AB21"/>
    <mergeCell ref="J20:N20"/>
    <mergeCell ref="Q20:U20"/>
    <mergeCell ref="X20:AB20"/>
    <mergeCell ref="B20:C20"/>
    <mergeCell ref="D20:G20"/>
    <mergeCell ref="J19:N19"/>
    <mergeCell ref="Q19:U19"/>
    <mergeCell ref="X16:Y16"/>
    <mergeCell ref="Z16:AB16"/>
    <mergeCell ref="B17:C17"/>
    <mergeCell ref="D17:G17"/>
    <mergeCell ref="J17:K17"/>
    <mergeCell ref="L17:N17"/>
    <mergeCell ref="Q17:R17"/>
    <mergeCell ref="S17:U17"/>
    <mergeCell ref="X17:Y17"/>
    <mergeCell ref="Z17:AB17"/>
    <mergeCell ref="J16:K16"/>
    <mergeCell ref="L16:N16"/>
    <mergeCell ref="Q16:R16"/>
    <mergeCell ref="S16:U16"/>
    <mergeCell ref="J13:N13"/>
    <mergeCell ref="Q13:U13"/>
    <mergeCell ref="X13:AB13"/>
    <mergeCell ref="B18:C18"/>
    <mergeCell ref="D18:G18"/>
    <mergeCell ref="J15:N15"/>
    <mergeCell ref="Q15:U15"/>
    <mergeCell ref="X15:AB15"/>
    <mergeCell ref="X19:AB19"/>
    <mergeCell ref="B19:C19"/>
    <mergeCell ref="D19:G19"/>
    <mergeCell ref="J9:K9"/>
    <mergeCell ref="L9:N9"/>
    <mergeCell ref="Q9:R9"/>
    <mergeCell ref="S9:U9"/>
    <mergeCell ref="X9:Y9"/>
    <mergeCell ref="Z9:AB9"/>
    <mergeCell ref="X10:Y10"/>
    <mergeCell ref="Z10:AB10"/>
    <mergeCell ref="J11:K11"/>
    <mergeCell ref="L11:N11"/>
    <mergeCell ref="Q11:R11"/>
    <mergeCell ref="S11:U11"/>
    <mergeCell ref="X11:Y11"/>
    <mergeCell ref="Z11:AB11"/>
    <mergeCell ref="J10:K10"/>
    <mergeCell ref="L10:N10"/>
    <mergeCell ref="Q10:R10"/>
    <mergeCell ref="S10:U10"/>
    <mergeCell ref="Q6:R6"/>
    <mergeCell ref="S6:U6"/>
    <mergeCell ref="X6:Y6"/>
    <mergeCell ref="Z6:AB6"/>
    <mergeCell ref="B7:C7"/>
    <mergeCell ref="D7:G7"/>
    <mergeCell ref="J7:K7"/>
    <mergeCell ref="L7:N7"/>
    <mergeCell ref="Q7:R7"/>
    <mergeCell ref="S7:U7"/>
    <mergeCell ref="X7:Y7"/>
    <mergeCell ref="Z7:AB7"/>
    <mergeCell ref="B5:C5"/>
    <mergeCell ref="D5:G5"/>
    <mergeCell ref="B6:C6"/>
    <mergeCell ref="D6:G6"/>
    <mergeCell ref="J6:K6"/>
    <mergeCell ref="L6:N6"/>
    <mergeCell ref="B3:C3"/>
    <mergeCell ref="D3:G3"/>
    <mergeCell ref="J3:N3"/>
    <mergeCell ref="Q3:U3"/>
    <mergeCell ref="X3:AB3"/>
    <mergeCell ref="B4:C4"/>
    <mergeCell ref="D4:G4"/>
    <mergeCell ref="J4:N4"/>
    <mergeCell ref="Q4:U4"/>
    <mergeCell ref="X4:AB4"/>
    <mergeCell ref="Y1:Z1"/>
    <mergeCell ref="AA1:AB1"/>
    <mergeCell ref="B2:C2"/>
    <mergeCell ref="D2:E2"/>
    <mergeCell ref="I2:N2"/>
    <mergeCell ref="P2:U2"/>
    <mergeCell ref="W2:AB2"/>
    <mergeCell ref="D8:G8"/>
    <mergeCell ref="B8:C8"/>
    <mergeCell ref="B13:C13"/>
    <mergeCell ref="B14:C15"/>
    <mergeCell ref="B16:C16"/>
    <mergeCell ref="D13:G13"/>
    <mergeCell ref="E14:G14"/>
    <mergeCell ref="F15:G15"/>
    <mergeCell ref="D16:G16"/>
    <mergeCell ref="B9:C9"/>
    <mergeCell ref="D9:G9"/>
    <mergeCell ref="B10:C10"/>
    <mergeCell ref="D10:G10"/>
    <mergeCell ref="B11:C11"/>
    <mergeCell ref="D11:G11"/>
  </mergeCells>
  <phoneticPr fontId="1" type="noConversion"/>
  <conditionalFormatting sqref="J9">
    <cfRule type="expression" dxfId="26" priority="5">
      <formula>$BB$9=TRUE</formula>
    </cfRule>
  </conditionalFormatting>
  <conditionalFormatting sqref="L10">
    <cfRule type="expression" dxfId="25" priority="6">
      <formula>$BB$9=FALSE</formula>
    </cfRule>
  </conditionalFormatting>
  <conditionalFormatting sqref="L9 J9">
    <cfRule type="expression" dxfId="24" priority="7">
      <formula>$BB$9=FALSE</formula>
    </cfRule>
  </conditionalFormatting>
  <conditionalFormatting sqref="L10 J10">
    <cfRule type="expression" dxfId="23" priority="8">
      <formula>$BB$9=TRUE</formula>
    </cfRule>
  </conditionalFormatting>
  <conditionalFormatting sqref="J6">
    <cfRule type="expression" dxfId="22" priority="9">
      <formula>$BB$7=TRUE</formula>
    </cfRule>
  </conditionalFormatting>
  <conditionalFormatting sqref="L7">
    <cfRule type="expression" dxfId="21" priority="10">
      <formula>$BB$7=FALSE</formula>
    </cfRule>
  </conditionalFormatting>
  <conditionalFormatting sqref="L6 J6">
    <cfRule type="expression" dxfId="20" priority="11">
      <formula>$BB$7=FALSE</formula>
    </cfRule>
  </conditionalFormatting>
  <conditionalFormatting sqref="L7 J7">
    <cfRule type="expression" dxfId="19" priority="12">
      <formula>$BB$7=TRUE</formula>
    </cfRule>
  </conditionalFormatting>
  <conditionalFormatting sqref="Q9:U11">
    <cfRule type="expression" dxfId="18" priority="15">
      <formula>$BB$11=FALSE</formula>
    </cfRule>
  </conditionalFormatting>
  <conditionalFormatting sqref="Z10">
    <cfRule type="expression" dxfId="17" priority="17">
      <formula>$BB$15=FALSE</formula>
    </cfRule>
  </conditionalFormatting>
  <conditionalFormatting sqref="X9">
    <cfRule type="expression" dxfId="16" priority="18">
      <formula>$BB$15=TRUE</formula>
    </cfRule>
  </conditionalFormatting>
  <conditionalFormatting sqref="X9:AB9">
    <cfRule type="expression" dxfId="15" priority="19">
      <formula>$BB$15=FALSE</formula>
    </cfRule>
  </conditionalFormatting>
  <conditionalFormatting sqref="X10:AB10">
    <cfRule type="expression" dxfId="14" priority="20">
      <formula>$BB$15=TRUE</formula>
    </cfRule>
  </conditionalFormatting>
  <conditionalFormatting sqref="J9:N11">
    <cfRule type="expression" dxfId="13" priority="4">
      <formula>$BB$8=FALSE</formula>
    </cfRule>
  </conditionalFormatting>
  <conditionalFormatting sqref="Q9:U9">
    <cfRule type="expression" dxfId="12" priority="3">
      <formula>$BB$12=FALSE</formula>
    </cfRule>
  </conditionalFormatting>
  <conditionalFormatting sqref="S7">
    <cfRule type="expression" dxfId="11" priority="636">
      <formula>$BB$10=FALSE</formula>
    </cfRule>
  </conditionalFormatting>
  <conditionalFormatting sqref="Q6">
    <cfRule type="expression" dxfId="10" priority="637">
      <formula>$BB$10=TRUE</formula>
    </cfRule>
  </conditionalFormatting>
  <conditionalFormatting sqref="Q6 S6">
    <cfRule type="expression" dxfId="9" priority="638">
      <formula>$BB$10=FALSE</formula>
    </cfRule>
  </conditionalFormatting>
  <conditionalFormatting sqref="S7 Q7">
    <cfRule type="expression" dxfId="8" priority="640">
      <formula>$BB$10=TRUE</formula>
    </cfRule>
  </conditionalFormatting>
  <conditionalFormatting sqref="Q9:R9">
    <cfRule type="expression" dxfId="7" priority="642">
      <formula>$BB$12=TRUE</formula>
    </cfRule>
  </conditionalFormatting>
  <conditionalFormatting sqref="S10:U10">
    <cfRule type="expression" dxfId="6" priority="643">
      <formula>$BB$12=FALSE</formula>
    </cfRule>
  </conditionalFormatting>
  <conditionalFormatting sqref="Q10:U10">
    <cfRule type="expression" dxfId="5" priority="645">
      <formula>$BB$12=TRUE</formula>
    </cfRule>
  </conditionalFormatting>
  <conditionalFormatting sqref="Z7">
    <cfRule type="expression" dxfId="4" priority="646">
      <formula>$BB$13=FALSE</formula>
    </cfRule>
  </conditionalFormatting>
  <conditionalFormatting sqref="X6">
    <cfRule type="expression" dxfId="3" priority="647">
      <formula>$BB$13=TRUE</formula>
    </cfRule>
  </conditionalFormatting>
  <conditionalFormatting sqref="X6 Z6:AB6">
    <cfRule type="expression" dxfId="2" priority="648">
      <formula>$BB$13=FALSE</formula>
    </cfRule>
  </conditionalFormatting>
  <conditionalFormatting sqref="X7:Z7">
    <cfRule type="expression" dxfId="1" priority="650">
      <formula>$BB$13=TRUE</formula>
    </cfRule>
  </conditionalFormatting>
  <conditionalFormatting sqref="X9:AB11">
    <cfRule type="expression" dxfId="0" priority="1">
      <formula>$BB$14=FALSE</formula>
    </cfRule>
  </conditionalFormatting>
  <dataValidations count="2">
    <dataValidation type="list" allowBlank="1" showInputMessage="1" showErrorMessage="1" sqref="X3:AB3 Q3:U3 J3">
      <formula1>"12,24,36,48,60"</formula1>
    </dataValidation>
    <dataValidation type="list" allowBlank="1" showInputMessage="1" showErrorMessage="1" sqref="D5">
      <formula1>INDIRECT($D$4)</formula1>
    </dataValidation>
  </dataValidations>
  <pageMargins left="0.7" right="0.7" top="0.75" bottom="0.75" header="0.3" footer="0.3"/>
  <pageSetup paperSize="9" scale="39" orientation="portrait" r:id="rId1"/>
  <colBreaks count="1" manualBreakCount="1">
    <brk id="28"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locked="0" defaultSize="0" autoFill="0" autoLine="0" autoPict="0">
                <anchor moveWithCells="1">
                  <from>
                    <xdr:col>8</xdr:col>
                    <xdr:colOff>771525</xdr:colOff>
                    <xdr:row>5</xdr:row>
                    <xdr:rowOff>247650</xdr:rowOff>
                  </from>
                  <to>
                    <xdr:col>9</xdr:col>
                    <xdr:colOff>38100</xdr:colOff>
                    <xdr:row>7</xdr:row>
                    <xdr:rowOff>19050</xdr:rowOff>
                  </to>
                </anchor>
              </controlPr>
            </control>
          </mc:Choice>
        </mc:AlternateContent>
        <mc:AlternateContent xmlns:mc="http://schemas.openxmlformats.org/markup-compatibility/2006">
          <mc:Choice Requires="x14">
            <control shapeId="12290" r:id="rId5" name="Check Box 2">
              <controlPr locked="0" defaultSize="0" autoFill="0" autoLine="0" autoPict="0">
                <anchor moveWithCells="1">
                  <from>
                    <xdr:col>15</xdr:col>
                    <xdr:colOff>771525</xdr:colOff>
                    <xdr:row>5</xdr:row>
                    <xdr:rowOff>247650</xdr:rowOff>
                  </from>
                  <to>
                    <xdr:col>16</xdr:col>
                    <xdr:colOff>38100</xdr:colOff>
                    <xdr:row>7</xdr:row>
                    <xdr:rowOff>19050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15</xdr:col>
                    <xdr:colOff>771525</xdr:colOff>
                    <xdr:row>8</xdr:row>
                    <xdr:rowOff>257175</xdr:rowOff>
                  </from>
                  <to>
                    <xdr:col>16</xdr:col>
                    <xdr:colOff>38100</xdr:colOff>
                    <xdr:row>10</xdr:row>
                    <xdr:rowOff>28575</xdr:rowOff>
                  </to>
                </anchor>
              </controlPr>
            </control>
          </mc:Choice>
        </mc:AlternateContent>
        <mc:AlternateContent xmlns:mc="http://schemas.openxmlformats.org/markup-compatibility/2006">
          <mc:Choice Requires="x14">
            <control shapeId="12292" r:id="rId7" name="Check Box 4">
              <controlPr locked="0" defaultSize="0" autoFill="0" autoLine="0" autoPict="0">
                <anchor moveWithCells="1">
                  <from>
                    <xdr:col>22</xdr:col>
                    <xdr:colOff>771525</xdr:colOff>
                    <xdr:row>5</xdr:row>
                    <xdr:rowOff>247650</xdr:rowOff>
                  </from>
                  <to>
                    <xdr:col>23</xdr:col>
                    <xdr:colOff>38100</xdr:colOff>
                    <xdr:row>7</xdr:row>
                    <xdr:rowOff>19050</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22</xdr:col>
                    <xdr:colOff>771525</xdr:colOff>
                    <xdr:row>8</xdr:row>
                    <xdr:rowOff>257175</xdr:rowOff>
                  </from>
                  <to>
                    <xdr:col>23</xdr:col>
                    <xdr:colOff>38100</xdr:colOff>
                    <xdr:row>10</xdr:row>
                    <xdr:rowOff>28575</xdr:rowOff>
                  </to>
                </anchor>
              </controlPr>
            </control>
          </mc:Choice>
        </mc:AlternateContent>
        <mc:AlternateContent xmlns:mc="http://schemas.openxmlformats.org/markup-compatibility/2006">
          <mc:Choice Requires="x14">
            <control shapeId="12294" r:id="rId9" name="Check Box 6">
              <controlPr defaultSize="0" autoFill="0" autoLine="0" autoPict="0">
                <anchor moveWithCells="1">
                  <from>
                    <xdr:col>8</xdr:col>
                    <xdr:colOff>771525</xdr:colOff>
                    <xdr:row>8</xdr:row>
                    <xdr:rowOff>257175</xdr:rowOff>
                  </from>
                  <to>
                    <xdr:col>9</xdr:col>
                    <xdr:colOff>38100</xdr:colOff>
                    <xdr:row>10</xdr:row>
                    <xdr:rowOff>28575</xdr:rowOff>
                  </to>
                </anchor>
              </controlPr>
            </control>
          </mc:Choice>
        </mc:AlternateContent>
        <mc:AlternateContent xmlns:mc="http://schemas.openxmlformats.org/markup-compatibility/2006">
          <mc:Choice Requires="x14">
            <control shapeId="12298" r:id="rId10" name="Check Box 10">
              <controlPr defaultSize="0" autoFill="0" autoLine="0" autoPict="0">
                <anchor moveWithCells="1">
                  <from>
                    <xdr:col>15</xdr:col>
                    <xdr:colOff>781050</xdr:colOff>
                    <xdr:row>7</xdr:row>
                    <xdr:rowOff>238125</xdr:rowOff>
                  </from>
                  <to>
                    <xdr:col>16</xdr:col>
                    <xdr:colOff>38100</xdr:colOff>
                    <xdr:row>9</xdr:row>
                    <xdr:rowOff>19050</xdr:rowOff>
                  </to>
                </anchor>
              </controlPr>
            </control>
          </mc:Choice>
        </mc:AlternateContent>
        <mc:AlternateContent xmlns:mc="http://schemas.openxmlformats.org/markup-compatibility/2006">
          <mc:Choice Requires="x14">
            <control shapeId="12299" r:id="rId11" name="Check Box 11">
              <controlPr defaultSize="0" autoFill="0" autoLine="0" autoPict="0">
                <anchor moveWithCells="1">
                  <from>
                    <xdr:col>22</xdr:col>
                    <xdr:colOff>781050</xdr:colOff>
                    <xdr:row>7</xdr:row>
                    <xdr:rowOff>238125</xdr:rowOff>
                  </from>
                  <to>
                    <xdr:col>23</xdr:col>
                    <xdr:colOff>38100</xdr:colOff>
                    <xdr:row>9</xdr:row>
                    <xdr:rowOff>19050</xdr:rowOff>
                  </to>
                </anchor>
              </controlPr>
            </control>
          </mc:Choice>
        </mc:AlternateContent>
        <mc:AlternateContent xmlns:mc="http://schemas.openxmlformats.org/markup-compatibility/2006">
          <mc:Choice Requires="x14">
            <control shapeId="12300" r:id="rId12" name="Check Box 12">
              <controlPr defaultSize="0" autoFill="0" autoLine="0" autoPict="0">
                <anchor moveWithCells="1">
                  <from>
                    <xdr:col>8</xdr:col>
                    <xdr:colOff>781050</xdr:colOff>
                    <xdr:row>7</xdr:row>
                    <xdr:rowOff>238125</xdr:rowOff>
                  </from>
                  <to>
                    <xdr:col>9</xdr:col>
                    <xdr:colOff>38100</xdr:colOff>
                    <xdr:row>9</xdr:row>
                    <xdr:rowOff>19050</xdr:rowOff>
                  </to>
                </anchor>
              </controlPr>
            </control>
          </mc:Choice>
        </mc:AlternateContent>
        <mc:AlternateContent xmlns:mc="http://schemas.openxmlformats.org/markup-compatibility/2006">
          <mc:Choice Requires="x14">
            <control shapeId="12301" r:id="rId13" name="Check Box 13">
              <controlPr defaultSize="0" autoFill="0" autoLine="0" autoPict="0">
                <anchor moveWithCells="1">
                  <from>
                    <xdr:col>2</xdr:col>
                    <xdr:colOff>390525</xdr:colOff>
                    <xdr:row>20</xdr:row>
                    <xdr:rowOff>257175</xdr:rowOff>
                  </from>
                  <to>
                    <xdr:col>2</xdr:col>
                    <xdr:colOff>628650</xdr:colOff>
                    <xdr:row>21</xdr:row>
                    <xdr:rowOff>257175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14:formula1>
            <xm:f>'공채&amp;차세'!$AA$7:$AA$12</xm:f>
          </x14:formula1>
          <xm:sqref>E14</xm:sqref>
        </x14:dataValidation>
        <x14:dataValidation type="list" allowBlank="1" showInputMessage="1" showErrorMessage="1">
          <x14:formula1>
            <xm:f>INDIRECT(딜러사!$O$3)</xm:f>
          </x14:formula1>
          <xm:sqref>D3:G3</xm:sqref>
        </x14:dataValidation>
        <x14:dataValidation type="list" allowBlank="1" showInputMessage="1" showErrorMessage="1">
          <x14:formula1>
            <xm:f>INDIRECT(브랜드!$B$41)</xm:f>
          </x14:formula1>
          <xm:sqref>D6:G6</xm:sqref>
        </x14:dataValidation>
        <x14:dataValidation type="list" allowBlank="1" showInputMessage="1" showErrorMessage="1">
          <x14:formula1>
            <xm:f>브랜드!$B$2:$B$22</xm:f>
          </x14:formula1>
          <xm:sqref>D4:G4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F0"/>
  </sheetPr>
  <dimension ref="B1:BG39"/>
  <sheetViews>
    <sheetView zoomScale="120" zoomScaleNormal="120" workbookViewId="0">
      <selection activeCell="M27" sqref="M27"/>
    </sheetView>
  </sheetViews>
  <sheetFormatPr defaultRowHeight="13.5" x14ac:dyDescent="0.3"/>
  <cols>
    <col min="1" max="1" width="1.75" style="3" customWidth="1"/>
    <col min="2" max="3" width="6.5" style="26" customWidth="1"/>
    <col min="4" max="4" width="18.875" style="3" customWidth="1"/>
    <col min="5" max="5" width="20.375" style="3" customWidth="1"/>
    <col min="6" max="6" width="2" style="3" customWidth="1"/>
    <col min="7" max="7" width="13.5" style="26" customWidth="1"/>
    <col min="8" max="8" width="13.25" style="3" customWidth="1"/>
    <col min="9" max="9" width="7.375" style="11" customWidth="1"/>
    <col min="10" max="10" width="10" style="11" customWidth="1"/>
    <col min="11" max="11" width="2" style="3" customWidth="1"/>
    <col min="12" max="12" width="13.5" style="26" customWidth="1"/>
    <col min="13" max="13" width="13.25" style="3" customWidth="1"/>
    <col min="14" max="14" width="7.375" style="11" customWidth="1"/>
    <col min="15" max="15" width="10" style="11" customWidth="1"/>
    <col min="16" max="16" width="2" style="3" customWidth="1"/>
    <col min="17" max="17" width="13.5" style="26" customWidth="1"/>
    <col min="18" max="18" width="13.25" style="3" customWidth="1"/>
    <col min="19" max="19" width="7.375" style="11" customWidth="1"/>
    <col min="20" max="20" width="10" style="11" customWidth="1"/>
    <col min="21" max="21" width="9" style="3"/>
    <col min="22" max="22" width="9" style="10"/>
    <col min="23" max="47" width="9" style="3"/>
    <col min="48" max="59" width="9" style="379"/>
    <col min="60" max="16384" width="9" style="3"/>
  </cols>
  <sheetData>
    <row r="1" spans="2:21" ht="17.25" customHeight="1" x14ac:dyDescent="0.3"/>
    <row r="2" spans="2:21" ht="15" customHeight="1" thickBot="1" x14ac:dyDescent="0.35">
      <c r="G2" s="931" t="s">
        <v>1277</v>
      </c>
      <c r="H2" s="932"/>
      <c r="I2" s="932"/>
      <c r="J2" s="933"/>
      <c r="K2" s="12"/>
      <c r="L2" s="931" t="s">
        <v>1278</v>
      </c>
      <c r="M2" s="932"/>
      <c r="N2" s="932"/>
      <c r="O2" s="933"/>
      <c r="P2" s="12"/>
      <c r="Q2" s="931" t="s">
        <v>1279</v>
      </c>
      <c r="R2" s="932"/>
      <c r="S2" s="932"/>
      <c r="T2" s="933"/>
      <c r="U2" s="12"/>
    </row>
    <row r="3" spans="2:21" ht="15" customHeight="1" x14ac:dyDescent="0.3">
      <c r="B3" s="934" t="str">
        <f>'운용리스 입력'!D2</f>
        <v>2025_09_V1</v>
      </c>
      <c r="C3" s="935"/>
      <c r="D3" s="47" t="s">
        <v>1456</v>
      </c>
      <c r="E3" s="48">
        <f ca="1">TODAY()</f>
        <v>45904</v>
      </c>
      <c r="G3" s="34" t="s">
        <v>5</v>
      </c>
      <c r="H3" s="936">
        <f>'할부 입력'!J3</f>
        <v>36</v>
      </c>
      <c r="I3" s="936"/>
      <c r="J3" s="937"/>
      <c r="L3" s="34" t="s">
        <v>5</v>
      </c>
      <c r="M3" s="936">
        <f>'할부 입력'!Q3</f>
        <v>48</v>
      </c>
      <c r="N3" s="936"/>
      <c r="O3" s="937"/>
      <c r="Q3" s="34" t="s">
        <v>5</v>
      </c>
      <c r="R3" s="936">
        <f>'할부 입력'!X3</f>
        <v>60</v>
      </c>
      <c r="S3" s="936"/>
      <c r="T3" s="937"/>
    </row>
    <row r="4" spans="2:21" ht="15" customHeight="1" thickBot="1" x14ac:dyDescent="0.35">
      <c r="B4" s="927" t="s">
        <v>1</v>
      </c>
      <c r="C4" s="928"/>
      <c r="D4" s="929" t="str">
        <f>'할부 입력'!D3</f>
        <v>기타</v>
      </c>
      <c r="E4" s="930"/>
      <c r="G4" s="69" t="s">
        <v>1446</v>
      </c>
      <c r="H4" s="938">
        <f>IF('할부 입력'!BB7=TRUE,D13-H6*D13,D13-I6)</f>
        <v>35100000</v>
      </c>
      <c r="I4" s="938"/>
      <c r="J4" s="939"/>
      <c r="L4" s="69" t="s">
        <v>1446</v>
      </c>
      <c r="M4" s="938">
        <f>IF('할부 입력'!BB10=TRUE,D13-M6*D13,D13-N6)</f>
        <v>29000000</v>
      </c>
      <c r="N4" s="938"/>
      <c r="O4" s="939"/>
      <c r="Q4" s="69" t="s">
        <v>1446</v>
      </c>
      <c r="R4" s="938">
        <f>IF('할부 입력'!BB13=TRUE,D13-R6*D13,D13-S6)</f>
        <v>31200000</v>
      </c>
      <c r="S4" s="938"/>
      <c r="T4" s="939"/>
    </row>
    <row r="5" spans="2:21" ht="15" customHeight="1" thickBot="1" x14ac:dyDescent="0.35">
      <c r="B5" s="927" t="s">
        <v>0</v>
      </c>
      <c r="C5" s="928"/>
      <c r="D5" s="929" t="str">
        <f>'할부 입력'!D4</f>
        <v>BYD</v>
      </c>
      <c r="E5" s="930"/>
      <c r="G5" s="31"/>
      <c r="H5" s="12"/>
      <c r="I5" s="14"/>
      <c r="J5" s="14"/>
      <c r="K5" s="12"/>
      <c r="L5" s="31"/>
      <c r="M5" s="12"/>
      <c r="N5" s="14"/>
      <c r="O5" s="14"/>
      <c r="P5" s="12"/>
      <c r="Q5" s="31"/>
      <c r="R5" s="12"/>
      <c r="S5" s="14"/>
      <c r="T5" s="14"/>
    </row>
    <row r="6" spans="2:21" ht="15" customHeight="1" thickBot="1" x14ac:dyDescent="0.35">
      <c r="B6" s="927" t="s">
        <v>1235</v>
      </c>
      <c r="C6" s="928"/>
      <c r="D6" s="929" t="str">
        <f>'할부 입력'!D5</f>
        <v>BYD</v>
      </c>
      <c r="E6" s="930"/>
      <c r="G6" s="33" t="s">
        <v>1435</v>
      </c>
      <c r="H6" s="42">
        <f>IF('할부 입력'!BB7=TRUE,'할부 입력'!J6,'할부 입력'!L7/'할부 입력'!D11)</f>
        <v>0.1</v>
      </c>
      <c r="I6" s="942">
        <f>IF('할부 입력'!BB7=FALSE,'할부 입력'!L7,D13*H6)</f>
        <v>3900000</v>
      </c>
      <c r="J6" s="943"/>
      <c r="L6" s="33" t="s">
        <v>1435</v>
      </c>
      <c r="M6" s="42">
        <f>IF('할부 입력'!BB10=TRUE,'할부 입력'!Q6,'할부 입력'!S7/'할부 입력'!D11)</f>
        <v>0.25641025641025639</v>
      </c>
      <c r="N6" s="942">
        <f>IF('할부 입력'!BB10=FALSE,'할부 입력'!S7,D13*M6)</f>
        <v>10000000</v>
      </c>
      <c r="O6" s="943"/>
      <c r="Q6" s="33" t="s">
        <v>1435</v>
      </c>
      <c r="R6" s="42">
        <f>IF('할부 입력'!BB13=TRUE,'할부 입력'!X6,'할부 입력'!Z7/'할부 입력'!D11)</f>
        <v>0.2</v>
      </c>
      <c r="S6" s="942">
        <f>IF('할부 입력'!BB13=FALSE,'할부 입력'!Z7,D13*R6)</f>
        <v>7800000</v>
      </c>
      <c r="T6" s="943"/>
    </row>
    <row r="7" spans="2:21" ht="15" customHeight="1" x14ac:dyDescent="0.3">
      <c r="B7" s="927" t="s">
        <v>1236</v>
      </c>
      <c r="C7" s="928"/>
      <c r="D7" s="929" t="str">
        <f>'할부 입력'!D6</f>
        <v>ATTO 3</v>
      </c>
      <c r="E7" s="930"/>
      <c r="G7" s="37" t="s">
        <v>1472</v>
      </c>
      <c r="H7" s="38">
        <f>IF('할부 입력'!BB8=TRUE,'할부 내부'!H9,0)</f>
        <v>0</v>
      </c>
      <c r="I7" s="940">
        <f>IF('할부 입력'!BB8=TRUE,'할부 내부'!I9,0)</f>
        <v>0</v>
      </c>
      <c r="J7" s="941"/>
      <c r="L7" s="37" t="s">
        <v>1472</v>
      </c>
      <c r="M7" s="38">
        <f>IF('할부 입력'!BB11=TRUE,'할부 내부'!M9,0)</f>
        <v>0</v>
      </c>
      <c r="N7" s="940">
        <f>IF('할부 입력'!BB11=TRUE,'할부 내부'!N9,0)</f>
        <v>0</v>
      </c>
      <c r="O7" s="941"/>
      <c r="Q7" s="37" t="s">
        <v>1472</v>
      </c>
      <c r="R7" s="38">
        <f>IF('할부 입력'!BB14=TRUE,'할부 내부'!R9,0)</f>
        <v>0</v>
      </c>
      <c r="S7" s="940">
        <f>IF('할부 입력'!BB14=TRUE,'할부 내부'!S9,0)</f>
        <v>0</v>
      </c>
      <c r="T7" s="941"/>
    </row>
    <row r="8" spans="2:21" ht="15" customHeight="1" thickBot="1" x14ac:dyDescent="0.35">
      <c r="B8" s="955" t="s">
        <v>11</v>
      </c>
      <c r="C8" s="956"/>
      <c r="D8" s="957">
        <f>VLOOKUP($D$7,차종!E7:G1310,3,FALSE)</f>
        <v>0</v>
      </c>
      <c r="E8" s="958"/>
      <c r="G8" s="36" t="s">
        <v>1473</v>
      </c>
      <c r="H8" s="39">
        <f>VLOOKUP(H3,잔가!J41:K45,2,0)</f>
        <v>0.3</v>
      </c>
      <c r="I8" s="944">
        <f>D13*H8</f>
        <v>11700000</v>
      </c>
      <c r="J8" s="945"/>
      <c r="L8" s="36" t="s">
        <v>1473</v>
      </c>
      <c r="M8" s="39">
        <f>VLOOKUP(M3,잔가!J41:K45,2,0)</f>
        <v>0.2</v>
      </c>
      <c r="N8" s="944">
        <f>$D$13*M8</f>
        <v>7800000</v>
      </c>
      <c r="O8" s="945"/>
      <c r="Q8" s="36" t="s">
        <v>1473</v>
      </c>
      <c r="R8" s="39">
        <f>VLOOKUP(R3,잔가!J41:K45,2,0)</f>
        <v>0.15</v>
      </c>
      <c r="S8" s="944">
        <f>$D$13*R8</f>
        <v>5850000</v>
      </c>
      <c r="T8" s="945"/>
    </row>
    <row r="9" spans="2:21" ht="15" customHeight="1" thickBot="1" x14ac:dyDescent="0.35">
      <c r="G9" s="36" t="s">
        <v>1283</v>
      </c>
      <c r="H9" s="40">
        <f>IF('할부 입력'!BB9=TRUE,'할부 입력'!J9,'할부 입력'!L10/'할부 입력'!D11)</f>
        <v>0.25641025641025639</v>
      </c>
      <c r="I9" s="954">
        <f>IF('할부 입력'!BB9=FALSE,'할부 입력'!L7,D13*H9)</f>
        <v>10000000</v>
      </c>
      <c r="J9" s="945"/>
      <c r="L9" s="36" t="s">
        <v>1283</v>
      </c>
      <c r="M9" s="40">
        <f>IF('할부 입력'!BB12=TRUE,'할부 입력'!Q9,'할부 입력'!S10/'할부 입력'!D11)</f>
        <v>0.76923076923076927</v>
      </c>
      <c r="N9" s="954">
        <f>IF('할부 입력'!BB12=FALSE,'할부 입력'!S7,D13*M9)</f>
        <v>10000000</v>
      </c>
      <c r="O9" s="945"/>
      <c r="Q9" s="36" t="s">
        <v>1283</v>
      </c>
      <c r="R9" s="40">
        <f>IF('할부 입력'!BB15=TRUE,'할부 입력'!X9,'할부 입력'!Z10/'할부 입력'!D11)</f>
        <v>0.76923076923076927</v>
      </c>
      <c r="S9" s="954">
        <f>IF('할부 입력'!BB15=FALSE,'할부 입력'!Z7,D13*R9)</f>
        <v>30000000</v>
      </c>
      <c r="T9" s="945"/>
    </row>
    <row r="10" spans="2:21" ht="15" customHeight="1" x14ac:dyDescent="0.3">
      <c r="B10" s="946" t="s">
        <v>214</v>
      </c>
      <c r="C10" s="947"/>
      <c r="D10" s="948">
        <f>'할부 입력'!D8</f>
        <v>39000000</v>
      </c>
      <c r="E10" s="949"/>
      <c r="K10" s="12"/>
      <c r="P10" s="12"/>
    </row>
    <row r="11" spans="2:21" ht="15" customHeight="1" x14ac:dyDescent="0.3">
      <c r="B11" s="927" t="s">
        <v>217</v>
      </c>
      <c r="C11" s="928"/>
      <c r="D11" s="950">
        <f>'할부 입력'!D9</f>
        <v>0</v>
      </c>
      <c r="E11" s="951"/>
      <c r="G11" s="29" t="s">
        <v>1314</v>
      </c>
      <c r="H11" s="15"/>
      <c r="I11" s="952">
        <f>'금융리스 입력'!J13</f>
        <v>0</v>
      </c>
      <c r="J11" s="953"/>
      <c r="L11" s="29" t="s">
        <v>1314</v>
      </c>
      <c r="M11" s="15"/>
      <c r="N11" s="964">
        <f>'금융리스 입력'!Q13</f>
        <v>0</v>
      </c>
      <c r="O11" s="965"/>
      <c r="Q11" s="29" t="s">
        <v>1314</v>
      </c>
      <c r="R11" s="15"/>
      <c r="S11" s="964">
        <f>'금융리스 입력'!X13</f>
        <v>0</v>
      </c>
      <c r="T11" s="965"/>
    </row>
    <row r="12" spans="2:21" ht="15" customHeight="1" thickBot="1" x14ac:dyDescent="0.35">
      <c r="B12" s="927" t="s">
        <v>218</v>
      </c>
      <c r="C12" s="928"/>
      <c r="D12" s="950">
        <f>'할부 입력'!D10</f>
        <v>0</v>
      </c>
      <c r="E12" s="951"/>
      <c r="G12" s="30"/>
      <c r="H12" s="78" t="s">
        <v>1465</v>
      </c>
      <c r="I12" s="959">
        <f>IF((I13+I14+J17+J18+I15)/H4&gt;2.25%,"수수료 초과",2.25%-(J17+J18+I15)/H4)</f>
        <v>2.2499999999999999E-2</v>
      </c>
      <c r="J12" s="959"/>
      <c r="K12" s="12"/>
      <c r="L12" s="30"/>
      <c r="M12" s="78" t="s">
        <v>1465</v>
      </c>
      <c r="N12" s="959">
        <f>IF((N13+N14+O17+O18+N15)/M4&gt;2.25%,"수수료 초과",2.25%-(O17+O18+N15)/M4)</f>
        <v>2.2499999999999999E-2</v>
      </c>
      <c r="O12" s="959"/>
      <c r="P12" s="12"/>
      <c r="Q12" s="30"/>
      <c r="R12" s="78" t="s">
        <v>1465</v>
      </c>
      <c r="S12" s="959">
        <f>IF((S13+S14+T17+T18+S15)/R4&gt;2.25%,"수수료 초과",2.25%-(T17+T18+S15)/R4)</f>
        <v>2.2499999999999999E-2</v>
      </c>
      <c r="T12" s="959"/>
    </row>
    <row r="13" spans="2:21" ht="15" customHeight="1" thickBot="1" x14ac:dyDescent="0.35">
      <c r="B13" s="955" t="s">
        <v>219</v>
      </c>
      <c r="C13" s="956"/>
      <c r="D13" s="957">
        <f>'할부 입력'!D11</f>
        <v>39000000</v>
      </c>
      <c r="E13" s="958"/>
      <c r="G13" s="34" t="s">
        <v>1307</v>
      </c>
      <c r="H13" s="43">
        <f>'할부 입력'!J16</f>
        <v>0</v>
      </c>
      <c r="I13" s="960">
        <f>ROUNDDOWN((H13*$H$4),-1)</f>
        <v>0</v>
      </c>
      <c r="J13" s="961"/>
      <c r="L13" s="34" t="s">
        <v>1307</v>
      </c>
      <c r="M13" s="45">
        <f>'할부 입력'!Q16</f>
        <v>0</v>
      </c>
      <c r="N13" s="960">
        <f>ROUNDDOWN((M13*$M$4),-1)</f>
        <v>0</v>
      </c>
      <c r="O13" s="961"/>
      <c r="Q13" s="34" t="s">
        <v>1307</v>
      </c>
      <c r="R13" s="45">
        <f>'할부 입력'!X16</f>
        <v>0</v>
      </c>
      <c r="S13" s="960">
        <f>ROUNDDOWN((R13*$R$4),-1)</f>
        <v>0</v>
      </c>
      <c r="T13" s="961"/>
    </row>
    <row r="14" spans="2:21" ht="15" customHeight="1" thickBot="1" x14ac:dyDescent="0.35">
      <c r="B14" s="27"/>
      <c r="E14" s="11"/>
      <c r="G14" s="69" t="s">
        <v>1308</v>
      </c>
      <c r="H14" s="44">
        <f>'할부 입력'!J17</f>
        <v>0</v>
      </c>
      <c r="I14" s="962">
        <f>ROUNDDOWN((H14*$H$4),-1)</f>
        <v>0</v>
      </c>
      <c r="J14" s="963"/>
      <c r="L14" s="69" t="s">
        <v>1308</v>
      </c>
      <c r="M14" s="46">
        <f>'할부 입력'!Q17</f>
        <v>0</v>
      </c>
      <c r="N14" s="962">
        <f>ROUNDDOWN((M14*$M$4),-1)</f>
        <v>0</v>
      </c>
      <c r="O14" s="963"/>
      <c r="Q14" s="69" t="s">
        <v>1308</v>
      </c>
      <c r="R14" s="46">
        <f>'할부 입력'!X17</f>
        <v>0</v>
      </c>
      <c r="S14" s="962">
        <f>ROUNDDOWN((R14*$R$4),-1)</f>
        <v>0</v>
      </c>
      <c r="T14" s="963"/>
    </row>
    <row r="15" spans="2:21" ht="15" customHeight="1" x14ac:dyDescent="0.3">
      <c r="B15" s="946" t="s">
        <v>1273</v>
      </c>
      <c r="C15" s="947"/>
      <c r="D15" s="948">
        <f>'할부 입력'!D13</f>
        <v>1081810</v>
      </c>
      <c r="E15" s="949"/>
      <c r="G15" s="28" t="s">
        <v>1260</v>
      </c>
      <c r="H15" s="13"/>
      <c r="I15" s="972">
        <v>0</v>
      </c>
      <c r="J15" s="973"/>
      <c r="L15" s="28" t="s">
        <v>1260</v>
      </c>
      <c r="M15" s="13"/>
      <c r="N15" s="972">
        <v>0</v>
      </c>
      <c r="O15" s="973"/>
      <c r="Q15" s="28" t="s">
        <v>1260</v>
      </c>
      <c r="R15" s="13"/>
      <c r="S15" s="972">
        <v>0</v>
      </c>
      <c r="T15" s="973"/>
    </row>
    <row r="16" spans="2:21" ht="15" customHeight="1" x14ac:dyDescent="0.3">
      <c r="B16" s="966" t="s">
        <v>2</v>
      </c>
      <c r="C16" s="967"/>
      <c r="D16" s="929" t="str">
        <f>'할부 입력'!E14</f>
        <v>서울</v>
      </c>
      <c r="E16" s="930"/>
      <c r="G16" s="70" t="s">
        <v>1480</v>
      </c>
      <c r="H16" s="13"/>
      <c r="I16" s="970">
        <f>IF(H4&lt;100000001,IF(H4&lt;50000001,0,35000),75000)</f>
        <v>0</v>
      </c>
      <c r="J16" s="971"/>
      <c r="K16" s="12"/>
      <c r="L16" s="70" t="s">
        <v>1480</v>
      </c>
      <c r="N16" s="970">
        <f>IF(M4&lt;100000001,IF(M4&lt;50000001,0,35000),75000)</f>
        <v>0</v>
      </c>
      <c r="O16" s="971"/>
      <c r="P16" s="12"/>
      <c r="Q16" s="70" t="s">
        <v>1480</v>
      </c>
      <c r="S16" s="970">
        <f>IF(R4&lt;100000001,IF(R4&lt;50000001,0,35000),75000)</f>
        <v>0</v>
      </c>
      <c r="T16" s="971"/>
    </row>
    <row r="17" spans="2:21" ht="15" customHeight="1" x14ac:dyDescent="0.3">
      <c r="B17" s="968"/>
      <c r="C17" s="969"/>
      <c r="D17" s="21">
        <f>'할부 입력'!E15</f>
        <v>0.09</v>
      </c>
      <c r="E17" s="49">
        <f>'할부 입력'!F15</f>
        <v>0</v>
      </c>
      <c r="G17" s="67" t="s">
        <v>1316</v>
      </c>
      <c r="H17" s="75" t="str">
        <f>$D$4</f>
        <v>기타</v>
      </c>
      <c r="I17" s="73">
        <f>VLOOKUP($D$4,딜러사!$J$6:$L$25,3,FALSE)-딜러사!G28-딜러사!G29</f>
        <v>0</v>
      </c>
      <c r="J17" s="76">
        <f>ROUNDDOWN((I17*H4),-1)</f>
        <v>0</v>
      </c>
      <c r="L17" s="67" t="s">
        <v>1316</v>
      </c>
      <c r="M17" s="75" t="str">
        <f>$D$4</f>
        <v>기타</v>
      </c>
      <c r="N17" s="73">
        <f>VLOOKUP($D$4,딜러사!$J$6:$L$25,3,FALSE)-딜러사!G28-딜러사!G29</f>
        <v>0</v>
      </c>
      <c r="O17" s="76">
        <f>ROUNDDOWN((N17*M4),-1)</f>
        <v>0</v>
      </c>
      <c r="Q17" s="67" t="s">
        <v>1316</v>
      </c>
      <c r="R17" s="75" t="str">
        <f>$D$4</f>
        <v>기타</v>
      </c>
      <c r="S17" s="73">
        <f>VLOOKUP($D$4,딜러사!$J$6:$L$25,3,FALSE)-딜러사!G28-딜러사!G29</f>
        <v>0</v>
      </c>
      <c r="T17" s="76">
        <f>ROUNDDOWN((S17*R4),-1)</f>
        <v>0</v>
      </c>
    </row>
    <row r="18" spans="2:21" ht="15" customHeight="1" x14ac:dyDescent="0.3">
      <c r="B18" s="927" t="s">
        <v>4</v>
      </c>
      <c r="C18" s="928"/>
      <c r="D18" s="950">
        <f>'할부 입력'!D16:G16</f>
        <v>100000</v>
      </c>
      <c r="E18" s="951"/>
      <c r="G18" s="68" t="s">
        <v>1317</v>
      </c>
      <c r="H18" s="376" t="str">
        <f>IF(D4="브리티시오토",D4,IF(D4="모터원","모터원담당",""))</f>
        <v/>
      </c>
      <c r="I18" s="74">
        <f>IF(D4="브리티시오토",0.2%,IF(D4="모터원",0.2%,0))</f>
        <v>0</v>
      </c>
      <c r="J18" s="77">
        <f>ROUNDDOWN((I18*H4),-1)</f>
        <v>0</v>
      </c>
      <c r="L18" s="68" t="s">
        <v>1317</v>
      </c>
      <c r="M18" s="376" t="str">
        <f>IF(D4="브리티시오토",D4,IF(D4="모터원","모터원담당",""))</f>
        <v/>
      </c>
      <c r="N18" s="74">
        <f>IF(D4="브리티시오토",0.2%,IF(D4="모터원",0.2%,0))</f>
        <v>0</v>
      </c>
      <c r="O18" s="77">
        <f>ROUNDDOWN((N18*M4),-1)</f>
        <v>0</v>
      </c>
      <c r="Q18" s="68" t="s">
        <v>1317</v>
      </c>
      <c r="R18" s="376" t="str">
        <f>IF(D4="브리티시오토",D4,IF(D4="모터원","모터원담당",""))</f>
        <v/>
      </c>
      <c r="S18" s="74">
        <f>IF(D4="브리티시오토",0.2%,IF(D4="모터원",0.2%,0))</f>
        <v>0</v>
      </c>
      <c r="T18" s="77">
        <f>ROUNDDOWN((S18*R4),-1)</f>
        <v>0</v>
      </c>
    </row>
    <row r="19" spans="2:21" ht="15" customHeight="1" thickBot="1" x14ac:dyDescent="0.35">
      <c r="B19" s="927" t="s">
        <v>3</v>
      </c>
      <c r="C19" s="928"/>
      <c r="D19" s="950">
        <f>'할부 입력'!D17:G17</f>
        <v>100000</v>
      </c>
      <c r="E19" s="951"/>
      <c r="G19" s="30"/>
      <c r="H19" s="78" t="s">
        <v>1466</v>
      </c>
      <c r="I19" s="959">
        <f>(I13+I14+J17+J18)/H4</f>
        <v>0</v>
      </c>
      <c r="J19" s="959"/>
      <c r="K19" s="12"/>
      <c r="L19" s="30"/>
      <c r="M19" s="78" t="s">
        <v>1466</v>
      </c>
      <c r="N19" s="959">
        <f>(N13+N14+O17+O18)/M4</f>
        <v>0</v>
      </c>
      <c r="O19" s="959"/>
      <c r="P19" s="12"/>
      <c r="Q19" s="30"/>
      <c r="R19" s="78" t="s">
        <v>1466</v>
      </c>
      <c r="S19" s="959">
        <f>(S13+S14+T17+T18)/R4</f>
        <v>0</v>
      </c>
      <c r="T19" s="959"/>
    </row>
    <row r="20" spans="2:21" ht="15" customHeight="1" thickBot="1" x14ac:dyDescent="0.35">
      <c r="B20" s="955" t="s">
        <v>215</v>
      </c>
      <c r="C20" s="956"/>
      <c r="D20" s="957">
        <f>'할부 입력'!D18:G18</f>
        <v>1281810</v>
      </c>
      <c r="E20" s="958"/>
      <c r="G20" s="33" t="s">
        <v>1469</v>
      </c>
      <c r="H20" s="35"/>
      <c r="I20" s="942">
        <f>H25</f>
        <v>1074300</v>
      </c>
      <c r="J20" s="943"/>
      <c r="L20" s="33" t="s">
        <v>1469</v>
      </c>
      <c r="M20" s="35"/>
      <c r="N20" s="975">
        <f>M25</f>
        <v>685200</v>
      </c>
      <c r="O20" s="976"/>
      <c r="Q20" s="33" t="s">
        <v>1469</v>
      </c>
      <c r="R20" s="35"/>
      <c r="S20" s="975">
        <f>R25</f>
        <v>606900</v>
      </c>
      <c r="T20" s="976"/>
    </row>
    <row r="21" spans="2:21" ht="15" customHeight="1" thickBot="1" x14ac:dyDescent="0.35">
      <c r="B21" s="27"/>
      <c r="E21" s="11"/>
      <c r="G21" s="33" t="s">
        <v>1310</v>
      </c>
      <c r="H21" s="977">
        <f>RATE(H3,H25,-H4,I7,0,0.00001)*12</f>
        <v>6.4073227963808377E-2</v>
      </c>
      <c r="I21" s="978"/>
      <c r="J21" s="979"/>
      <c r="L21" s="33" t="s">
        <v>1310</v>
      </c>
      <c r="M21" s="977">
        <f>RATE(M3,M25,-M4,N7,0,0.00001)*12</f>
        <v>6.3103598779096479E-2</v>
      </c>
      <c r="N21" s="978"/>
      <c r="O21" s="979"/>
      <c r="Q21" s="33" t="s">
        <v>1310</v>
      </c>
      <c r="R21" s="977">
        <f>RATE(R3,R25,-R4,S7,0,0.00001)*12</f>
        <v>6.2557024166873851E-2</v>
      </c>
      <c r="S21" s="978"/>
      <c r="T21" s="979"/>
    </row>
    <row r="22" spans="2:21" ht="15" customHeight="1" thickBot="1" x14ac:dyDescent="0.35">
      <c r="B22" s="31"/>
      <c r="C22" s="31"/>
      <c r="D22" s="974"/>
      <c r="E22" s="974"/>
      <c r="G22" s="33" t="s">
        <v>1271</v>
      </c>
      <c r="H22" s="977">
        <f>VLOOKUP($D$5,브랜드!$B$2:$E$29,4,FALSE)</f>
        <v>0.06</v>
      </c>
      <c r="I22" s="978"/>
      <c r="J22" s="979"/>
      <c r="K22" s="12"/>
      <c r="L22" s="33" t="s">
        <v>1271</v>
      </c>
      <c r="M22" s="977">
        <f>VLOOKUP($D$5,브랜드!$B$2:$E$29,4,FALSE)</f>
        <v>0.06</v>
      </c>
      <c r="N22" s="978"/>
      <c r="O22" s="979"/>
      <c r="P22" s="12"/>
      <c r="Q22" s="33" t="s">
        <v>1271</v>
      </c>
      <c r="R22" s="977">
        <f>VLOOKUP($D$5,브랜드!$B$2:$E$29,4,FALSE)</f>
        <v>0.06</v>
      </c>
      <c r="S22" s="978"/>
      <c r="T22" s="979"/>
      <c r="U22" s="12"/>
    </row>
    <row r="23" spans="2:21" ht="15" customHeight="1" thickBot="1" x14ac:dyDescent="0.35">
      <c r="B23" s="30"/>
      <c r="C23" s="30"/>
      <c r="D23" s="12"/>
      <c r="E23" s="12"/>
      <c r="G23" s="33" t="s">
        <v>1479</v>
      </c>
      <c r="H23" s="41">
        <f>'할부 입력'!J21</f>
        <v>1</v>
      </c>
      <c r="I23" s="980">
        <f>H4*0.6%*H23</f>
        <v>210600</v>
      </c>
      <c r="J23" s="943"/>
      <c r="L23" s="33" t="s">
        <v>1479</v>
      </c>
      <c r="M23" s="41">
        <f>'할부 입력'!Q21</f>
        <v>1</v>
      </c>
      <c r="N23" s="980">
        <f>M4*0.6%*M23</f>
        <v>174000</v>
      </c>
      <c r="O23" s="943"/>
      <c r="Q23" s="33" t="s">
        <v>1479</v>
      </c>
      <c r="R23" s="41">
        <f>'할부 입력'!X21</f>
        <v>1</v>
      </c>
      <c r="S23" s="980">
        <f>R4*0.6%*R23</f>
        <v>187200</v>
      </c>
      <c r="T23" s="943"/>
      <c r="U23" s="12"/>
    </row>
    <row r="24" spans="2:21" ht="15" customHeight="1" x14ac:dyDescent="0.3">
      <c r="G24" s="3"/>
      <c r="I24" s="3"/>
      <c r="J24" s="3"/>
      <c r="L24" s="3"/>
      <c r="N24" s="3"/>
      <c r="O24" s="3"/>
      <c r="Q24" s="3"/>
      <c r="S24" s="3"/>
      <c r="T24" s="3"/>
      <c r="U24" s="12"/>
    </row>
    <row r="25" spans="2:21" ht="15" customHeight="1" x14ac:dyDescent="0.3">
      <c r="G25" s="71" t="s">
        <v>1469</v>
      </c>
      <c r="H25" s="950">
        <f>ROUNDUP(PMT(H22/12,H3,-H4-I13-I14-I16-I15-I23-J17-J18+I11,I7),-2)</f>
        <v>1074300</v>
      </c>
      <c r="I25" s="952"/>
      <c r="J25" s="953"/>
      <c r="K25" s="14"/>
      <c r="L25" s="72" t="s">
        <v>1469</v>
      </c>
      <c r="M25" s="950">
        <f>ROUNDUP(PMT(M22/12,M3,-M4-N13-N14-N16-N15-N23-O17-O18+N11,N7),-2)</f>
        <v>685200</v>
      </c>
      <c r="N25" s="952"/>
      <c r="O25" s="953"/>
      <c r="P25" s="14"/>
      <c r="Q25" s="72" t="s">
        <v>1469</v>
      </c>
      <c r="R25" s="950">
        <f>ROUNDUP(PMT(R22/12,R3,-R4-S13-S14-S16-S15-S23-T17-T18+S11,S7),-2)</f>
        <v>606900</v>
      </c>
      <c r="S25" s="952"/>
      <c r="T25" s="953"/>
      <c r="U25" s="12"/>
    </row>
    <row r="26" spans="2:21" ht="15" customHeight="1" x14ac:dyDescent="0.3">
      <c r="U26" s="12"/>
    </row>
    <row r="27" spans="2:21" ht="15" customHeight="1" x14ac:dyDescent="0.3">
      <c r="G27" s="30"/>
      <c r="H27" s="12"/>
      <c r="I27" s="12"/>
      <c r="J27" s="14"/>
      <c r="K27" s="12"/>
      <c r="L27" s="30"/>
      <c r="M27" s="12"/>
      <c r="N27" s="12"/>
      <c r="O27" s="14"/>
      <c r="P27" s="12"/>
      <c r="Q27" s="30"/>
      <c r="R27" s="12"/>
      <c r="S27" s="12"/>
      <c r="T27" s="14"/>
      <c r="U27" s="12"/>
    </row>
    <row r="28" spans="2:21" ht="15" customHeight="1" x14ac:dyDescent="0.3">
      <c r="G28" s="30"/>
      <c r="H28" s="12"/>
      <c r="I28" s="14"/>
      <c r="J28" s="14"/>
      <c r="K28" s="12"/>
      <c r="L28" s="30"/>
      <c r="M28" s="12"/>
      <c r="N28" s="14"/>
      <c r="O28" s="14"/>
      <c r="P28" s="12"/>
      <c r="Q28" s="30"/>
      <c r="R28" s="12"/>
      <c r="S28" s="14"/>
      <c r="T28" s="14"/>
      <c r="U28" s="12"/>
    </row>
    <row r="29" spans="2:21" ht="15" customHeight="1" x14ac:dyDescent="0.3">
      <c r="G29" s="30"/>
      <c r="H29" s="12"/>
      <c r="I29" s="14"/>
      <c r="J29" s="14"/>
      <c r="K29" s="12"/>
      <c r="L29" s="30"/>
      <c r="M29" s="12"/>
      <c r="N29" s="14"/>
      <c r="O29" s="14"/>
      <c r="P29" s="12"/>
      <c r="Q29" s="30"/>
      <c r="R29" s="12"/>
      <c r="S29" s="14"/>
      <c r="T29" s="14"/>
      <c r="U29" s="12"/>
    </row>
    <row r="30" spans="2:21" ht="15" customHeight="1" x14ac:dyDescent="0.3">
      <c r="F30" s="12"/>
      <c r="U30" s="12"/>
    </row>
    <row r="31" spans="2:21" ht="15" customHeight="1" x14ac:dyDescent="0.3">
      <c r="F31" s="12"/>
      <c r="O31" s="3"/>
      <c r="U31" s="12"/>
    </row>
    <row r="32" spans="2:21" ht="15" customHeight="1" x14ac:dyDescent="0.3">
      <c r="F32" s="12"/>
      <c r="U32" s="12"/>
    </row>
    <row r="33" spans="6:21" ht="15" customHeight="1" x14ac:dyDescent="0.3">
      <c r="F33" s="12"/>
      <c r="U33" s="12"/>
    </row>
    <row r="34" spans="6:21" ht="15" customHeight="1" x14ac:dyDescent="0.3">
      <c r="F34" s="12"/>
      <c r="H34" s="11"/>
      <c r="K34" s="11"/>
      <c r="L34" s="32"/>
      <c r="M34" s="11"/>
      <c r="P34" s="11"/>
      <c r="Q34" s="32"/>
      <c r="R34" s="11"/>
      <c r="U34" s="12"/>
    </row>
    <row r="35" spans="6:21" ht="15" customHeight="1" x14ac:dyDescent="0.3">
      <c r="F35" s="12"/>
      <c r="G35" s="30"/>
      <c r="I35" s="12"/>
      <c r="J35" s="14"/>
      <c r="K35" s="12"/>
      <c r="L35" s="30"/>
      <c r="M35" s="12"/>
      <c r="N35" s="14"/>
      <c r="O35" s="14"/>
      <c r="P35" s="12"/>
      <c r="Q35" s="30"/>
      <c r="R35" s="12"/>
      <c r="S35" s="14"/>
      <c r="T35" s="14"/>
      <c r="U35" s="12"/>
    </row>
    <row r="39" spans="6:21" ht="15" customHeight="1" x14ac:dyDescent="0.3"/>
  </sheetData>
  <mergeCells count="87">
    <mergeCell ref="S15:T15"/>
    <mergeCell ref="S16:T16"/>
    <mergeCell ref="I19:J19"/>
    <mergeCell ref="N19:O19"/>
    <mergeCell ref="S19:T19"/>
    <mergeCell ref="N16:O16"/>
    <mergeCell ref="N15:O15"/>
    <mergeCell ref="H25:J25"/>
    <mergeCell ref="M25:O25"/>
    <mergeCell ref="R25:T25"/>
    <mergeCell ref="I23:J23"/>
    <mergeCell ref="N23:O23"/>
    <mergeCell ref="S23:T23"/>
    <mergeCell ref="D22:E22"/>
    <mergeCell ref="I20:J20"/>
    <mergeCell ref="N20:O20"/>
    <mergeCell ref="S20:T20"/>
    <mergeCell ref="B19:C19"/>
    <mergeCell ref="D19:E19"/>
    <mergeCell ref="B20:C20"/>
    <mergeCell ref="D20:E20"/>
    <mergeCell ref="M22:O22"/>
    <mergeCell ref="R22:T22"/>
    <mergeCell ref="H21:J21"/>
    <mergeCell ref="M21:O21"/>
    <mergeCell ref="R21:T21"/>
    <mergeCell ref="H22:J22"/>
    <mergeCell ref="B18:C18"/>
    <mergeCell ref="D18:E18"/>
    <mergeCell ref="B13:C13"/>
    <mergeCell ref="D13:E13"/>
    <mergeCell ref="I13:J13"/>
    <mergeCell ref="B15:C15"/>
    <mergeCell ref="D15:E15"/>
    <mergeCell ref="B16:C17"/>
    <mergeCell ref="D16:E16"/>
    <mergeCell ref="I16:J16"/>
    <mergeCell ref="I15:J15"/>
    <mergeCell ref="S13:T13"/>
    <mergeCell ref="I14:J14"/>
    <mergeCell ref="N14:O14"/>
    <mergeCell ref="S14:T14"/>
    <mergeCell ref="S11:T11"/>
    <mergeCell ref="N11:O11"/>
    <mergeCell ref="N13:O13"/>
    <mergeCell ref="B12:C12"/>
    <mergeCell ref="D12:E12"/>
    <mergeCell ref="I12:J12"/>
    <mergeCell ref="N12:O12"/>
    <mergeCell ref="S12:T12"/>
    <mergeCell ref="N8:O8"/>
    <mergeCell ref="S8:T8"/>
    <mergeCell ref="B10:C10"/>
    <mergeCell ref="D10:E10"/>
    <mergeCell ref="B11:C11"/>
    <mergeCell ref="D11:E11"/>
    <mergeCell ref="I11:J11"/>
    <mergeCell ref="I9:J9"/>
    <mergeCell ref="N9:O9"/>
    <mergeCell ref="S9:T9"/>
    <mergeCell ref="B8:C8"/>
    <mergeCell ref="D8:E8"/>
    <mergeCell ref="I8:J8"/>
    <mergeCell ref="B6:C6"/>
    <mergeCell ref="D6:E6"/>
    <mergeCell ref="I6:J6"/>
    <mergeCell ref="N6:O6"/>
    <mergeCell ref="S6:T6"/>
    <mergeCell ref="B7:C7"/>
    <mergeCell ref="D7:E7"/>
    <mergeCell ref="I7:J7"/>
    <mergeCell ref="N7:O7"/>
    <mergeCell ref="S7:T7"/>
    <mergeCell ref="B5:C5"/>
    <mergeCell ref="D5:E5"/>
    <mergeCell ref="G2:J2"/>
    <mergeCell ref="L2:O2"/>
    <mergeCell ref="Q2:T2"/>
    <mergeCell ref="B3:C3"/>
    <mergeCell ref="H3:J3"/>
    <mergeCell ref="M3:O3"/>
    <mergeCell ref="R3:T3"/>
    <mergeCell ref="B4:C4"/>
    <mergeCell ref="D4:E4"/>
    <mergeCell ref="H4:J4"/>
    <mergeCell ref="M4:O4"/>
    <mergeCell ref="R4:T4"/>
  </mergeCells>
  <phoneticPr fontId="1" type="noConversion"/>
  <dataValidations disablePrompts="1" count="1">
    <dataValidation type="list" allowBlank="1" showInputMessage="1" showErrorMessage="1" sqref="P4">
      <formula1>"10000,15000,20000,30000"</formula1>
    </dataValidation>
  </dataValidations>
  <pageMargins left="0.7" right="0.7" top="0.75" bottom="0.75" header="0.3" footer="0.3"/>
  <pageSetup paperSize="9" scale="40" orientation="portrait" r:id="rId1"/>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1:T44"/>
  <sheetViews>
    <sheetView zoomScaleNormal="100" workbookViewId="0">
      <selection activeCell="P23" sqref="P23"/>
    </sheetView>
  </sheetViews>
  <sheetFormatPr defaultRowHeight="13.5" x14ac:dyDescent="0.3"/>
  <cols>
    <col min="1" max="1" width="2.625" style="3" customWidth="1"/>
    <col min="2" max="2" width="24.75" style="3" bestFit="1" customWidth="1"/>
    <col min="3" max="5" width="7.25" style="10" customWidth="1"/>
    <col min="6" max="6" width="4.375" style="3" customWidth="1"/>
    <col min="7" max="7" width="5.125" style="340" bestFit="1" customWidth="1"/>
    <col min="8" max="8" width="6.875" style="340" bestFit="1" customWidth="1"/>
    <col min="9" max="9" width="7.125" style="340" bestFit="1" customWidth="1"/>
    <col min="10" max="10" width="7.875" style="340" bestFit="1" customWidth="1"/>
    <col min="11" max="11" width="6.5" style="340" bestFit="1" customWidth="1"/>
    <col min="12" max="12" width="10" style="340" bestFit="1" customWidth="1"/>
    <col min="13" max="13" width="9" style="340" bestFit="1" customWidth="1"/>
    <col min="14" max="14" width="18" style="340" bestFit="1" customWidth="1"/>
    <col min="15" max="15" width="7.625" style="340" bestFit="1" customWidth="1"/>
    <col min="16" max="16" width="8.875" style="340" bestFit="1" customWidth="1"/>
    <col min="17" max="18" width="10.5" style="340" bestFit="1" customWidth="1"/>
    <col min="19" max="19" width="11.625" style="340" bestFit="1" customWidth="1"/>
    <col min="20" max="20" width="16.5" style="340" bestFit="1" customWidth="1"/>
    <col min="21" max="16384" width="9" style="3"/>
  </cols>
  <sheetData>
    <row r="1" spans="2:20" x14ac:dyDescent="0.3">
      <c r="B1" s="3" t="s">
        <v>0</v>
      </c>
      <c r="C1" s="339" t="s">
        <v>1378</v>
      </c>
      <c r="D1" s="339" t="s">
        <v>1379</v>
      </c>
      <c r="E1" s="339" t="s">
        <v>1380</v>
      </c>
    </row>
    <row r="2" spans="2:20" x14ac:dyDescent="0.3">
      <c r="B2" s="3" t="s">
        <v>14</v>
      </c>
      <c r="C2" s="10">
        <v>5.0500000000000003E-2</v>
      </c>
      <c r="D2" s="10">
        <v>5.8000000000000003E-2</v>
      </c>
      <c r="E2" s="10">
        <v>5.8000000000000003E-2</v>
      </c>
      <c r="G2" s="340" t="s">
        <v>14</v>
      </c>
      <c r="H2" s="340" t="s">
        <v>37</v>
      </c>
      <c r="I2" s="340" t="s">
        <v>13</v>
      </c>
      <c r="J2" s="340" t="s">
        <v>71</v>
      </c>
      <c r="K2" s="340" t="s">
        <v>17</v>
      </c>
      <c r="L2" s="340" t="s">
        <v>97</v>
      </c>
      <c r="M2" s="340" t="s">
        <v>21</v>
      </c>
      <c r="N2" s="340" t="s">
        <v>122</v>
      </c>
      <c r="O2" s="340" t="s">
        <v>25</v>
      </c>
      <c r="P2" s="340">
        <v>208</v>
      </c>
      <c r="Q2" s="340" t="s">
        <v>29</v>
      </c>
      <c r="R2" s="340" t="s">
        <v>164</v>
      </c>
      <c r="S2" s="340" t="s">
        <v>31</v>
      </c>
      <c r="T2" s="340" t="s">
        <v>186</v>
      </c>
    </row>
    <row r="3" spans="2:20" x14ac:dyDescent="0.3">
      <c r="B3" s="3" t="s">
        <v>12</v>
      </c>
      <c r="C3" s="10">
        <v>5.0500000000000003E-2</v>
      </c>
      <c r="D3" s="10">
        <v>5.5E-2</v>
      </c>
      <c r="E3" s="10">
        <v>5.5E-2</v>
      </c>
      <c r="G3" s="340" t="s">
        <v>14</v>
      </c>
      <c r="H3" s="340" t="s">
        <v>38</v>
      </c>
      <c r="I3" s="340" t="s">
        <v>13</v>
      </c>
      <c r="J3" s="340" t="s">
        <v>72</v>
      </c>
      <c r="K3" s="340" t="s">
        <v>17</v>
      </c>
      <c r="L3" s="340" t="s">
        <v>98</v>
      </c>
      <c r="M3" s="340" t="s">
        <v>21</v>
      </c>
      <c r="N3" s="340" t="s">
        <v>123</v>
      </c>
      <c r="O3" s="340" t="s">
        <v>25</v>
      </c>
      <c r="P3" s="340">
        <v>308</v>
      </c>
      <c r="Q3" s="340" t="s">
        <v>29</v>
      </c>
      <c r="R3" s="340" t="s">
        <v>165</v>
      </c>
      <c r="S3" s="340" t="s">
        <v>31</v>
      </c>
      <c r="T3" s="340" t="s">
        <v>187</v>
      </c>
    </row>
    <row r="4" spans="2:20" x14ac:dyDescent="0.3">
      <c r="B4" s="3" t="s">
        <v>13</v>
      </c>
      <c r="C4" s="10">
        <v>5.0500000000000003E-2</v>
      </c>
      <c r="D4" s="10">
        <v>5.5E-2</v>
      </c>
      <c r="E4" s="10">
        <v>5.5E-2</v>
      </c>
      <c r="G4" s="340" t="s">
        <v>14</v>
      </c>
      <c r="H4" s="340" t="s">
        <v>39</v>
      </c>
      <c r="I4" s="340" t="s">
        <v>13</v>
      </c>
      <c r="J4" s="340" t="s">
        <v>73</v>
      </c>
      <c r="K4" s="340" t="s">
        <v>17</v>
      </c>
      <c r="L4" s="340" t="s">
        <v>99</v>
      </c>
      <c r="M4" s="340" t="s">
        <v>21</v>
      </c>
      <c r="N4" s="340" t="s">
        <v>1301</v>
      </c>
      <c r="O4" s="340" t="s">
        <v>25</v>
      </c>
      <c r="P4" s="340">
        <v>408</v>
      </c>
      <c r="Q4" s="340" t="s">
        <v>29</v>
      </c>
      <c r="R4" s="340" t="s">
        <v>166</v>
      </c>
      <c r="S4" s="340" t="s">
        <v>31</v>
      </c>
      <c r="T4" s="340" t="s">
        <v>188</v>
      </c>
    </row>
    <row r="5" spans="2:20" x14ac:dyDescent="0.3">
      <c r="B5" s="3" t="s">
        <v>15</v>
      </c>
      <c r="C5" s="10">
        <v>5.3999999999999999E-2</v>
      </c>
      <c r="D5" s="10">
        <v>5.3999999999999999E-2</v>
      </c>
      <c r="E5" s="10">
        <v>5.3999999999999999E-2</v>
      </c>
      <c r="G5" s="340" t="s">
        <v>14</v>
      </c>
      <c r="H5" s="340" t="s">
        <v>40</v>
      </c>
      <c r="I5" s="340" t="s">
        <v>13</v>
      </c>
      <c r="J5" s="340" t="s">
        <v>74</v>
      </c>
      <c r="K5" s="340" t="s">
        <v>17</v>
      </c>
      <c r="L5" s="340" t="s">
        <v>100</v>
      </c>
      <c r="M5" s="340" t="s">
        <v>21</v>
      </c>
      <c r="N5" s="340" t="s">
        <v>1300</v>
      </c>
      <c r="O5" s="340" t="s">
        <v>25</v>
      </c>
      <c r="P5" s="340">
        <v>508</v>
      </c>
      <c r="Q5" s="340" t="s">
        <v>29</v>
      </c>
      <c r="R5" s="340" t="s">
        <v>167</v>
      </c>
      <c r="S5" s="340" t="s">
        <v>31</v>
      </c>
      <c r="T5" s="340" t="s">
        <v>189</v>
      </c>
    </row>
    <row r="6" spans="2:20" x14ac:dyDescent="0.3">
      <c r="B6" s="3" t="s">
        <v>16</v>
      </c>
      <c r="C6" s="10">
        <v>5.8000000000000003E-2</v>
      </c>
      <c r="D6" s="10">
        <v>0.06</v>
      </c>
      <c r="E6" s="10">
        <v>0.06</v>
      </c>
      <c r="G6" s="340" t="s">
        <v>14</v>
      </c>
      <c r="H6" s="340" t="s">
        <v>41</v>
      </c>
      <c r="I6" s="340" t="s">
        <v>13</v>
      </c>
      <c r="J6" s="340" t="s">
        <v>75</v>
      </c>
      <c r="K6" s="340" t="s">
        <v>17</v>
      </c>
      <c r="L6" s="340" t="s">
        <v>101</v>
      </c>
      <c r="M6" s="340" t="s">
        <v>21</v>
      </c>
      <c r="N6" s="340" t="s">
        <v>1299</v>
      </c>
      <c r="O6" s="340" t="s">
        <v>25</v>
      </c>
      <c r="P6" s="340">
        <v>2008</v>
      </c>
      <c r="Q6" s="340" t="s">
        <v>29</v>
      </c>
      <c r="R6" s="340" t="s">
        <v>168</v>
      </c>
      <c r="S6" s="340" t="s">
        <v>31</v>
      </c>
      <c r="T6" s="340" t="s">
        <v>190</v>
      </c>
    </row>
    <row r="7" spans="2:20" x14ac:dyDescent="0.3">
      <c r="B7" s="3" t="s">
        <v>17</v>
      </c>
      <c r="C7" s="10">
        <v>5.8000000000000003E-2</v>
      </c>
      <c r="D7" s="10">
        <v>0.06</v>
      </c>
      <c r="E7" s="10">
        <v>0.06</v>
      </c>
      <c r="G7" s="340" t="s">
        <v>14</v>
      </c>
      <c r="H7" s="340" t="s">
        <v>42</v>
      </c>
      <c r="I7" s="340" t="s">
        <v>13</v>
      </c>
      <c r="J7" s="340" t="s">
        <v>76</v>
      </c>
      <c r="K7" s="340" t="s">
        <v>17</v>
      </c>
      <c r="L7" s="340" t="s">
        <v>102</v>
      </c>
      <c r="M7" s="340" t="s">
        <v>21</v>
      </c>
      <c r="N7" s="340" t="s">
        <v>1302</v>
      </c>
      <c r="O7" s="340" t="s">
        <v>25</v>
      </c>
      <c r="P7" s="340">
        <v>3008</v>
      </c>
      <c r="Q7" s="340" t="s">
        <v>29</v>
      </c>
      <c r="R7" s="340" t="s">
        <v>169</v>
      </c>
    </row>
    <row r="8" spans="2:20" x14ac:dyDescent="0.3">
      <c r="B8" s="3" t="s">
        <v>18</v>
      </c>
      <c r="C8" s="10">
        <v>5.8000000000000003E-2</v>
      </c>
      <c r="D8" s="10">
        <v>0.06</v>
      </c>
      <c r="E8" s="10">
        <v>0.06</v>
      </c>
      <c r="G8" s="340" t="s">
        <v>14</v>
      </c>
      <c r="H8" s="340" t="s">
        <v>43</v>
      </c>
      <c r="I8" s="340" t="s">
        <v>13</v>
      </c>
      <c r="J8" s="340" t="s">
        <v>77</v>
      </c>
      <c r="K8" s="340" t="s">
        <v>17</v>
      </c>
      <c r="L8" s="340" t="s">
        <v>103</v>
      </c>
      <c r="O8" s="340" t="s">
        <v>25</v>
      </c>
      <c r="P8" s="340">
        <v>5008</v>
      </c>
      <c r="Q8" s="340" t="s">
        <v>29</v>
      </c>
      <c r="R8" s="340" t="s">
        <v>170</v>
      </c>
    </row>
    <row r="9" spans="2:20" x14ac:dyDescent="0.3">
      <c r="B9" s="3" t="s">
        <v>19</v>
      </c>
      <c r="C9" s="10">
        <v>5.8000000000000003E-2</v>
      </c>
      <c r="D9" s="10">
        <v>0.06</v>
      </c>
      <c r="E9" s="10">
        <v>0.06</v>
      </c>
      <c r="G9" s="340" t="s">
        <v>14</v>
      </c>
      <c r="H9" s="340" t="s">
        <v>44</v>
      </c>
      <c r="I9" s="340" t="s">
        <v>13</v>
      </c>
      <c r="J9" s="340" t="s">
        <v>78</v>
      </c>
      <c r="K9" s="340" t="s">
        <v>17</v>
      </c>
      <c r="L9" s="340" t="s">
        <v>104</v>
      </c>
      <c r="Q9" s="340" t="s">
        <v>29</v>
      </c>
      <c r="R9" s="340" t="s">
        <v>171</v>
      </c>
      <c r="S9" s="340" t="s">
        <v>32</v>
      </c>
      <c r="T9" s="340" t="s">
        <v>191</v>
      </c>
    </row>
    <row r="10" spans="2:20" x14ac:dyDescent="0.3">
      <c r="B10" s="3" t="s">
        <v>20</v>
      </c>
      <c r="C10" s="10">
        <v>5.8000000000000003E-2</v>
      </c>
      <c r="D10" s="10">
        <v>0.06</v>
      </c>
      <c r="E10" s="10">
        <v>0.06</v>
      </c>
      <c r="G10" s="340" t="s">
        <v>14</v>
      </c>
      <c r="H10" s="340" t="s">
        <v>45</v>
      </c>
      <c r="I10" s="340" t="s">
        <v>13</v>
      </c>
      <c r="J10" s="340" t="s">
        <v>79</v>
      </c>
      <c r="K10" s="340" t="s">
        <v>17</v>
      </c>
      <c r="L10" s="340" t="s">
        <v>105</v>
      </c>
      <c r="Q10" s="340" t="s">
        <v>29</v>
      </c>
      <c r="R10" s="340" t="s">
        <v>172</v>
      </c>
      <c r="S10" s="340" t="s">
        <v>32</v>
      </c>
      <c r="T10" s="340" t="s">
        <v>192</v>
      </c>
    </row>
    <row r="11" spans="2:20" x14ac:dyDescent="0.3">
      <c r="B11" s="3" t="s">
        <v>1663</v>
      </c>
      <c r="C11" s="10">
        <v>5.3999999999999999E-2</v>
      </c>
      <c r="D11" s="10">
        <v>5.3999999999999999E-2</v>
      </c>
      <c r="E11" s="10">
        <v>5.3999999999999999E-2</v>
      </c>
      <c r="G11" s="340" t="s">
        <v>14</v>
      </c>
      <c r="H11" s="340" t="s">
        <v>46</v>
      </c>
      <c r="I11" s="340" t="s">
        <v>13</v>
      </c>
      <c r="J11" s="340" t="s">
        <v>80</v>
      </c>
      <c r="K11" s="340" t="s">
        <v>17</v>
      </c>
      <c r="L11" s="340" t="s">
        <v>106</v>
      </c>
      <c r="M11" s="340" t="s">
        <v>22</v>
      </c>
      <c r="N11" s="340" t="s">
        <v>124</v>
      </c>
      <c r="O11" s="340" t="s">
        <v>26</v>
      </c>
      <c r="P11" s="340" t="s">
        <v>148</v>
      </c>
      <c r="Q11" s="340" t="s">
        <v>29</v>
      </c>
      <c r="R11" s="340" t="s">
        <v>173</v>
      </c>
      <c r="S11" s="340" t="s">
        <v>32</v>
      </c>
      <c r="T11" s="340" t="s">
        <v>103</v>
      </c>
    </row>
    <row r="12" spans="2:20" x14ac:dyDescent="0.3">
      <c r="B12" s="3" t="s">
        <v>22</v>
      </c>
      <c r="C12" s="10">
        <v>5.8000000000000003E-2</v>
      </c>
      <c r="D12" s="10">
        <v>0.06</v>
      </c>
      <c r="E12" s="10">
        <v>0.06</v>
      </c>
      <c r="G12" s="340" t="s">
        <v>14</v>
      </c>
      <c r="H12" s="340" t="s">
        <v>1498</v>
      </c>
      <c r="I12" s="340" t="s">
        <v>13</v>
      </c>
      <c r="J12" s="340" t="s">
        <v>81</v>
      </c>
      <c r="K12" s="340" t="s">
        <v>17</v>
      </c>
      <c r="L12" s="340" t="s">
        <v>107</v>
      </c>
      <c r="M12" s="340" t="s">
        <v>22</v>
      </c>
      <c r="N12" s="340" t="s">
        <v>125</v>
      </c>
      <c r="O12" s="340" t="s">
        <v>26</v>
      </c>
      <c r="P12" s="340" t="s">
        <v>149</v>
      </c>
      <c r="Q12" s="340" t="s">
        <v>29</v>
      </c>
      <c r="R12" s="340" t="s">
        <v>174</v>
      </c>
      <c r="S12" s="340" t="s">
        <v>32</v>
      </c>
      <c r="T12" s="340" t="s">
        <v>193</v>
      </c>
    </row>
    <row r="13" spans="2:20" x14ac:dyDescent="0.3">
      <c r="B13" s="3" t="s">
        <v>23</v>
      </c>
      <c r="C13" s="10">
        <v>5.8000000000000003E-2</v>
      </c>
      <c r="D13" s="10">
        <v>0.06</v>
      </c>
      <c r="E13" s="10">
        <v>0.06</v>
      </c>
      <c r="G13" s="340" t="s">
        <v>14</v>
      </c>
      <c r="H13" s="340" t="s">
        <v>47</v>
      </c>
      <c r="I13" s="340" t="s">
        <v>13</v>
      </c>
      <c r="J13" s="340" t="s">
        <v>82</v>
      </c>
      <c r="K13" s="340" t="s">
        <v>17</v>
      </c>
      <c r="L13" s="340" t="s">
        <v>108</v>
      </c>
      <c r="M13" s="340" t="s">
        <v>22</v>
      </c>
      <c r="N13" s="340" t="s">
        <v>126</v>
      </c>
      <c r="O13" s="340" t="s">
        <v>26</v>
      </c>
      <c r="P13" s="340" t="s">
        <v>150</v>
      </c>
      <c r="Q13" s="340" t="s">
        <v>29</v>
      </c>
      <c r="R13" s="340" t="s">
        <v>175</v>
      </c>
    </row>
    <row r="14" spans="2:20" x14ac:dyDescent="0.3">
      <c r="B14" s="3" t="s">
        <v>24</v>
      </c>
      <c r="C14" s="10">
        <v>5.8000000000000003E-2</v>
      </c>
      <c r="D14" s="10">
        <v>0.06</v>
      </c>
      <c r="E14" s="10">
        <v>0.06</v>
      </c>
      <c r="G14" s="340" t="s">
        <v>14</v>
      </c>
      <c r="H14" s="340" t="s">
        <v>48</v>
      </c>
      <c r="I14" s="340" t="s">
        <v>13</v>
      </c>
      <c r="J14" s="340" t="s">
        <v>83</v>
      </c>
      <c r="M14" s="340" t="s">
        <v>22</v>
      </c>
      <c r="N14" s="340" t="s">
        <v>127</v>
      </c>
      <c r="O14" s="340" t="s">
        <v>26</v>
      </c>
      <c r="P14" s="340" t="s">
        <v>151</v>
      </c>
      <c r="Q14" s="340" t="s">
        <v>29</v>
      </c>
      <c r="R14" s="340" t="s">
        <v>1749</v>
      </c>
    </row>
    <row r="15" spans="2:20" x14ac:dyDescent="0.3">
      <c r="B15" s="3" t="s">
        <v>25</v>
      </c>
      <c r="C15" s="10">
        <v>5.8000000000000003E-2</v>
      </c>
      <c r="D15" s="10">
        <v>0.06</v>
      </c>
      <c r="E15" s="10">
        <v>0.06</v>
      </c>
      <c r="G15" s="340" t="s">
        <v>14</v>
      </c>
      <c r="H15" s="340" t="s">
        <v>1585</v>
      </c>
      <c r="I15" s="340" t="s">
        <v>13</v>
      </c>
      <c r="J15" s="340" t="s">
        <v>84</v>
      </c>
      <c r="M15" s="340" t="s">
        <v>22</v>
      </c>
      <c r="N15" s="340" t="s">
        <v>128</v>
      </c>
      <c r="O15" s="340" t="s">
        <v>26</v>
      </c>
      <c r="P15" s="340" t="s">
        <v>152</v>
      </c>
      <c r="Q15" s="340" t="s">
        <v>29</v>
      </c>
      <c r="R15" s="340" t="s">
        <v>1751</v>
      </c>
      <c r="S15" s="340" t="s">
        <v>33</v>
      </c>
      <c r="T15" s="340">
        <v>488</v>
      </c>
    </row>
    <row r="16" spans="2:20" x14ac:dyDescent="0.3">
      <c r="B16" s="3" t="s">
        <v>1588</v>
      </c>
      <c r="C16" s="10">
        <v>7.4999999999999997E-2</v>
      </c>
      <c r="D16" s="10">
        <v>7.4999999999999997E-2</v>
      </c>
      <c r="E16" s="10">
        <v>7.4999999999999997E-2</v>
      </c>
      <c r="G16" s="340" t="s">
        <v>14</v>
      </c>
      <c r="H16" s="340" t="s">
        <v>49</v>
      </c>
      <c r="I16" s="340" t="s">
        <v>13</v>
      </c>
      <c r="J16" s="340" t="s">
        <v>85</v>
      </c>
      <c r="K16" s="340" t="s">
        <v>18</v>
      </c>
      <c r="L16" s="340" t="s">
        <v>109</v>
      </c>
      <c r="M16" s="340" t="s">
        <v>22</v>
      </c>
      <c r="N16" s="340" t="s">
        <v>129</v>
      </c>
      <c r="O16" s="340" t="s">
        <v>26</v>
      </c>
      <c r="P16" s="340" t="s">
        <v>1622</v>
      </c>
      <c r="S16" s="340" t="s">
        <v>33</v>
      </c>
      <c r="T16" s="340">
        <v>812</v>
      </c>
    </row>
    <row r="17" spans="2:20" x14ac:dyDescent="0.3">
      <c r="B17" s="3" t="s">
        <v>26</v>
      </c>
      <c r="C17" s="10">
        <v>5.0500000000000003E-2</v>
      </c>
      <c r="D17" s="10">
        <v>5.3999999999999999E-2</v>
      </c>
      <c r="E17" s="10">
        <v>5.3999999999999999E-2</v>
      </c>
      <c r="I17" s="340" t="s">
        <v>13</v>
      </c>
      <c r="J17" s="340" t="s">
        <v>86</v>
      </c>
      <c r="K17" s="340" t="s">
        <v>18</v>
      </c>
      <c r="L17" s="340" t="s">
        <v>110</v>
      </c>
      <c r="M17" s="340" t="s">
        <v>22</v>
      </c>
      <c r="N17" s="340" t="s">
        <v>130</v>
      </c>
      <c r="O17" s="340" t="s">
        <v>26</v>
      </c>
      <c r="P17" s="340" t="s">
        <v>153</v>
      </c>
      <c r="S17" s="340" t="s">
        <v>33</v>
      </c>
      <c r="T17" s="340">
        <v>296</v>
      </c>
    </row>
    <row r="18" spans="2:20" x14ac:dyDescent="0.3">
      <c r="B18" s="3" t="s">
        <v>27</v>
      </c>
      <c r="C18" s="10">
        <v>5.8000000000000003E-2</v>
      </c>
      <c r="D18" s="10">
        <v>0.06</v>
      </c>
      <c r="E18" s="10">
        <v>0.06</v>
      </c>
      <c r="I18" s="340" t="s">
        <v>13</v>
      </c>
      <c r="J18" s="340" t="s">
        <v>87</v>
      </c>
      <c r="K18" s="340" t="s">
        <v>18</v>
      </c>
      <c r="L18" s="340" t="s">
        <v>111</v>
      </c>
      <c r="M18" s="340" t="s">
        <v>22</v>
      </c>
      <c r="N18" s="340" t="s">
        <v>131</v>
      </c>
      <c r="S18" s="340" t="s">
        <v>33</v>
      </c>
      <c r="T18" s="340" t="s">
        <v>194</v>
      </c>
    </row>
    <row r="19" spans="2:20" x14ac:dyDescent="0.3">
      <c r="B19" s="3" t="s">
        <v>28</v>
      </c>
      <c r="C19" s="10">
        <v>5.8000000000000003E-2</v>
      </c>
      <c r="D19" s="10">
        <v>0.06</v>
      </c>
      <c r="E19" s="10">
        <v>0.06</v>
      </c>
      <c r="I19" s="340" t="s">
        <v>13</v>
      </c>
      <c r="J19" s="340" t="s">
        <v>88</v>
      </c>
      <c r="K19" s="340" t="s">
        <v>18</v>
      </c>
      <c r="L19" s="340" t="s">
        <v>112</v>
      </c>
      <c r="M19" s="340" t="s">
        <v>22</v>
      </c>
      <c r="N19" s="340" t="s">
        <v>132</v>
      </c>
      <c r="O19" s="340" t="s">
        <v>27</v>
      </c>
      <c r="P19" s="340" t="s">
        <v>154</v>
      </c>
      <c r="Q19" s="340" t="s">
        <v>30</v>
      </c>
      <c r="R19" s="340" t="s">
        <v>176</v>
      </c>
      <c r="S19" s="340" t="s">
        <v>33</v>
      </c>
      <c r="T19" s="340" t="s">
        <v>195</v>
      </c>
    </row>
    <row r="20" spans="2:20" x14ac:dyDescent="0.3">
      <c r="B20" s="3" t="s">
        <v>29</v>
      </c>
      <c r="C20" s="10">
        <v>5.8000000000000003E-2</v>
      </c>
      <c r="D20" s="10">
        <v>0.06</v>
      </c>
      <c r="E20" s="10">
        <v>0.06</v>
      </c>
      <c r="K20" s="340" t="s">
        <v>18</v>
      </c>
      <c r="L20" s="340" t="s">
        <v>113</v>
      </c>
      <c r="M20" s="340" t="s">
        <v>22</v>
      </c>
      <c r="N20" s="340" t="s">
        <v>133</v>
      </c>
      <c r="O20" s="340" t="s">
        <v>27</v>
      </c>
      <c r="P20" s="340" t="s">
        <v>155</v>
      </c>
      <c r="Q20" s="340" t="s">
        <v>30</v>
      </c>
      <c r="R20" s="340" t="s">
        <v>177</v>
      </c>
      <c r="S20" s="340" t="s">
        <v>33</v>
      </c>
      <c r="T20" s="340" t="s">
        <v>196</v>
      </c>
    </row>
    <row r="21" spans="2:20" x14ac:dyDescent="0.3">
      <c r="B21" s="3" t="s">
        <v>30</v>
      </c>
      <c r="C21" s="10">
        <v>5.0500000000000003E-2</v>
      </c>
      <c r="D21" s="10">
        <v>5.3999999999999999E-2</v>
      </c>
      <c r="E21" s="10">
        <v>5.3999999999999999E-2</v>
      </c>
      <c r="G21" s="340" t="s">
        <v>12</v>
      </c>
      <c r="H21" s="340" t="s">
        <v>50</v>
      </c>
      <c r="K21" s="340" t="s">
        <v>18</v>
      </c>
      <c r="L21" s="340" t="s">
        <v>114</v>
      </c>
      <c r="M21" s="340" t="s">
        <v>22</v>
      </c>
      <c r="N21" s="340" t="s">
        <v>134</v>
      </c>
      <c r="Q21" s="340" t="s">
        <v>30</v>
      </c>
      <c r="R21" s="340" t="s">
        <v>178</v>
      </c>
      <c r="S21" s="340" t="s">
        <v>33</v>
      </c>
      <c r="T21" s="340" t="s">
        <v>197</v>
      </c>
    </row>
    <row r="22" spans="2:20" x14ac:dyDescent="0.3">
      <c r="B22" s="3" t="s">
        <v>1617</v>
      </c>
      <c r="C22" s="339" t="s">
        <v>1692</v>
      </c>
      <c r="D22" s="10">
        <v>0.06</v>
      </c>
      <c r="E22" s="10">
        <v>0.06</v>
      </c>
      <c r="G22" s="340" t="s">
        <v>12</v>
      </c>
      <c r="H22" s="340" t="s">
        <v>51</v>
      </c>
      <c r="I22" s="340" t="s">
        <v>15</v>
      </c>
      <c r="J22" s="340" t="s">
        <v>89</v>
      </c>
      <c r="M22" s="340" t="s">
        <v>22</v>
      </c>
      <c r="N22" s="340" t="s">
        <v>135</v>
      </c>
      <c r="Q22" s="340" t="s">
        <v>30</v>
      </c>
      <c r="R22" s="340" t="s">
        <v>179</v>
      </c>
      <c r="S22" s="340" t="s">
        <v>33</v>
      </c>
      <c r="T22" s="340" t="s">
        <v>198</v>
      </c>
    </row>
    <row r="23" spans="2:20" x14ac:dyDescent="0.3">
      <c r="G23" s="340" t="s">
        <v>12</v>
      </c>
      <c r="H23" s="340" t="s">
        <v>52</v>
      </c>
      <c r="I23" s="340" t="s">
        <v>15</v>
      </c>
      <c r="J23" s="340" t="s">
        <v>90</v>
      </c>
      <c r="M23" s="340" t="s">
        <v>22</v>
      </c>
      <c r="N23" s="340" t="s">
        <v>1756</v>
      </c>
      <c r="O23" s="340" t="s">
        <v>28</v>
      </c>
      <c r="P23" s="340">
        <v>86</v>
      </c>
      <c r="Q23" s="340" t="s">
        <v>30</v>
      </c>
      <c r="R23" s="340" t="s">
        <v>180</v>
      </c>
    </row>
    <row r="24" spans="2:20" x14ac:dyDescent="0.3">
      <c r="B24" s="3" t="s">
        <v>31</v>
      </c>
      <c r="C24" s="10">
        <v>0</v>
      </c>
      <c r="D24" s="10">
        <v>0</v>
      </c>
      <c r="E24" s="10">
        <v>0</v>
      </c>
      <c r="G24" s="340" t="s">
        <v>12</v>
      </c>
      <c r="H24" s="340" t="s">
        <v>53</v>
      </c>
      <c r="I24" s="340" t="s">
        <v>15</v>
      </c>
      <c r="J24" s="340" t="s">
        <v>91</v>
      </c>
      <c r="K24" s="340" t="s">
        <v>19</v>
      </c>
      <c r="L24" s="340" t="s">
        <v>115</v>
      </c>
      <c r="O24" s="340" t="s">
        <v>28</v>
      </c>
      <c r="P24" s="340" t="s">
        <v>156</v>
      </c>
      <c r="Q24" s="340" t="s">
        <v>30</v>
      </c>
      <c r="R24" s="340" t="s">
        <v>181</v>
      </c>
    </row>
    <row r="25" spans="2:20" x14ac:dyDescent="0.3">
      <c r="B25" s="3" t="s">
        <v>32</v>
      </c>
      <c r="C25" s="10">
        <v>0</v>
      </c>
      <c r="D25" s="10">
        <v>0</v>
      </c>
      <c r="E25" s="10">
        <v>0</v>
      </c>
      <c r="G25" s="340" t="s">
        <v>12</v>
      </c>
      <c r="H25" s="340" t="s">
        <v>54</v>
      </c>
      <c r="I25" s="340" t="s">
        <v>15</v>
      </c>
      <c r="J25" s="340" t="s">
        <v>92</v>
      </c>
      <c r="K25" s="340" t="s">
        <v>19</v>
      </c>
      <c r="L25" s="340" t="s">
        <v>116</v>
      </c>
      <c r="M25" s="340" t="s">
        <v>23</v>
      </c>
      <c r="N25" s="340" t="s">
        <v>136</v>
      </c>
      <c r="O25" s="340" t="s">
        <v>28</v>
      </c>
      <c r="P25" s="340" t="s">
        <v>157</v>
      </c>
      <c r="Q25" s="340" t="s">
        <v>30</v>
      </c>
      <c r="R25" s="340" t="s">
        <v>182</v>
      </c>
      <c r="S25" s="340" t="s">
        <v>34</v>
      </c>
      <c r="T25" s="340" t="s">
        <v>199</v>
      </c>
    </row>
    <row r="26" spans="2:20" x14ac:dyDescent="0.3">
      <c r="B26" s="3" t="s">
        <v>33</v>
      </c>
      <c r="C26" s="10">
        <v>0</v>
      </c>
      <c r="D26" s="10">
        <v>0</v>
      </c>
      <c r="E26" s="10">
        <v>0</v>
      </c>
      <c r="G26" s="340" t="s">
        <v>12</v>
      </c>
      <c r="H26" s="340" t="s">
        <v>55</v>
      </c>
      <c r="I26" s="340" t="s">
        <v>15</v>
      </c>
      <c r="J26" s="340" t="s">
        <v>93</v>
      </c>
      <c r="K26" s="340" t="s">
        <v>19</v>
      </c>
      <c r="L26" s="340" t="s">
        <v>117</v>
      </c>
      <c r="M26" s="340" t="s">
        <v>23</v>
      </c>
      <c r="N26" s="340" t="s">
        <v>137</v>
      </c>
      <c r="O26" s="340" t="s">
        <v>28</v>
      </c>
      <c r="P26" s="340" t="s">
        <v>158</v>
      </c>
      <c r="Q26" s="340" t="s">
        <v>30</v>
      </c>
      <c r="R26" s="340" t="s">
        <v>183</v>
      </c>
      <c r="S26" s="340" t="s">
        <v>34</v>
      </c>
      <c r="T26" s="340" t="s">
        <v>200</v>
      </c>
    </row>
    <row r="27" spans="2:20" x14ac:dyDescent="0.3">
      <c r="B27" s="3" t="s">
        <v>34</v>
      </c>
      <c r="C27" s="10">
        <v>0</v>
      </c>
      <c r="D27" s="10">
        <v>0</v>
      </c>
      <c r="E27" s="10">
        <v>0</v>
      </c>
      <c r="G27" s="340" t="s">
        <v>12</v>
      </c>
      <c r="H27" s="340" t="s">
        <v>56</v>
      </c>
      <c r="I27" s="340" t="s">
        <v>15</v>
      </c>
      <c r="J27" s="340" t="s">
        <v>94</v>
      </c>
      <c r="K27" s="340" t="s">
        <v>19</v>
      </c>
      <c r="L27" s="340" t="s">
        <v>118</v>
      </c>
      <c r="M27" s="340" t="s">
        <v>23</v>
      </c>
      <c r="N27" s="340" t="s">
        <v>138</v>
      </c>
      <c r="O27" s="340" t="s">
        <v>28</v>
      </c>
      <c r="P27" s="340" t="s">
        <v>159</v>
      </c>
      <c r="Q27" s="340" t="s">
        <v>30</v>
      </c>
      <c r="R27" s="340" t="s">
        <v>184</v>
      </c>
      <c r="S27" s="340" t="s">
        <v>34</v>
      </c>
      <c r="T27" s="340" t="s">
        <v>201</v>
      </c>
    </row>
    <row r="28" spans="2:20" x14ac:dyDescent="0.3">
      <c r="B28" s="3" t="s">
        <v>35</v>
      </c>
      <c r="C28" s="10">
        <v>0</v>
      </c>
      <c r="D28" s="10">
        <v>0</v>
      </c>
      <c r="E28" s="10">
        <v>0</v>
      </c>
      <c r="G28" s="340" t="s">
        <v>12</v>
      </c>
      <c r="H28" s="340" t="s">
        <v>57</v>
      </c>
      <c r="I28" s="340" t="s">
        <v>15</v>
      </c>
      <c r="J28" s="340" t="s">
        <v>95</v>
      </c>
      <c r="K28" s="340" t="s">
        <v>19</v>
      </c>
      <c r="L28" s="340" t="s">
        <v>119</v>
      </c>
      <c r="M28" s="340" t="s">
        <v>23</v>
      </c>
      <c r="N28" s="340" t="s">
        <v>139</v>
      </c>
      <c r="O28" s="340" t="s">
        <v>28</v>
      </c>
      <c r="P28" s="340" t="s">
        <v>160</v>
      </c>
      <c r="Q28" s="340" t="s">
        <v>30</v>
      </c>
      <c r="R28" s="340" t="s">
        <v>185</v>
      </c>
    </row>
    <row r="29" spans="2:20" x14ac:dyDescent="0.3">
      <c r="B29" s="3" t="s">
        <v>36</v>
      </c>
      <c r="C29" s="10">
        <v>0</v>
      </c>
      <c r="D29" s="10">
        <v>0</v>
      </c>
      <c r="E29" s="10">
        <v>0</v>
      </c>
      <c r="G29" s="340" t="s">
        <v>12</v>
      </c>
      <c r="H29" s="340" t="s">
        <v>58</v>
      </c>
      <c r="I29" s="340" t="s">
        <v>15</v>
      </c>
      <c r="J29" s="340" t="s">
        <v>96</v>
      </c>
      <c r="K29" s="340" t="s">
        <v>19</v>
      </c>
      <c r="L29" s="340" t="s">
        <v>120</v>
      </c>
      <c r="M29" s="340" t="s">
        <v>23</v>
      </c>
      <c r="N29" s="340" t="s">
        <v>140</v>
      </c>
      <c r="O29" s="340" t="s">
        <v>28</v>
      </c>
      <c r="P29" s="340" t="s">
        <v>161</v>
      </c>
      <c r="Q29" s="340" t="s">
        <v>30</v>
      </c>
      <c r="R29" s="340" t="s">
        <v>1754</v>
      </c>
    </row>
    <row r="30" spans="2:20" x14ac:dyDescent="0.3">
      <c r="G30" s="340" t="s">
        <v>12</v>
      </c>
      <c r="H30" s="340" t="s">
        <v>59</v>
      </c>
      <c r="K30" s="340" t="s">
        <v>19</v>
      </c>
      <c r="L30" s="340" t="s">
        <v>121</v>
      </c>
      <c r="M30" s="340" t="s">
        <v>23</v>
      </c>
      <c r="N30" s="340" t="s">
        <v>141</v>
      </c>
      <c r="O30" s="340" t="s">
        <v>28</v>
      </c>
      <c r="P30" s="340" t="s">
        <v>162</v>
      </c>
      <c r="S30" s="340" t="s">
        <v>35</v>
      </c>
      <c r="T30" s="340" t="s">
        <v>202</v>
      </c>
    </row>
    <row r="31" spans="2:20" x14ac:dyDescent="0.3">
      <c r="G31" s="340" t="s">
        <v>12</v>
      </c>
      <c r="H31" s="340" t="s">
        <v>60</v>
      </c>
      <c r="M31" s="340" t="s">
        <v>23</v>
      </c>
      <c r="N31" s="340" t="s">
        <v>142</v>
      </c>
      <c r="O31" s="340" t="s">
        <v>28</v>
      </c>
      <c r="P31" s="340" t="s">
        <v>163</v>
      </c>
      <c r="Q31" s="340" t="s">
        <v>1588</v>
      </c>
      <c r="R31" s="340">
        <v>2</v>
      </c>
      <c r="S31" s="340" t="s">
        <v>35</v>
      </c>
      <c r="T31" s="340" t="s">
        <v>203</v>
      </c>
    </row>
    <row r="32" spans="2:20" x14ac:dyDescent="0.3">
      <c r="B32" s="3" t="s">
        <v>1664</v>
      </c>
      <c r="C32" s="10">
        <v>2E-3</v>
      </c>
      <c r="G32" s="340" t="s">
        <v>12</v>
      </c>
      <c r="H32" s="340" t="s">
        <v>61</v>
      </c>
      <c r="I32" s="340" t="s">
        <v>16</v>
      </c>
      <c r="J32" s="342" t="s">
        <v>16</v>
      </c>
      <c r="R32" s="340">
        <v>4</v>
      </c>
      <c r="S32" s="340" t="s">
        <v>35</v>
      </c>
      <c r="T32" s="340" t="s">
        <v>204</v>
      </c>
    </row>
    <row r="33" spans="2:20" x14ac:dyDescent="0.3">
      <c r="B33" s="3" t="s">
        <v>1578</v>
      </c>
      <c r="C33" s="10">
        <v>0</v>
      </c>
      <c r="G33" s="340" t="s">
        <v>12</v>
      </c>
      <c r="H33" s="340" t="s">
        <v>62</v>
      </c>
      <c r="K33" s="340" t="s">
        <v>1659</v>
      </c>
      <c r="L33" s="340" t="s">
        <v>833</v>
      </c>
      <c r="S33" s="340" t="s">
        <v>35</v>
      </c>
      <c r="T33" s="340" t="s">
        <v>205</v>
      </c>
    </row>
    <row r="34" spans="2:20" x14ac:dyDescent="0.3">
      <c r="B34" s="3" t="s">
        <v>1579</v>
      </c>
      <c r="C34" s="10">
        <v>0</v>
      </c>
      <c r="G34" s="340" t="s">
        <v>12</v>
      </c>
      <c r="H34" s="340" t="s">
        <v>63</v>
      </c>
      <c r="K34" s="340" t="s">
        <v>1659</v>
      </c>
      <c r="L34" s="340" t="s">
        <v>1660</v>
      </c>
      <c r="M34" s="340" t="s">
        <v>24</v>
      </c>
      <c r="N34" s="340" t="s">
        <v>143</v>
      </c>
      <c r="O34" s="340" t="s">
        <v>1617</v>
      </c>
      <c r="P34" s="340" t="s">
        <v>1617</v>
      </c>
      <c r="S34" s="340" t="s">
        <v>35</v>
      </c>
      <c r="T34" s="340" t="s">
        <v>206</v>
      </c>
    </row>
    <row r="35" spans="2:20" x14ac:dyDescent="0.3">
      <c r="B35" s="3" t="s">
        <v>1575</v>
      </c>
      <c r="C35" s="10">
        <v>5.0000000000000001E-3</v>
      </c>
      <c r="G35" s="340" t="s">
        <v>12</v>
      </c>
      <c r="H35" s="340" t="s">
        <v>64</v>
      </c>
      <c r="K35" s="340" t="s">
        <v>1659</v>
      </c>
      <c r="L35" s="340" t="s">
        <v>855</v>
      </c>
      <c r="M35" s="340" t="s">
        <v>24</v>
      </c>
      <c r="N35" s="340" t="s">
        <v>144</v>
      </c>
      <c r="S35" s="340" t="s">
        <v>35</v>
      </c>
      <c r="T35" s="340" t="s">
        <v>63</v>
      </c>
    </row>
    <row r="36" spans="2:20" x14ac:dyDescent="0.3">
      <c r="B36" s="3" t="s">
        <v>1576</v>
      </c>
      <c r="C36" s="10">
        <v>5.0000000000000001E-3</v>
      </c>
      <c r="G36" s="340" t="s">
        <v>12</v>
      </c>
      <c r="H36" s="340" t="s">
        <v>65</v>
      </c>
      <c r="K36" s="340" t="s">
        <v>1659</v>
      </c>
      <c r="L36" s="340" t="s">
        <v>1661</v>
      </c>
      <c r="M36" s="340" t="s">
        <v>24</v>
      </c>
      <c r="N36" s="340" t="s">
        <v>145</v>
      </c>
      <c r="S36" s="340" t="s">
        <v>35</v>
      </c>
      <c r="T36" s="340" t="s">
        <v>207</v>
      </c>
    </row>
    <row r="37" spans="2:20" x14ac:dyDescent="0.3">
      <c r="B37" s="3" t="s">
        <v>1577</v>
      </c>
      <c r="C37" s="10">
        <v>5.0000000000000001E-3</v>
      </c>
      <c r="G37" s="340" t="s">
        <v>12</v>
      </c>
      <c r="H37" s="340" t="s">
        <v>66</v>
      </c>
      <c r="K37" s="340" t="s">
        <v>1659</v>
      </c>
      <c r="L37" s="340" t="s">
        <v>1662</v>
      </c>
      <c r="M37" s="340" t="s">
        <v>24</v>
      </c>
      <c r="N37" s="340" t="s">
        <v>146</v>
      </c>
    </row>
    <row r="38" spans="2:20" x14ac:dyDescent="0.3">
      <c r="B38" s="3" t="s">
        <v>1674</v>
      </c>
      <c r="C38" s="10">
        <v>3.0000000000000001E-3</v>
      </c>
      <c r="G38" s="340" t="s">
        <v>12</v>
      </c>
      <c r="H38" s="340" t="s">
        <v>67</v>
      </c>
      <c r="K38" s="340" t="s">
        <v>1659</v>
      </c>
      <c r="L38" s="340" t="s">
        <v>1773</v>
      </c>
      <c r="M38" s="340" t="s">
        <v>24</v>
      </c>
      <c r="N38" s="340" t="s">
        <v>1721</v>
      </c>
    </row>
    <row r="39" spans="2:20" x14ac:dyDescent="0.3">
      <c r="B39" s="3" t="str">
        <f>'운용리스 입력'!D5&amp;'운용리스 입력'!D6</f>
        <v>Audie_tron</v>
      </c>
      <c r="G39" s="340" t="s">
        <v>12</v>
      </c>
      <c r="H39" s="340" t="s">
        <v>68</v>
      </c>
      <c r="M39" s="340" t="s">
        <v>24</v>
      </c>
      <c r="N39" s="340" t="s">
        <v>147</v>
      </c>
      <c r="S39" s="340" t="s">
        <v>36</v>
      </c>
      <c r="T39" s="340" t="s">
        <v>208</v>
      </c>
    </row>
    <row r="40" spans="2:20" x14ac:dyDescent="0.3">
      <c r="B40" s="3" t="str">
        <f>'금융리스 입력'!D4&amp;'금융리스 입력'!D5</f>
        <v>BYDBYD</v>
      </c>
      <c r="G40" s="340" t="s">
        <v>12</v>
      </c>
      <c r="H40" s="340" t="s">
        <v>69</v>
      </c>
      <c r="S40" s="340" t="s">
        <v>36</v>
      </c>
      <c r="T40" s="340" t="s">
        <v>209</v>
      </c>
    </row>
    <row r="41" spans="2:20" x14ac:dyDescent="0.3">
      <c r="B41" s="3" t="str">
        <f>'할부 입력'!D4&amp;'할부 입력'!D5</f>
        <v>BYDBYD</v>
      </c>
      <c r="G41" s="340" t="s">
        <v>12</v>
      </c>
      <c r="H41" s="340" t="s">
        <v>70</v>
      </c>
      <c r="S41" s="340" t="s">
        <v>36</v>
      </c>
      <c r="T41" s="340" t="s">
        <v>210</v>
      </c>
    </row>
    <row r="42" spans="2:20" x14ac:dyDescent="0.3">
      <c r="S42" s="340" t="s">
        <v>36</v>
      </c>
      <c r="T42" s="340" t="s">
        <v>211</v>
      </c>
    </row>
    <row r="43" spans="2:20" x14ac:dyDescent="0.3">
      <c r="S43" s="340" t="s">
        <v>36</v>
      </c>
      <c r="T43" s="340" t="s">
        <v>212</v>
      </c>
    </row>
    <row r="44" spans="2:20" x14ac:dyDescent="0.3">
      <c r="S44" s="340" t="s">
        <v>36</v>
      </c>
      <c r="T44" s="340" t="s">
        <v>213</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ZU1145"/>
  <sheetViews>
    <sheetView zoomScale="85" zoomScaleNormal="85" workbookViewId="0">
      <pane ySplit="6" topLeftCell="A1026" activePane="bottomLeft" state="frozen"/>
      <selection activeCell="Q42" sqref="Q42"/>
      <selection pane="bottomLeft" activeCell="I864" sqref="I864"/>
    </sheetView>
  </sheetViews>
  <sheetFormatPr defaultRowHeight="20.25" customHeight="1" x14ac:dyDescent="0.3"/>
  <cols>
    <col min="1" max="1" width="5.375" style="50" customWidth="1"/>
    <col min="2" max="2" width="14.375" style="50" bestFit="1" customWidth="1"/>
    <col min="3" max="3" width="20.125" style="50" bestFit="1" customWidth="1"/>
    <col min="4" max="4" width="28.375" style="50" bestFit="1" customWidth="1"/>
    <col min="5" max="5" width="52.875" style="50" bestFit="1" customWidth="1"/>
    <col min="6" max="6" width="14.25" style="61" bestFit="1" customWidth="1"/>
    <col min="7" max="7" width="10.125" style="61" bestFit="1" customWidth="1"/>
    <col min="8" max="8" width="7.125" style="51" bestFit="1" customWidth="1"/>
    <col min="9" max="9" width="14.875" style="51" bestFit="1" customWidth="1"/>
    <col min="10" max="11" width="7.125" style="51" bestFit="1" customWidth="1"/>
    <col min="12" max="12" width="4.875" style="51" bestFit="1" customWidth="1"/>
    <col min="13" max="13" width="5.125" style="51" bestFit="1" customWidth="1"/>
    <col min="14" max="14" width="11.875" style="51" bestFit="1" customWidth="1"/>
    <col min="15" max="15" width="18.625" style="51" bestFit="1" customWidth="1"/>
    <col min="16" max="17" width="13.75" style="64" customWidth="1"/>
    <col min="18" max="696" width="9" style="50"/>
    <col min="697" max="697" width="24.125" style="50" bestFit="1" customWidth="1"/>
    <col min="698" max="16384" width="9" style="50"/>
  </cols>
  <sheetData>
    <row r="1" spans="1:697" ht="9" customHeight="1" x14ac:dyDescent="0.3"/>
    <row r="2" spans="1:697" ht="9" customHeight="1" x14ac:dyDescent="0.3"/>
    <row r="3" spans="1:697" ht="9" customHeight="1" x14ac:dyDescent="0.3">
      <c r="E3" s="50" t="e">
        <f>VLOOKUP($D$7,차종!E7:G1145,3,FALSE)</f>
        <v>#N/A</v>
      </c>
    </row>
    <row r="4" spans="1:697" ht="9" customHeight="1" x14ac:dyDescent="0.3"/>
    <row r="5" spans="1:697" ht="9" customHeight="1" x14ac:dyDescent="0.3">
      <c r="E5" s="50">
        <v>1</v>
      </c>
      <c r="F5" s="50">
        <v>2</v>
      </c>
      <c r="G5" s="50">
        <v>3</v>
      </c>
      <c r="H5" s="51">
        <v>4</v>
      </c>
      <c r="I5" s="52">
        <v>5</v>
      </c>
      <c r="J5" s="52">
        <v>6</v>
      </c>
      <c r="K5" s="51">
        <v>7</v>
      </c>
      <c r="L5" s="51">
        <v>8</v>
      </c>
      <c r="M5" s="51">
        <v>9</v>
      </c>
      <c r="N5" s="51">
        <v>10</v>
      </c>
      <c r="O5" s="51">
        <v>11</v>
      </c>
      <c r="P5" s="405">
        <v>12</v>
      </c>
      <c r="Q5" s="405">
        <v>13</v>
      </c>
    </row>
    <row r="6" spans="1:697" ht="33.75" customHeight="1" x14ac:dyDescent="0.3">
      <c r="B6" s="53" t="s">
        <v>224</v>
      </c>
      <c r="C6" s="53" t="s">
        <v>225</v>
      </c>
      <c r="D6" s="53" t="s">
        <v>226</v>
      </c>
      <c r="E6" s="53" t="s">
        <v>227</v>
      </c>
      <c r="F6" s="54" t="s">
        <v>228</v>
      </c>
      <c r="G6" s="55" t="s">
        <v>229</v>
      </c>
      <c r="H6" s="56" t="s">
        <v>230</v>
      </c>
      <c r="I6" s="56" t="s">
        <v>231</v>
      </c>
      <c r="J6" s="57" t="s">
        <v>232</v>
      </c>
      <c r="K6" s="57" t="s">
        <v>233</v>
      </c>
      <c r="L6" s="57" t="s">
        <v>234</v>
      </c>
      <c r="M6" s="57" t="s">
        <v>235</v>
      </c>
      <c r="N6" s="56" t="s">
        <v>236</v>
      </c>
      <c r="O6" s="58" t="s">
        <v>237</v>
      </c>
      <c r="P6" s="406" t="s">
        <v>1792</v>
      </c>
      <c r="Q6" s="406" t="s">
        <v>1793</v>
      </c>
      <c r="ZU6" s="50" t="s">
        <v>238</v>
      </c>
    </row>
    <row r="7" spans="1:697" ht="20.25" customHeight="1" x14ac:dyDescent="0.3">
      <c r="A7" s="50" t="s">
        <v>239</v>
      </c>
      <c r="B7" s="59" t="s">
        <v>14</v>
      </c>
      <c r="C7" s="59" t="s">
        <v>37</v>
      </c>
      <c r="D7" s="62" t="str">
        <f>+B7&amp;C7</f>
        <v>AudiA3</v>
      </c>
      <c r="E7" s="59" t="s">
        <v>240</v>
      </c>
      <c r="F7" s="60">
        <v>41600000</v>
      </c>
      <c r="G7" s="60">
        <v>1984</v>
      </c>
      <c r="H7" s="58" t="s">
        <v>241</v>
      </c>
      <c r="I7" s="58" t="s">
        <v>242</v>
      </c>
      <c r="J7" s="58" t="s">
        <v>1610</v>
      </c>
      <c r="K7" s="58"/>
      <c r="L7" s="58" t="s">
        <v>243</v>
      </c>
      <c r="M7" s="58"/>
      <c r="N7" s="58" t="s">
        <v>242</v>
      </c>
      <c r="O7" s="58"/>
      <c r="P7" s="63"/>
      <c r="Q7" s="63"/>
    </row>
    <row r="8" spans="1:697" ht="20.25" customHeight="1" x14ac:dyDescent="0.3">
      <c r="B8" s="59" t="s">
        <v>14</v>
      </c>
      <c r="C8" s="59" t="s">
        <v>37</v>
      </c>
      <c r="D8" s="62" t="str">
        <f t="shared" ref="D8:D75" si="0">+B8&amp;C8</f>
        <v>AudiA3</v>
      </c>
      <c r="E8" s="59" t="s">
        <v>244</v>
      </c>
      <c r="F8" s="60">
        <v>45600000</v>
      </c>
      <c r="G8" s="60">
        <v>1984</v>
      </c>
      <c r="H8" s="58" t="s">
        <v>241</v>
      </c>
      <c r="I8" s="58" t="s">
        <v>242</v>
      </c>
      <c r="J8" s="58" t="s">
        <v>1610</v>
      </c>
      <c r="K8" s="58"/>
      <c r="L8" s="58" t="s">
        <v>243</v>
      </c>
      <c r="M8" s="58"/>
      <c r="N8" s="58" t="s">
        <v>242</v>
      </c>
      <c r="O8" s="58"/>
      <c r="P8" s="63"/>
      <c r="Q8" s="63"/>
    </row>
    <row r="9" spans="1:697" ht="20.25" customHeight="1" x14ac:dyDescent="0.3">
      <c r="B9" s="59" t="s">
        <v>14</v>
      </c>
      <c r="C9" s="59" t="s">
        <v>37</v>
      </c>
      <c r="D9" s="62" t="str">
        <f t="shared" si="0"/>
        <v>AudiA3</v>
      </c>
      <c r="E9" s="59" t="s">
        <v>245</v>
      </c>
      <c r="F9" s="60">
        <v>59640000</v>
      </c>
      <c r="G9" s="60">
        <v>1984</v>
      </c>
      <c r="H9" s="58" t="s">
        <v>241</v>
      </c>
      <c r="I9" s="58" t="s">
        <v>242</v>
      </c>
      <c r="J9" s="58" t="s">
        <v>1613</v>
      </c>
      <c r="K9" s="58"/>
      <c r="L9" s="58" t="s">
        <v>246</v>
      </c>
      <c r="M9" s="58"/>
      <c r="N9" s="58" t="s">
        <v>242</v>
      </c>
      <c r="O9" s="58"/>
      <c r="P9" s="63"/>
      <c r="Q9" s="63"/>
    </row>
    <row r="10" spans="1:697" ht="20.25" customHeight="1" x14ac:dyDescent="0.3">
      <c r="B10" s="59" t="s">
        <v>14</v>
      </c>
      <c r="C10" s="59" t="s">
        <v>37</v>
      </c>
      <c r="D10" s="62" t="str">
        <f t="shared" si="0"/>
        <v>AudiA3</v>
      </c>
      <c r="E10" s="59" t="s">
        <v>247</v>
      </c>
      <c r="F10" s="60">
        <v>76950000</v>
      </c>
      <c r="G10" s="60">
        <v>2480</v>
      </c>
      <c r="H10" s="58" t="s">
        <v>241</v>
      </c>
      <c r="I10" s="58" t="s">
        <v>242</v>
      </c>
      <c r="J10" s="58" t="s">
        <v>1589</v>
      </c>
      <c r="K10" s="58"/>
      <c r="L10" s="58" t="s">
        <v>248</v>
      </c>
      <c r="M10" s="58"/>
      <c r="N10" s="58" t="s">
        <v>242</v>
      </c>
      <c r="O10" s="58"/>
      <c r="P10" s="63"/>
      <c r="Q10" s="63"/>
    </row>
    <row r="11" spans="1:697" ht="20.25" customHeight="1" x14ac:dyDescent="0.3">
      <c r="B11" s="59" t="s">
        <v>14</v>
      </c>
      <c r="C11" s="59" t="s">
        <v>38</v>
      </c>
      <c r="D11" s="62" t="str">
        <f t="shared" si="0"/>
        <v>AudiA4</v>
      </c>
      <c r="E11" s="59" t="s">
        <v>249</v>
      </c>
      <c r="F11" s="60">
        <v>51318000</v>
      </c>
      <c r="G11" s="60">
        <v>1968</v>
      </c>
      <c r="H11" s="58" t="s">
        <v>250</v>
      </c>
      <c r="I11" s="58" t="s">
        <v>242</v>
      </c>
      <c r="J11" s="58" t="s">
        <v>1610</v>
      </c>
      <c r="K11" s="58"/>
      <c r="L11" s="58" t="s">
        <v>243</v>
      </c>
      <c r="M11" s="58"/>
      <c r="N11" s="58" t="s">
        <v>242</v>
      </c>
      <c r="O11" s="58"/>
      <c r="P11" s="63"/>
      <c r="Q11" s="63"/>
    </row>
    <row r="12" spans="1:697" ht="20.25" customHeight="1" x14ac:dyDescent="0.3">
      <c r="B12" s="59" t="s">
        <v>14</v>
      </c>
      <c r="C12" s="59" t="s">
        <v>38</v>
      </c>
      <c r="D12" s="62" t="str">
        <f t="shared" si="0"/>
        <v>AudiA4</v>
      </c>
      <c r="E12" s="59" t="s">
        <v>251</v>
      </c>
      <c r="F12" s="60">
        <v>59550000</v>
      </c>
      <c r="G12" s="60">
        <v>1968</v>
      </c>
      <c r="H12" s="58" t="s">
        <v>250</v>
      </c>
      <c r="I12" s="58" t="s">
        <v>242</v>
      </c>
      <c r="J12" s="58" t="s">
        <v>1610</v>
      </c>
      <c r="K12" s="58"/>
      <c r="L12" s="58" t="s">
        <v>243</v>
      </c>
      <c r="M12" s="58"/>
      <c r="N12" s="58" t="s">
        <v>242</v>
      </c>
      <c r="O12" s="58"/>
      <c r="P12" s="63"/>
      <c r="Q12" s="63"/>
    </row>
    <row r="13" spans="1:697" ht="20.25" customHeight="1" x14ac:dyDescent="0.3">
      <c r="B13" s="59" t="s">
        <v>14</v>
      </c>
      <c r="C13" s="59" t="s">
        <v>38</v>
      </c>
      <c r="D13" s="62" t="str">
        <f t="shared" si="0"/>
        <v>AudiA4</v>
      </c>
      <c r="E13" s="59" t="s">
        <v>252</v>
      </c>
      <c r="F13" s="60">
        <v>65440000</v>
      </c>
      <c r="G13" s="60">
        <v>1968</v>
      </c>
      <c r="H13" s="58" t="s">
        <v>250</v>
      </c>
      <c r="I13" s="58" t="s">
        <v>242</v>
      </c>
      <c r="J13" s="58" t="s">
        <v>1610</v>
      </c>
      <c r="K13" s="58"/>
      <c r="L13" s="58" t="s">
        <v>243</v>
      </c>
      <c r="M13" s="58"/>
      <c r="N13" s="58" t="s">
        <v>242</v>
      </c>
      <c r="O13" s="58"/>
      <c r="P13" s="63"/>
      <c r="Q13" s="63"/>
    </row>
    <row r="14" spans="1:697" ht="20.25" customHeight="1" x14ac:dyDescent="0.3">
      <c r="B14" s="59" t="s">
        <v>14</v>
      </c>
      <c r="C14" s="59" t="s">
        <v>38</v>
      </c>
      <c r="D14" s="62" t="str">
        <f t="shared" si="0"/>
        <v>AudiA4</v>
      </c>
      <c r="E14" s="59" t="s">
        <v>253</v>
      </c>
      <c r="F14" s="60">
        <v>53170000</v>
      </c>
      <c r="G14" s="60">
        <v>1984</v>
      </c>
      <c r="H14" s="58" t="s">
        <v>241</v>
      </c>
      <c r="I14" s="58" t="s">
        <v>242</v>
      </c>
      <c r="J14" s="58" t="s">
        <v>1610</v>
      </c>
      <c r="K14" s="58"/>
      <c r="L14" s="58" t="s">
        <v>243</v>
      </c>
      <c r="M14" s="58"/>
      <c r="N14" s="58" t="s">
        <v>242</v>
      </c>
      <c r="O14" s="58"/>
      <c r="P14" s="63"/>
      <c r="Q14" s="63"/>
    </row>
    <row r="15" spans="1:697" ht="20.25" customHeight="1" x14ac:dyDescent="0.3">
      <c r="B15" s="59" t="s">
        <v>14</v>
      </c>
      <c r="C15" s="59" t="s">
        <v>38</v>
      </c>
      <c r="D15" s="62" t="str">
        <f t="shared" si="0"/>
        <v>AudiA4</v>
      </c>
      <c r="E15" s="59" t="s">
        <v>254</v>
      </c>
      <c r="F15" s="60">
        <v>58570000</v>
      </c>
      <c r="G15" s="60">
        <v>1984</v>
      </c>
      <c r="H15" s="58" t="s">
        <v>241</v>
      </c>
      <c r="I15" s="58" t="s">
        <v>242</v>
      </c>
      <c r="J15" s="58" t="s">
        <v>1610</v>
      </c>
      <c r="K15" s="58"/>
      <c r="L15" s="58" t="s">
        <v>243</v>
      </c>
      <c r="M15" s="58"/>
      <c r="N15" s="58" t="s">
        <v>242</v>
      </c>
      <c r="O15" s="58"/>
      <c r="P15" s="63"/>
      <c r="Q15" s="63"/>
    </row>
    <row r="16" spans="1:697" ht="20.25" customHeight="1" x14ac:dyDescent="0.3">
      <c r="B16" s="59" t="s">
        <v>14</v>
      </c>
      <c r="C16" s="59" t="s">
        <v>38</v>
      </c>
      <c r="D16" s="62" t="str">
        <f t="shared" si="0"/>
        <v>AudiA4</v>
      </c>
      <c r="E16" s="59" t="s">
        <v>255</v>
      </c>
      <c r="F16" s="60">
        <v>65930000</v>
      </c>
      <c r="G16" s="60">
        <v>1984</v>
      </c>
      <c r="H16" s="58" t="s">
        <v>241</v>
      </c>
      <c r="I16" s="58" t="s">
        <v>242</v>
      </c>
      <c r="J16" s="58" t="s">
        <v>1610</v>
      </c>
      <c r="K16" s="58"/>
      <c r="L16" s="58" t="s">
        <v>243</v>
      </c>
      <c r="M16" s="58"/>
      <c r="N16" s="58" t="s">
        <v>242</v>
      </c>
      <c r="O16" s="58"/>
      <c r="P16" s="63"/>
      <c r="Q16" s="63"/>
    </row>
    <row r="17" spans="2:17" ht="20.25" customHeight="1" x14ac:dyDescent="0.3">
      <c r="B17" s="59" t="s">
        <v>14</v>
      </c>
      <c r="C17" s="59" t="s">
        <v>38</v>
      </c>
      <c r="D17" s="62" t="str">
        <f t="shared" si="0"/>
        <v>AudiA4</v>
      </c>
      <c r="E17" s="59" t="s">
        <v>256</v>
      </c>
      <c r="F17" s="60">
        <v>81830000</v>
      </c>
      <c r="G17" s="60">
        <v>2995</v>
      </c>
      <c r="H17" s="58" t="s">
        <v>241</v>
      </c>
      <c r="I17" s="58" t="s">
        <v>242</v>
      </c>
      <c r="J17" s="58" t="s">
        <v>1613</v>
      </c>
      <c r="K17" s="58"/>
      <c r="L17" s="58" t="s">
        <v>246</v>
      </c>
      <c r="M17" s="58"/>
      <c r="N17" s="58" t="s">
        <v>242</v>
      </c>
      <c r="O17" s="58"/>
      <c r="P17" s="63"/>
      <c r="Q17" s="63"/>
    </row>
    <row r="18" spans="2:17" ht="20.25" customHeight="1" x14ac:dyDescent="0.3">
      <c r="B18" s="59" t="s">
        <v>14</v>
      </c>
      <c r="C18" s="59" t="s">
        <v>39</v>
      </c>
      <c r="D18" s="62" t="str">
        <f t="shared" si="0"/>
        <v>AudiA5</v>
      </c>
      <c r="E18" s="59" t="s">
        <v>257</v>
      </c>
      <c r="F18" s="60">
        <v>60940000</v>
      </c>
      <c r="G18" s="60">
        <v>1968</v>
      </c>
      <c r="H18" s="58" t="s">
        <v>250</v>
      </c>
      <c r="I18" s="58" t="s">
        <v>242</v>
      </c>
      <c r="J18" s="58" t="s">
        <v>1610</v>
      </c>
      <c r="K18" s="58"/>
      <c r="L18" s="58" t="s">
        <v>243</v>
      </c>
      <c r="M18" s="58"/>
      <c r="N18" s="58" t="s">
        <v>242</v>
      </c>
      <c r="O18" s="58"/>
      <c r="P18" s="63"/>
      <c r="Q18" s="63"/>
    </row>
    <row r="19" spans="2:17" ht="20.25" customHeight="1" x14ac:dyDescent="0.3">
      <c r="B19" s="59" t="s">
        <v>14</v>
      </c>
      <c r="C19" s="59" t="s">
        <v>39</v>
      </c>
      <c r="D19" s="62" t="str">
        <f t="shared" si="0"/>
        <v>AudiA5</v>
      </c>
      <c r="E19" s="59" t="s">
        <v>258</v>
      </c>
      <c r="F19" s="60">
        <v>68580000</v>
      </c>
      <c r="G19" s="60">
        <v>1968</v>
      </c>
      <c r="H19" s="58" t="s">
        <v>250</v>
      </c>
      <c r="I19" s="58" t="s">
        <v>242</v>
      </c>
      <c r="J19" s="58" t="s">
        <v>1610</v>
      </c>
      <c r="K19" s="58"/>
      <c r="L19" s="58" t="s">
        <v>243</v>
      </c>
      <c r="M19" s="58"/>
      <c r="N19" s="58" t="s">
        <v>242</v>
      </c>
      <c r="O19" s="58"/>
      <c r="P19" s="63"/>
      <c r="Q19" s="63"/>
    </row>
    <row r="20" spans="2:17" ht="20.25" customHeight="1" x14ac:dyDescent="0.3">
      <c r="B20" s="59" t="s">
        <v>14</v>
      </c>
      <c r="C20" s="59" t="s">
        <v>39</v>
      </c>
      <c r="D20" s="62" t="str">
        <f t="shared" si="0"/>
        <v>AudiA5</v>
      </c>
      <c r="E20" s="59" t="s">
        <v>259</v>
      </c>
      <c r="F20" s="60">
        <v>59160000</v>
      </c>
      <c r="G20" s="60">
        <v>1984</v>
      </c>
      <c r="H20" s="58" t="s">
        <v>241</v>
      </c>
      <c r="I20" s="58" t="s">
        <v>242</v>
      </c>
      <c r="J20" s="58" t="s">
        <v>1610</v>
      </c>
      <c r="K20" s="58"/>
      <c r="L20" s="58" t="s">
        <v>243</v>
      </c>
      <c r="M20" s="58"/>
      <c r="N20" s="58" t="s">
        <v>242</v>
      </c>
      <c r="O20" s="58"/>
      <c r="P20" s="63"/>
      <c r="Q20" s="63"/>
    </row>
    <row r="21" spans="2:17" ht="20.25" customHeight="1" x14ac:dyDescent="0.3">
      <c r="B21" s="59" t="s">
        <v>14</v>
      </c>
      <c r="C21" s="59" t="s">
        <v>39</v>
      </c>
      <c r="D21" s="62" t="str">
        <f t="shared" si="0"/>
        <v>AudiA5</v>
      </c>
      <c r="E21" s="59" t="s">
        <v>260</v>
      </c>
      <c r="F21" s="60">
        <v>66130000</v>
      </c>
      <c r="G21" s="60">
        <v>1984</v>
      </c>
      <c r="H21" s="58" t="s">
        <v>241</v>
      </c>
      <c r="I21" s="58" t="s">
        <v>242</v>
      </c>
      <c r="J21" s="58" t="s">
        <v>1610</v>
      </c>
      <c r="K21" s="58"/>
      <c r="L21" s="58" t="s">
        <v>243</v>
      </c>
      <c r="M21" s="58"/>
      <c r="N21" s="58" t="s">
        <v>242</v>
      </c>
      <c r="O21" s="58"/>
      <c r="P21" s="63"/>
      <c r="Q21" s="63"/>
    </row>
    <row r="22" spans="2:17" ht="20.25" customHeight="1" x14ac:dyDescent="0.3">
      <c r="B22" s="59" t="s">
        <v>14</v>
      </c>
      <c r="C22" s="59" t="s">
        <v>39</v>
      </c>
      <c r="D22" s="62" t="str">
        <f t="shared" si="0"/>
        <v>AudiA5</v>
      </c>
      <c r="E22" s="59" t="s">
        <v>261</v>
      </c>
      <c r="F22" s="60">
        <v>69070000</v>
      </c>
      <c r="G22" s="60">
        <v>1984</v>
      </c>
      <c r="H22" s="58" t="s">
        <v>241</v>
      </c>
      <c r="I22" s="58" t="s">
        <v>242</v>
      </c>
      <c r="J22" s="58" t="s">
        <v>1610</v>
      </c>
      <c r="K22" s="58"/>
      <c r="L22" s="58" t="s">
        <v>243</v>
      </c>
      <c r="M22" s="58"/>
      <c r="N22" s="58" t="s">
        <v>242</v>
      </c>
      <c r="O22" s="58"/>
      <c r="P22" s="63"/>
      <c r="Q22" s="63"/>
    </row>
    <row r="23" spans="2:17" ht="20.25" customHeight="1" x14ac:dyDescent="0.3">
      <c r="B23" s="59" t="s">
        <v>14</v>
      </c>
      <c r="C23" s="59" t="s">
        <v>39</v>
      </c>
      <c r="D23" s="62" t="str">
        <f t="shared" si="0"/>
        <v>AudiA5</v>
      </c>
      <c r="E23" s="59" t="s">
        <v>262</v>
      </c>
      <c r="F23" s="60">
        <v>70540000</v>
      </c>
      <c r="G23" s="60">
        <v>1984</v>
      </c>
      <c r="H23" s="58" t="s">
        <v>241</v>
      </c>
      <c r="I23" s="58" t="s">
        <v>242</v>
      </c>
      <c r="J23" s="58" t="s">
        <v>1610</v>
      </c>
      <c r="K23" s="58"/>
      <c r="L23" s="58" t="s">
        <v>243</v>
      </c>
      <c r="M23" s="58"/>
      <c r="N23" s="58" t="s">
        <v>242</v>
      </c>
      <c r="O23" s="58"/>
      <c r="P23" s="63"/>
      <c r="Q23" s="63"/>
    </row>
    <row r="24" spans="2:17" ht="20.25" customHeight="1" x14ac:dyDescent="0.3">
      <c r="B24" s="59" t="s">
        <v>14</v>
      </c>
      <c r="C24" s="59" t="s">
        <v>39</v>
      </c>
      <c r="D24" s="62" t="str">
        <f t="shared" si="0"/>
        <v>AudiA5</v>
      </c>
      <c r="E24" s="59" t="s">
        <v>263</v>
      </c>
      <c r="F24" s="60">
        <v>79380000</v>
      </c>
      <c r="G24" s="60">
        <v>1984</v>
      </c>
      <c r="H24" s="58" t="s">
        <v>241</v>
      </c>
      <c r="I24" s="58" t="s">
        <v>242</v>
      </c>
      <c r="J24" s="58" t="s">
        <v>1610</v>
      </c>
      <c r="K24" s="58"/>
      <c r="L24" s="58" t="s">
        <v>243</v>
      </c>
      <c r="M24" s="58"/>
      <c r="N24" s="58" t="s">
        <v>242</v>
      </c>
      <c r="O24" s="58"/>
      <c r="P24" s="63"/>
      <c r="Q24" s="63"/>
    </row>
    <row r="25" spans="2:17" ht="20.25" customHeight="1" x14ac:dyDescent="0.3">
      <c r="B25" s="59" t="s">
        <v>14</v>
      </c>
      <c r="C25" s="59" t="s">
        <v>39</v>
      </c>
      <c r="D25" s="62" t="str">
        <f t="shared" si="0"/>
        <v>AudiA5</v>
      </c>
      <c r="E25" s="59" t="s">
        <v>264</v>
      </c>
      <c r="F25" s="60">
        <v>84499000</v>
      </c>
      <c r="G25" s="60">
        <v>2995</v>
      </c>
      <c r="H25" s="58" t="s">
        <v>241</v>
      </c>
      <c r="I25" s="58" t="s">
        <v>242</v>
      </c>
      <c r="J25" s="58" t="s">
        <v>1613</v>
      </c>
      <c r="K25" s="58"/>
      <c r="L25" s="58" t="s">
        <v>246</v>
      </c>
      <c r="M25" s="58"/>
      <c r="N25" s="58" t="s">
        <v>242</v>
      </c>
      <c r="O25" s="58"/>
      <c r="P25" s="63"/>
      <c r="Q25" s="63"/>
    </row>
    <row r="26" spans="2:17" ht="20.25" customHeight="1" x14ac:dyDescent="0.3">
      <c r="B26" s="59" t="s">
        <v>14</v>
      </c>
      <c r="C26" s="59" t="s">
        <v>39</v>
      </c>
      <c r="D26" s="62" t="str">
        <f t="shared" si="0"/>
        <v>AudiA5</v>
      </c>
      <c r="E26" s="59" t="s">
        <v>265</v>
      </c>
      <c r="F26" s="60">
        <v>85972000</v>
      </c>
      <c r="G26" s="60">
        <v>2995</v>
      </c>
      <c r="H26" s="58" t="s">
        <v>241</v>
      </c>
      <c r="I26" s="58" t="s">
        <v>242</v>
      </c>
      <c r="J26" s="58" t="s">
        <v>1613</v>
      </c>
      <c r="K26" s="58"/>
      <c r="L26" s="58" t="s">
        <v>246</v>
      </c>
      <c r="M26" s="58"/>
      <c r="N26" s="58" t="s">
        <v>242</v>
      </c>
      <c r="O26" s="58"/>
      <c r="P26" s="63"/>
      <c r="Q26" s="63"/>
    </row>
    <row r="27" spans="2:17" ht="20.25" customHeight="1" x14ac:dyDescent="0.3">
      <c r="B27" s="59" t="s">
        <v>14</v>
      </c>
      <c r="C27" s="59" t="s">
        <v>39</v>
      </c>
      <c r="D27" s="62" t="str">
        <f t="shared" si="0"/>
        <v>AudiA5</v>
      </c>
      <c r="E27" s="59" t="s">
        <v>266</v>
      </c>
      <c r="F27" s="60">
        <v>124520000</v>
      </c>
      <c r="G27" s="60">
        <v>2894</v>
      </c>
      <c r="H27" s="58" t="s">
        <v>241</v>
      </c>
      <c r="I27" s="58" t="s">
        <v>242</v>
      </c>
      <c r="J27" s="58" t="s">
        <v>1589</v>
      </c>
      <c r="K27" s="58"/>
      <c r="L27" s="58" t="s">
        <v>248</v>
      </c>
      <c r="M27" s="58"/>
      <c r="N27" s="58" t="s">
        <v>242</v>
      </c>
      <c r="O27" s="58"/>
      <c r="P27" s="63"/>
      <c r="Q27" s="63"/>
    </row>
    <row r="28" spans="2:17" ht="20.25" customHeight="1" x14ac:dyDescent="0.3">
      <c r="B28" s="59" t="s">
        <v>14</v>
      </c>
      <c r="C28" s="59" t="s">
        <v>40</v>
      </c>
      <c r="D28" s="62" t="str">
        <f t="shared" si="0"/>
        <v>AudiA6</v>
      </c>
      <c r="E28" s="59" t="s">
        <v>267</v>
      </c>
      <c r="F28" s="60">
        <v>69280000</v>
      </c>
      <c r="G28" s="60">
        <v>1968</v>
      </c>
      <c r="H28" s="58" t="s">
        <v>250</v>
      </c>
      <c r="I28" s="58" t="s">
        <v>242</v>
      </c>
      <c r="J28" s="58" t="s">
        <v>1610</v>
      </c>
      <c r="K28" s="58"/>
      <c r="L28" s="58" t="s">
        <v>62</v>
      </c>
      <c r="M28" s="58"/>
      <c r="N28" s="58" t="s">
        <v>242</v>
      </c>
      <c r="O28" s="58"/>
      <c r="P28" s="63"/>
      <c r="Q28" s="63"/>
    </row>
    <row r="29" spans="2:17" ht="20.25" customHeight="1" x14ac:dyDescent="0.3">
      <c r="B29" s="59" t="s">
        <v>14</v>
      </c>
      <c r="C29" s="59" t="s">
        <v>40</v>
      </c>
      <c r="D29" s="62" t="str">
        <f t="shared" si="0"/>
        <v>AudiA6</v>
      </c>
      <c r="E29" s="59" t="s">
        <v>268</v>
      </c>
      <c r="F29" s="60">
        <v>75170000</v>
      </c>
      <c r="G29" s="60">
        <v>1968</v>
      </c>
      <c r="H29" s="58" t="s">
        <v>250</v>
      </c>
      <c r="I29" s="58" t="s">
        <v>242</v>
      </c>
      <c r="J29" s="58" t="s">
        <v>1610</v>
      </c>
      <c r="K29" s="58"/>
      <c r="L29" s="58" t="s">
        <v>62</v>
      </c>
      <c r="M29" s="58"/>
      <c r="N29" s="58" t="s">
        <v>242</v>
      </c>
      <c r="O29" s="58"/>
      <c r="P29" s="63"/>
      <c r="Q29" s="63"/>
    </row>
    <row r="30" spans="2:17" ht="20.25" customHeight="1" x14ac:dyDescent="0.3">
      <c r="B30" s="59" t="s">
        <v>14</v>
      </c>
      <c r="C30" s="59" t="s">
        <v>40</v>
      </c>
      <c r="D30" s="62" t="str">
        <f t="shared" si="0"/>
        <v>AudiA6</v>
      </c>
      <c r="E30" s="59" t="s">
        <v>269</v>
      </c>
      <c r="F30" s="60">
        <v>78120000</v>
      </c>
      <c r="G30" s="60">
        <v>1968</v>
      </c>
      <c r="H30" s="58" t="s">
        <v>250</v>
      </c>
      <c r="I30" s="58" t="s">
        <v>242</v>
      </c>
      <c r="J30" s="58" t="s">
        <v>1610</v>
      </c>
      <c r="K30" s="58"/>
      <c r="L30" s="58" t="s">
        <v>62</v>
      </c>
      <c r="M30" s="58"/>
      <c r="N30" s="58" t="s">
        <v>242</v>
      </c>
      <c r="O30" s="58"/>
      <c r="P30" s="63"/>
      <c r="Q30" s="63"/>
    </row>
    <row r="31" spans="2:17" ht="20.25" customHeight="1" x14ac:dyDescent="0.3">
      <c r="B31" s="59" t="s">
        <v>14</v>
      </c>
      <c r="C31" s="59" t="s">
        <v>40</v>
      </c>
      <c r="D31" s="62" t="str">
        <f t="shared" si="0"/>
        <v>AudiA6</v>
      </c>
      <c r="E31" s="59" t="s">
        <v>270</v>
      </c>
      <c r="F31" s="60">
        <v>85680000</v>
      </c>
      <c r="G31" s="60">
        <v>2967</v>
      </c>
      <c r="H31" s="58" t="s">
        <v>250</v>
      </c>
      <c r="I31" s="58" t="s">
        <v>242</v>
      </c>
      <c r="J31" s="58" t="s">
        <v>1610</v>
      </c>
      <c r="K31" s="58"/>
      <c r="L31" s="58" t="s">
        <v>62</v>
      </c>
      <c r="M31" s="58"/>
      <c r="N31" s="58" t="s">
        <v>242</v>
      </c>
      <c r="O31" s="58"/>
      <c r="P31" s="63"/>
      <c r="Q31" s="63"/>
    </row>
    <row r="32" spans="2:17" ht="20.25" customHeight="1" x14ac:dyDescent="0.3">
      <c r="B32" s="59" t="s">
        <v>14</v>
      </c>
      <c r="C32" s="59" t="s">
        <v>40</v>
      </c>
      <c r="D32" s="62" t="str">
        <f t="shared" si="0"/>
        <v>AudiA6</v>
      </c>
      <c r="E32" s="59" t="s">
        <v>271</v>
      </c>
      <c r="F32" s="60">
        <v>93530000</v>
      </c>
      <c r="G32" s="60">
        <v>2967</v>
      </c>
      <c r="H32" s="58" t="s">
        <v>250</v>
      </c>
      <c r="I32" s="58" t="s">
        <v>242</v>
      </c>
      <c r="J32" s="58" t="s">
        <v>1610</v>
      </c>
      <c r="K32" s="58"/>
      <c r="L32" s="58" t="s">
        <v>62</v>
      </c>
      <c r="M32" s="58"/>
      <c r="N32" s="58" t="s">
        <v>242</v>
      </c>
      <c r="O32" s="58"/>
      <c r="P32" s="63"/>
      <c r="Q32" s="63"/>
    </row>
    <row r="33" spans="2:17" ht="20.25" customHeight="1" x14ac:dyDescent="0.3">
      <c r="B33" s="59" t="s">
        <v>14</v>
      </c>
      <c r="C33" s="59" t="s">
        <v>40</v>
      </c>
      <c r="D33" s="62" t="str">
        <f t="shared" si="0"/>
        <v>AudiA6</v>
      </c>
      <c r="E33" s="59" t="s">
        <v>272</v>
      </c>
      <c r="F33" s="60">
        <v>70260000</v>
      </c>
      <c r="G33" s="60">
        <v>1984</v>
      </c>
      <c r="H33" s="58" t="s">
        <v>241</v>
      </c>
      <c r="I33" s="58" t="s">
        <v>242</v>
      </c>
      <c r="J33" s="58" t="s">
        <v>1610</v>
      </c>
      <c r="K33" s="58"/>
      <c r="L33" s="58" t="s">
        <v>62</v>
      </c>
      <c r="M33" s="58"/>
      <c r="N33" s="58" t="s">
        <v>242</v>
      </c>
      <c r="O33" s="58"/>
      <c r="P33" s="63"/>
      <c r="Q33" s="63"/>
    </row>
    <row r="34" spans="2:17" ht="20.25" customHeight="1" x14ac:dyDescent="0.3">
      <c r="B34" s="59" t="s">
        <v>14</v>
      </c>
      <c r="C34" s="59" t="s">
        <v>40</v>
      </c>
      <c r="D34" s="62" t="str">
        <f t="shared" si="0"/>
        <v>AudiA6</v>
      </c>
      <c r="E34" s="59" t="s">
        <v>273</v>
      </c>
      <c r="F34" s="60">
        <v>76150000</v>
      </c>
      <c r="G34" s="60">
        <v>1984</v>
      </c>
      <c r="H34" s="58" t="s">
        <v>241</v>
      </c>
      <c r="I34" s="58" t="s">
        <v>242</v>
      </c>
      <c r="J34" s="58" t="s">
        <v>1610</v>
      </c>
      <c r="K34" s="58"/>
      <c r="L34" s="58" t="s">
        <v>62</v>
      </c>
      <c r="M34" s="58"/>
      <c r="N34" s="58" t="s">
        <v>242</v>
      </c>
      <c r="O34" s="58"/>
      <c r="P34" s="63"/>
      <c r="Q34" s="63"/>
    </row>
    <row r="35" spans="2:17" ht="20.25" customHeight="1" x14ac:dyDescent="0.3">
      <c r="B35" s="59" t="s">
        <v>14</v>
      </c>
      <c r="C35" s="59" t="s">
        <v>40</v>
      </c>
      <c r="D35" s="62" t="str">
        <f t="shared" si="0"/>
        <v>AudiA6</v>
      </c>
      <c r="E35" s="59" t="s">
        <v>274</v>
      </c>
      <c r="F35" s="60">
        <v>66797000</v>
      </c>
      <c r="G35" s="60">
        <v>1984</v>
      </c>
      <c r="H35" s="58" t="s">
        <v>241</v>
      </c>
      <c r="I35" s="58" t="s">
        <v>242</v>
      </c>
      <c r="J35" s="58" t="s">
        <v>1610</v>
      </c>
      <c r="K35" s="58"/>
      <c r="L35" s="58" t="s">
        <v>62</v>
      </c>
      <c r="M35" s="58"/>
      <c r="N35" s="58" t="s">
        <v>242</v>
      </c>
      <c r="O35" s="58"/>
      <c r="P35" s="63"/>
      <c r="Q35" s="63"/>
    </row>
    <row r="36" spans="2:17" ht="20.25" customHeight="1" x14ac:dyDescent="0.3">
      <c r="B36" s="59" t="s">
        <v>14</v>
      </c>
      <c r="C36" s="59" t="s">
        <v>40</v>
      </c>
      <c r="D36" s="62" t="str">
        <f t="shared" si="0"/>
        <v>AudiA6</v>
      </c>
      <c r="E36" s="59" t="s">
        <v>275</v>
      </c>
      <c r="F36" s="60">
        <v>79090000</v>
      </c>
      <c r="G36" s="60">
        <v>1984</v>
      </c>
      <c r="H36" s="58" t="s">
        <v>241</v>
      </c>
      <c r="I36" s="58" t="s">
        <v>242</v>
      </c>
      <c r="J36" s="58" t="s">
        <v>1610</v>
      </c>
      <c r="K36" s="58"/>
      <c r="L36" s="58" t="s">
        <v>62</v>
      </c>
      <c r="M36" s="58"/>
      <c r="N36" s="58" t="s">
        <v>242</v>
      </c>
      <c r="O36" s="58"/>
      <c r="P36" s="63"/>
      <c r="Q36" s="63"/>
    </row>
    <row r="37" spans="2:17" ht="20.25" customHeight="1" x14ac:dyDescent="0.3">
      <c r="B37" s="59" t="s">
        <v>14</v>
      </c>
      <c r="C37" s="59" t="s">
        <v>40</v>
      </c>
      <c r="D37" s="62" t="str">
        <f t="shared" si="0"/>
        <v>AudiA6</v>
      </c>
      <c r="E37" s="59" t="s">
        <v>276</v>
      </c>
      <c r="F37" s="60">
        <v>112320000</v>
      </c>
      <c r="G37" s="60">
        <v>2967</v>
      </c>
      <c r="H37" s="58" t="s">
        <v>250</v>
      </c>
      <c r="I37" s="58" t="s">
        <v>242</v>
      </c>
      <c r="J37" s="58" t="s">
        <v>1515</v>
      </c>
      <c r="K37" s="58"/>
      <c r="L37" s="58" t="s">
        <v>248</v>
      </c>
      <c r="M37" s="58"/>
      <c r="N37" s="58" t="s">
        <v>242</v>
      </c>
      <c r="O37" s="58"/>
      <c r="P37" s="63"/>
      <c r="Q37" s="63"/>
    </row>
    <row r="38" spans="2:17" ht="20.25" customHeight="1" x14ac:dyDescent="0.3">
      <c r="B38" s="59" t="s">
        <v>14</v>
      </c>
      <c r="C38" s="59" t="s">
        <v>40</v>
      </c>
      <c r="D38" s="62" t="str">
        <f t="shared" si="0"/>
        <v>AudiA6</v>
      </c>
      <c r="E38" s="59" t="s">
        <v>277</v>
      </c>
      <c r="F38" s="60">
        <v>165520000</v>
      </c>
      <c r="G38" s="60">
        <v>3996</v>
      </c>
      <c r="H38" s="58" t="s">
        <v>241</v>
      </c>
      <c r="I38" s="58" t="s">
        <v>242</v>
      </c>
      <c r="J38" s="58" t="s">
        <v>1589</v>
      </c>
      <c r="K38" s="58"/>
      <c r="L38" s="58" t="s">
        <v>248</v>
      </c>
      <c r="M38" s="58"/>
      <c r="N38" s="58" t="s">
        <v>242</v>
      </c>
      <c r="O38" s="58"/>
      <c r="P38" s="63"/>
      <c r="Q38" s="63"/>
    </row>
    <row r="39" spans="2:17" ht="20.25" customHeight="1" x14ac:dyDescent="0.3">
      <c r="B39" s="59" t="s">
        <v>14</v>
      </c>
      <c r="C39" s="59" t="s">
        <v>41</v>
      </c>
      <c r="D39" s="62" t="str">
        <f t="shared" si="0"/>
        <v>AudiA7</v>
      </c>
      <c r="E39" s="59" t="s">
        <v>278</v>
      </c>
      <c r="F39" s="60">
        <v>92350000</v>
      </c>
      <c r="G39" s="60">
        <v>2967</v>
      </c>
      <c r="H39" s="58" t="s">
        <v>250</v>
      </c>
      <c r="I39" s="58" t="s">
        <v>242</v>
      </c>
      <c r="J39" s="58" t="s">
        <v>1610</v>
      </c>
      <c r="K39" s="58"/>
      <c r="L39" s="58" t="s">
        <v>279</v>
      </c>
      <c r="M39" s="58"/>
      <c r="N39" s="58" t="s">
        <v>242</v>
      </c>
      <c r="O39" s="58"/>
      <c r="P39" s="63"/>
      <c r="Q39" s="63"/>
    </row>
    <row r="40" spans="2:17" ht="20.25" customHeight="1" x14ac:dyDescent="0.3">
      <c r="B40" s="59" t="s">
        <v>14</v>
      </c>
      <c r="C40" s="59" t="s">
        <v>41</v>
      </c>
      <c r="D40" s="62" t="str">
        <f t="shared" si="0"/>
        <v>AudiA7</v>
      </c>
      <c r="E40" s="59" t="s">
        <v>280</v>
      </c>
      <c r="F40" s="60">
        <v>100210000</v>
      </c>
      <c r="G40" s="60">
        <v>2967</v>
      </c>
      <c r="H40" s="58" t="s">
        <v>250</v>
      </c>
      <c r="I40" s="58" t="s">
        <v>242</v>
      </c>
      <c r="J40" s="58" t="s">
        <v>1610</v>
      </c>
      <c r="K40" s="58"/>
      <c r="L40" s="58" t="s">
        <v>279</v>
      </c>
      <c r="M40" s="58"/>
      <c r="N40" s="58" t="s">
        <v>242</v>
      </c>
      <c r="O40" s="58"/>
      <c r="P40" s="63"/>
      <c r="Q40" s="63"/>
    </row>
    <row r="41" spans="2:17" ht="20.25" customHeight="1" x14ac:dyDescent="0.3">
      <c r="B41" s="59" t="s">
        <v>14</v>
      </c>
      <c r="C41" s="59" t="s">
        <v>41</v>
      </c>
      <c r="D41" s="62" t="str">
        <f t="shared" si="0"/>
        <v>AudiA7</v>
      </c>
      <c r="E41" s="59" t="s">
        <v>281</v>
      </c>
      <c r="F41" s="60">
        <v>103350000</v>
      </c>
      <c r="G41" s="60">
        <v>2995</v>
      </c>
      <c r="H41" s="58" t="s">
        <v>241</v>
      </c>
      <c r="I41" s="58" t="s">
        <v>242</v>
      </c>
      <c r="J41" s="58" t="s">
        <v>1610</v>
      </c>
      <c r="K41" s="58"/>
      <c r="L41" s="58" t="s">
        <v>279</v>
      </c>
      <c r="M41" s="58"/>
      <c r="N41" s="58" t="s">
        <v>242</v>
      </c>
      <c r="O41" s="58"/>
      <c r="P41" s="63"/>
      <c r="Q41" s="63"/>
    </row>
    <row r="42" spans="2:17" ht="20.25" customHeight="1" x14ac:dyDescent="0.3">
      <c r="B42" s="59" t="s">
        <v>14</v>
      </c>
      <c r="C42" s="59" t="s">
        <v>41</v>
      </c>
      <c r="D42" s="62" t="str">
        <f t="shared" si="0"/>
        <v>AudiA7</v>
      </c>
      <c r="E42" s="59" t="s">
        <v>282</v>
      </c>
      <c r="F42" s="60">
        <v>99860000</v>
      </c>
      <c r="G42" s="60">
        <v>1984</v>
      </c>
      <c r="H42" s="58" t="s">
        <v>241</v>
      </c>
      <c r="I42" s="58" t="s">
        <v>242</v>
      </c>
      <c r="J42" s="58" t="s">
        <v>1610</v>
      </c>
      <c r="K42" s="58"/>
      <c r="L42" s="58" t="s">
        <v>284</v>
      </c>
      <c r="M42" s="58"/>
      <c r="N42" s="58" t="s">
        <v>242</v>
      </c>
      <c r="O42" s="58"/>
      <c r="P42" s="63"/>
      <c r="Q42" s="63"/>
    </row>
    <row r="43" spans="2:17" ht="20.25" customHeight="1" x14ac:dyDescent="0.3">
      <c r="B43" s="59" t="s">
        <v>14</v>
      </c>
      <c r="C43" s="59" t="s">
        <v>41</v>
      </c>
      <c r="D43" s="62" t="str">
        <f t="shared" si="0"/>
        <v>AudiA7</v>
      </c>
      <c r="E43" s="59" t="s">
        <v>285</v>
      </c>
      <c r="F43" s="60">
        <v>122320000</v>
      </c>
      <c r="G43" s="60">
        <v>2967</v>
      </c>
      <c r="H43" s="58" t="s">
        <v>250</v>
      </c>
      <c r="I43" s="58" t="s">
        <v>242</v>
      </c>
      <c r="J43" s="58" t="s">
        <v>1515</v>
      </c>
      <c r="K43" s="58"/>
      <c r="L43" s="58" t="s">
        <v>286</v>
      </c>
      <c r="M43" s="58"/>
      <c r="N43" s="58" t="s">
        <v>242</v>
      </c>
      <c r="O43" s="58"/>
      <c r="P43" s="63"/>
      <c r="Q43" s="63"/>
    </row>
    <row r="44" spans="2:17" ht="20.25" customHeight="1" x14ac:dyDescent="0.3">
      <c r="B44" s="59" t="s">
        <v>14</v>
      </c>
      <c r="C44" s="59" t="s">
        <v>41</v>
      </c>
      <c r="D44" s="62" t="str">
        <f t="shared" si="0"/>
        <v>AudiA7</v>
      </c>
      <c r="E44" s="59" t="s">
        <v>287</v>
      </c>
      <c r="F44" s="60">
        <v>171420000</v>
      </c>
      <c r="G44" s="60">
        <v>3996</v>
      </c>
      <c r="H44" s="58" t="s">
        <v>241</v>
      </c>
      <c r="I44" s="58" t="s">
        <v>242</v>
      </c>
      <c r="J44" s="58" t="s">
        <v>1589</v>
      </c>
      <c r="K44" s="58"/>
      <c r="L44" s="58" t="s">
        <v>246</v>
      </c>
      <c r="M44" s="58"/>
      <c r="N44" s="58" t="s">
        <v>242</v>
      </c>
      <c r="O44" s="58"/>
      <c r="P44" s="63"/>
      <c r="Q44" s="63"/>
    </row>
    <row r="45" spans="2:17" ht="20.25" customHeight="1" x14ac:dyDescent="0.3">
      <c r="B45" s="59" t="s">
        <v>14</v>
      </c>
      <c r="C45" s="59" t="s">
        <v>42</v>
      </c>
      <c r="D45" s="62" t="str">
        <f t="shared" si="0"/>
        <v>AudiA8</v>
      </c>
      <c r="E45" s="59" t="s">
        <v>288</v>
      </c>
      <c r="F45" s="60">
        <v>142520000</v>
      </c>
      <c r="G45" s="60">
        <v>2967</v>
      </c>
      <c r="H45" s="58" t="s">
        <v>250</v>
      </c>
      <c r="I45" s="58" t="s">
        <v>242</v>
      </c>
      <c r="J45" s="58" t="s">
        <v>1614</v>
      </c>
      <c r="K45" s="58"/>
      <c r="L45" s="58" t="s">
        <v>248</v>
      </c>
      <c r="M45" s="58"/>
      <c r="N45" s="58" t="s">
        <v>242</v>
      </c>
      <c r="O45" s="58"/>
      <c r="P45" s="63"/>
      <c r="Q45" s="63"/>
    </row>
    <row r="46" spans="2:17" ht="20.25" customHeight="1" x14ac:dyDescent="0.3">
      <c r="B46" s="59" t="s">
        <v>14</v>
      </c>
      <c r="C46" s="59" t="s">
        <v>42</v>
      </c>
      <c r="D46" s="62" t="str">
        <f t="shared" si="0"/>
        <v>AudiA8</v>
      </c>
      <c r="E46" s="59" t="s">
        <v>289</v>
      </c>
      <c r="F46" s="60">
        <v>152520000</v>
      </c>
      <c r="G46" s="60">
        <v>2967</v>
      </c>
      <c r="H46" s="58" t="s">
        <v>250</v>
      </c>
      <c r="I46" s="58" t="s">
        <v>242</v>
      </c>
      <c r="J46" s="58" t="s">
        <v>1614</v>
      </c>
      <c r="K46" s="58"/>
      <c r="L46" s="58" t="s">
        <v>248</v>
      </c>
      <c r="M46" s="58"/>
      <c r="N46" s="58" t="s">
        <v>242</v>
      </c>
      <c r="O46" s="58"/>
      <c r="P46" s="63"/>
      <c r="Q46" s="63"/>
    </row>
    <row r="47" spans="2:17" ht="20.25" customHeight="1" x14ac:dyDescent="0.3">
      <c r="B47" s="59" t="s">
        <v>14</v>
      </c>
      <c r="C47" s="59" t="s">
        <v>42</v>
      </c>
      <c r="D47" s="62" t="str">
        <f t="shared" si="0"/>
        <v>AudiA8</v>
      </c>
      <c r="E47" s="59" t="s">
        <v>290</v>
      </c>
      <c r="F47" s="60">
        <v>158420000</v>
      </c>
      <c r="G47" s="60">
        <v>2995</v>
      </c>
      <c r="H47" s="58" t="s">
        <v>241</v>
      </c>
      <c r="I47" s="58" t="s">
        <v>242</v>
      </c>
      <c r="J47" s="58" t="s">
        <v>1614</v>
      </c>
      <c r="K47" s="58"/>
      <c r="L47" s="58" t="s">
        <v>248</v>
      </c>
      <c r="M47" s="58"/>
      <c r="N47" s="58" t="s">
        <v>242</v>
      </c>
      <c r="O47" s="58"/>
      <c r="P47" s="63"/>
      <c r="Q47" s="63"/>
    </row>
    <row r="48" spans="2:17" ht="20.25" customHeight="1" x14ac:dyDescent="0.3">
      <c r="B48" s="59" t="s">
        <v>14</v>
      </c>
      <c r="C48" s="59" t="s">
        <v>42</v>
      </c>
      <c r="D48" s="62" t="str">
        <f t="shared" si="0"/>
        <v>AudiA8</v>
      </c>
      <c r="E48" s="59" t="s">
        <v>291</v>
      </c>
      <c r="F48" s="60">
        <v>189420000</v>
      </c>
      <c r="G48" s="60">
        <v>3996</v>
      </c>
      <c r="H48" s="58" t="s">
        <v>241</v>
      </c>
      <c r="I48" s="58" t="s">
        <v>242</v>
      </c>
      <c r="J48" s="58" t="s">
        <v>1614</v>
      </c>
      <c r="K48" s="58"/>
      <c r="L48" s="58" t="s">
        <v>248</v>
      </c>
      <c r="M48" s="58"/>
      <c r="N48" s="58" t="s">
        <v>242</v>
      </c>
      <c r="O48" s="58"/>
      <c r="P48" s="63"/>
      <c r="Q48" s="63"/>
    </row>
    <row r="49" spans="2:17" ht="20.25" customHeight="1" x14ac:dyDescent="0.3">
      <c r="B49" s="59" t="s">
        <v>14</v>
      </c>
      <c r="C49" s="59" t="s">
        <v>42</v>
      </c>
      <c r="D49" s="62" t="str">
        <f t="shared" si="0"/>
        <v>AudiA8</v>
      </c>
      <c r="E49" s="59" t="s">
        <v>292</v>
      </c>
      <c r="F49" s="60">
        <v>197420000</v>
      </c>
      <c r="G49" s="60">
        <v>3996</v>
      </c>
      <c r="H49" s="58" t="s">
        <v>241</v>
      </c>
      <c r="I49" s="58" t="s">
        <v>242</v>
      </c>
      <c r="J49" s="58" t="s">
        <v>1614</v>
      </c>
      <c r="K49" s="58"/>
      <c r="L49" s="58" t="s">
        <v>248</v>
      </c>
      <c r="M49" s="58"/>
      <c r="N49" s="58" t="s">
        <v>242</v>
      </c>
      <c r="O49" s="58"/>
      <c r="P49" s="63"/>
      <c r="Q49" s="63"/>
    </row>
    <row r="50" spans="2:17" ht="20.25" customHeight="1" x14ac:dyDescent="0.3">
      <c r="B50" s="59" t="s">
        <v>14</v>
      </c>
      <c r="C50" s="59" t="s">
        <v>42</v>
      </c>
      <c r="D50" s="62" t="str">
        <f t="shared" si="0"/>
        <v>AudiA8</v>
      </c>
      <c r="E50" s="59" t="s">
        <v>293</v>
      </c>
      <c r="F50" s="60">
        <v>205020000</v>
      </c>
      <c r="G50" s="60">
        <v>3996</v>
      </c>
      <c r="H50" s="58" t="s">
        <v>241</v>
      </c>
      <c r="I50" s="58" t="s">
        <v>242</v>
      </c>
      <c r="J50" s="58" t="s">
        <v>1615</v>
      </c>
      <c r="K50" s="58"/>
      <c r="L50" s="58" t="s">
        <v>286</v>
      </c>
      <c r="M50" s="58"/>
      <c r="N50" s="58" t="s">
        <v>242</v>
      </c>
      <c r="O50" s="58"/>
      <c r="P50" s="63"/>
      <c r="Q50" s="63"/>
    </row>
    <row r="51" spans="2:17" ht="20.25" customHeight="1" x14ac:dyDescent="0.3">
      <c r="B51" s="59" t="s">
        <v>14</v>
      </c>
      <c r="C51" s="59" t="s">
        <v>43</v>
      </c>
      <c r="D51" s="62" t="str">
        <f t="shared" si="0"/>
        <v>AudiQ2</v>
      </c>
      <c r="E51" s="59" t="s">
        <v>294</v>
      </c>
      <c r="F51" s="60">
        <v>40200000</v>
      </c>
      <c r="G51" s="60">
        <v>1968</v>
      </c>
      <c r="H51" s="58" t="s">
        <v>250</v>
      </c>
      <c r="I51" s="58" t="s">
        <v>295</v>
      </c>
      <c r="J51" s="58" t="s">
        <v>1611</v>
      </c>
      <c r="K51" s="58"/>
      <c r="L51" s="58" t="s">
        <v>243</v>
      </c>
      <c r="M51" s="58"/>
      <c r="N51" s="58" t="s">
        <v>295</v>
      </c>
      <c r="O51" s="58"/>
      <c r="P51" s="63"/>
      <c r="Q51" s="63"/>
    </row>
    <row r="52" spans="2:17" ht="20.25" customHeight="1" x14ac:dyDescent="0.3">
      <c r="B52" s="59" t="s">
        <v>14</v>
      </c>
      <c r="C52" s="59" t="s">
        <v>43</v>
      </c>
      <c r="D52" s="62" t="str">
        <f t="shared" si="0"/>
        <v>AudiQ2</v>
      </c>
      <c r="E52" s="59" t="s">
        <v>296</v>
      </c>
      <c r="F52" s="60">
        <v>43640000</v>
      </c>
      <c r="G52" s="60">
        <v>1968</v>
      </c>
      <c r="H52" s="58" t="s">
        <v>250</v>
      </c>
      <c r="I52" s="58" t="s">
        <v>295</v>
      </c>
      <c r="J52" s="58" t="s">
        <v>1611</v>
      </c>
      <c r="K52" s="58"/>
      <c r="L52" s="58" t="s">
        <v>243</v>
      </c>
      <c r="M52" s="58"/>
      <c r="N52" s="58" t="s">
        <v>295</v>
      </c>
      <c r="O52" s="58"/>
      <c r="P52" s="63"/>
      <c r="Q52" s="63"/>
    </row>
    <row r="53" spans="2:17" ht="20.25" customHeight="1" x14ac:dyDescent="0.3">
      <c r="B53" s="59" t="s">
        <v>14</v>
      </c>
      <c r="C53" s="59" t="s">
        <v>44</v>
      </c>
      <c r="D53" s="62" t="str">
        <f t="shared" si="0"/>
        <v>AudiQ3</v>
      </c>
      <c r="E53" s="59" t="s">
        <v>297</v>
      </c>
      <c r="F53" s="60">
        <v>48650000</v>
      </c>
      <c r="G53" s="60">
        <v>1968</v>
      </c>
      <c r="H53" s="58" t="s">
        <v>250</v>
      </c>
      <c r="I53" s="58" t="s">
        <v>295</v>
      </c>
      <c r="J53" s="58" t="s">
        <v>1611</v>
      </c>
      <c r="K53" s="58"/>
      <c r="L53" s="58" t="s">
        <v>243</v>
      </c>
      <c r="M53" s="58"/>
      <c r="N53" s="58" t="s">
        <v>295</v>
      </c>
      <c r="O53" s="58"/>
      <c r="P53" s="63"/>
      <c r="Q53" s="63"/>
    </row>
    <row r="54" spans="2:17" ht="20.25" customHeight="1" x14ac:dyDescent="0.3">
      <c r="B54" s="59" t="s">
        <v>14</v>
      </c>
      <c r="C54" s="59" t="s">
        <v>44</v>
      </c>
      <c r="D54" s="62" t="str">
        <f t="shared" si="0"/>
        <v>AudiQ3</v>
      </c>
      <c r="E54" s="59" t="s">
        <v>298</v>
      </c>
      <c r="F54" s="60">
        <v>52770000</v>
      </c>
      <c r="G54" s="60">
        <v>1968</v>
      </c>
      <c r="H54" s="58" t="s">
        <v>250</v>
      </c>
      <c r="I54" s="58" t="s">
        <v>295</v>
      </c>
      <c r="J54" s="58" t="s">
        <v>1611</v>
      </c>
      <c r="K54" s="58"/>
      <c r="L54" s="58" t="s">
        <v>243</v>
      </c>
      <c r="M54" s="58"/>
      <c r="N54" s="58" t="s">
        <v>295</v>
      </c>
      <c r="O54" s="58"/>
      <c r="P54" s="63"/>
      <c r="Q54" s="63"/>
    </row>
    <row r="55" spans="2:17" ht="20.25" customHeight="1" x14ac:dyDescent="0.3">
      <c r="B55" s="59" t="s">
        <v>14</v>
      </c>
      <c r="C55" s="59" t="s">
        <v>44</v>
      </c>
      <c r="D55" s="62" t="str">
        <f t="shared" si="0"/>
        <v>AudiQ3</v>
      </c>
      <c r="E55" s="59" t="s">
        <v>299</v>
      </c>
      <c r="F55" s="60">
        <v>54730000</v>
      </c>
      <c r="G55" s="60">
        <v>1968</v>
      </c>
      <c r="H55" s="58" t="s">
        <v>250</v>
      </c>
      <c r="I55" s="58" t="s">
        <v>295</v>
      </c>
      <c r="J55" s="58" t="s">
        <v>1611</v>
      </c>
      <c r="K55" s="58"/>
      <c r="L55" s="58" t="s">
        <v>243</v>
      </c>
      <c r="M55" s="58"/>
      <c r="N55" s="58" t="s">
        <v>295</v>
      </c>
      <c r="O55" s="58"/>
      <c r="P55" s="63"/>
      <c r="Q55" s="63"/>
    </row>
    <row r="56" spans="2:17" ht="20.25" customHeight="1" x14ac:dyDescent="0.3">
      <c r="B56" s="59" t="s">
        <v>14</v>
      </c>
      <c r="C56" s="59" t="s">
        <v>44</v>
      </c>
      <c r="D56" s="62" t="str">
        <f t="shared" si="0"/>
        <v>AudiQ3</v>
      </c>
      <c r="E56" s="59" t="s">
        <v>300</v>
      </c>
      <c r="F56" s="60">
        <v>51590000</v>
      </c>
      <c r="G56" s="60">
        <v>1968</v>
      </c>
      <c r="H56" s="58" t="s">
        <v>250</v>
      </c>
      <c r="I56" s="58" t="s">
        <v>295</v>
      </c>
      <c r="J56" s="58" t="s">
        <v>1611</v>
      </c>
      <c r="K56" s="58"/>
      <c r="L56" s="58" t="s">
        <v>243</v>
      </c>
      <c r="M56" s="58"/>
      <c r="N56" s="58" t="s">
        <v>295</v>
      </c>
      <c r="O56" s="58"/>
      <c r="P56" s="63"/>
      <c r="Q56" s="63"/>
    </row>
    <row r="57" spans="2:17" ht="20.25" customHeight="1" x14ac:dyDescent="0.3">
      <c r="B57" s="59" t="s">
        <v>14</v>
      </c>
      <c r="C57" s="59" t="s">
        <v>44</v>
      </c>
      <c r="D57" s="62" t="str">
        <f t="shared" si="0"/>
        <v>AudiQ3</v>
      </c>
      <c r="E57" s="59" t="s">
        <v>301</v>
      </c>
      <c r="F57" s="60">
        <v>55720000</v>
      </c>
      <c r="G57" s="60">
        <v>1968</v>
      </c>
      <c r="H57" s="58" t="s">
        <v>250</v>
      </c>
      <c r="I57" s="58" t="s">
        <v>295</v>
      </c>
      <c r="J57" s="58" t="s">
        <v>1611</v>
      </c>
      <c r="K57" s="58"/>
      <c r="L57" s="58" t="s">
        <v>243</v>
      </c>
      <c r="M57" s="58"/>
      <c r="N57" s="58" t="s">
        <v>295</v>
      </c>
      <c r="O57" s="58"/>
      <c r="P57" s="63"/>
      <c r="Q57" s="63"/>
    </row>
    <row r="58" spans="2:17" ht="20.25" customHeight="1" x14ac:dyDescent="0.3">
      <c r="B58" s="59" t="s">
        <v>14</v>
      </c>
      <c r="C58" s="59" t="s">
        <v>44</v>
      </c>
      <c r="D58" s="62" t="str">
        <f t="shared" si="0"/>
        <v>AudiQ3</v>
      </c>
      <c r="E58" s="59" t="s">
        <v>302</v>
      </c>
      <c r="F58" s="60">
        <v>57680000</v>
      </c>
      <c r="G58" s="60">
        <v>1968</v>
      </c>
      <c r="H58" s="58" t="s">
        <v>250</v>
      </c>
      <c r="I58" s="58" t="s">
        <v>295</v>
      </c>
      <c r="J58" s="58" t="s">
        <v>1611</v>
      </c>
      <c r="K58" s="58"/>
      <c r="L58" s="58" t="s">
        <v>243</v>
      </c>
      <c r="M58" s="58"/>
      <c r="N58" s="58" t="s">
        <v>295</v>
      </c>
      <c r="O58" s="58"/>
      <c r="P58" s="63"/>
      <c r="Q58" s="63"/>
    </row>
    <row r="59" spans="2:17" ht="20.25" customHeight="1" x14ac:dyDescent="0.3">
      <c r="B59" s="59" t="s">
        <v>14</v>
      </c>
      <c r="C59" s="59" t="s">
        <v>44</v>
      </c>
      <c r="D59" s="62" t="str">
        <f t="shared" si="0"/>
        <v>AudiQ3</v>
      </c>
      <c r="E59" s="59" t="s">
        <v>303</v>
      </c>
      <c r="F59" s="60">
        <v>50680000</v>
      </c>
      <c r="G59" s="60">
        <v>1984</v>
      </c>
      <c r="H59" s="58" t="s">
        <v>241</v>
      </c>
      <c r="I59" s="58" t="s">
        <v>295</v>
      </c>
      <c r="J59" s="58" t="s">
        <v>1611</v>
      </c>
      <c r="K59" s="58"/>
      <c r="L59" s="58" t="s">
        <v>243</v>
      </c>
      <c r="M59" s="58"/>
      <c r="N59" s="58" t="s">
        <v>295</v>
      </c>
      <c r="O59" s="58"/>
      <c r="P59" s="63"/>
      <c r="Q59" s="63"/>
    </row>
    <row r="60" spans="2:17" ht="20.25" customHeight="1" x14ac:dyDescent="0.3">
      <c r="B60" s="59" t="s">
        <v>14</v>
      </c>
      <c r="C60" s="59" t="s">
        <v>44</v>
      </c>
      <c r="D60" s="62" t="str">
        <f t="shared" si="0"/>
        <v>AudiQ3</v>
      </c>
      <c r="E60" s="59" t="s">
        <v>304</v>
      </c>
      <c r="F60" s="60">
        <v>55470000</v>
      </c>
      <c r="G60" s="60">
        <v>1984</v>
      </c>
      <c r="H60" s="58" t="s">
        <v>241</v>
      </c>
      <c r="I60" s="58" t="s">
        <v>295</v>
      </c>
      <c r="J60" s="58" t="s">
        <v>1611</v>
      </c>
      <c r="K60" s="58"/>
      <c r="L60" s="58" t="s">
        <v>243</v>
      </c>
      <c r="M60" s="58"/>
      <c r="N60" s="58" t="s">
        <v>295</v>
      </c>
      <c r="O60" s="58"/>
      <c r="P60" s="63"/>
      <c r="Q60" s="63"/>
    </row>
    <row r="61" spans="2:17" ht="20.25" customHeight="1" x14ac:dyDescent="0.3">
      <c r="B61" s="59" t="s">
        <v>14</v>
      </c>
      <c r="C61" s="59" t="s">
        <v>44</v>
      </c>
      <c r="D61" s="62" t="str">
        <f t="shared" si="0"/>
        <v>AudiQ3</v>
      </c>
      <c r="E61" s="59" t="s">
        <v>305</v>
      </c>
      <c r="F61" s="60">
        <v>53730000</v>
      </c>
      <c r="G61" s="60">
        <v>1984</v>
      </c>
      <c r="H61" s="58" t="s">
        <v>241</v>
      </c>
      <c r="I61" s="58" t="s">
        <v>295</v>
      </c>
      <c r="J61" s="58" t="s">
        <v>1611</v>
      </c>
      <c r="K61" s="58"/>
      <c r="L61" s="58" t="s">
        <v>243</v>
      </c>
      <c r="M61" s="58"/>
      <c r="N61" s="58" t="s">
        <v>295</v>
      </c>
      <c r="O61" s="58"/>
      <c r="P61" s="63"/>
      <c r="Q61" s="63"/>
    </row>
    <row r="62" spans="2:17" ht="20.25" customHeight="1" x14ac:dyDescent="0.3">
      <c r="B62" s="59" t="s">
        <v>14</v>
      </c>
      <c r="C62" s="59" t="s">
        <v>44</v>
      </c>
      <c r="D62" s="62" t="str">
        <f t="shared" si="0"/>
        <v>AudiQ3</v>
      </c>
      <c r="E62" s="59" t="s">
        <v>306</v>
      </c>
      <c r="F62" s="60">
        <v>58520000</v>
      </c>
      <c r="G62" s="60">
        <v>1984</v>
      </c>
      <c r="H62" s="58" t="s">
        <v>241</v>
      </c>
      <c r="I62" s="58" t="s">
        <v>295</v>
      </c>
      <c r="J62" s="58" t="s">
        <v>1611</v>
      </c>
      <c r="K62" s="58"/>
      <c r="L62" s="58" t="s">
        <v>243</v>
      </c>
      <c r="M62" s="58"/>
      <c r="N62" s="58" t="s">
        <v>295</v>
      </c>
      <c r="O62" s="58"/>
      <c r="P62" s="63"/>
      <c r="Q62" s="63"/>
    </row>
    <row r="63" spans="2:17" ht="20.25" customHeight="1" x14ac:dyDescent="0.3">
      <c r="B63" s="59" t="s">
        <v>14</v>
      </c>
      <c r="C63" s="59" t="s">
        <v>45</v>
      </c>
      <c r="D63" s="62" t="str">
        <f t="shared" si="0"/>
        <v>AudiQ4</v>
      </c>
      <c r="E63" s="59" t="s">
        <v>307</v>
      </c>
      <c r="F63" s="60">
        <v>59700000</v>
      </c>
      <c r="G63" s="60">
        <v>0</v>
      </c>
      <c r="H63" s="58" t="s">
        <v>308</v>
      </c>
      <c r="I63" s="58" t="s">
        <v>308</v>
      </c>
      <c r="J63" s="58" t="s">
        <v>1615</v>
      </c>
      <c r="K63" s="58"/>
      <c r="L63" s="58" t="s">
        <v>284</v>
      </c>
      <c r="M63" s="58"/>
      <c r="N63" s="58" t="s">
        <v>295</v>
      </c>
      <c r="O63" s="58"/>
      <c r="P63" s="63"/>
      <c r="Q63" s="63"/>
    </row>
    <row r="64" spans="2:17" ht="20.25" customHeight="1" x14ac:dyDescent="0.3">
      <c r="B64" s="59" t="s">
        <v>14</v>
      </c>
      <c r="C64" s="59" t="s">
        <v>45</v>
      </c>
      <c r="D64" s="62" t="str">
        <f t="shared" si="0"/>
        <v>AudiQ4</v>
      </c>
      <c r="E64" s="59" t="s">
        <v>309</v>
      </c>
      <c r="F64" s="60">
        <v>66700000</v>
      </c>
      <c r="G64" s="60">
        <v>0</v>
      </c>
      <c r="H64" s="58" t="s">
        <v>308</v>
      </c>
      <c r="I64" s="58" t="s">
        <v>308</v>
      </c>
      <c r="J64" s="58" t="s">
        <v>1615</v>
      </c>
      <c r="K64" s="58"/>
      <c r="L64" s="58" t="s">
        <v>284</v>
      </c>
      <c r="M64" s="58"/>
      <c r="N64" s="58" t="s">
        <v>295</v>
      </c>
      <c r="O64" s="58"/>
      <c r="P64" s="63"/>
      <c r="Q64" s="63"/>
    </row>
    <row r="65" spans="2:17" ht="20.25" customHeight="1" x14ac:dyDescent="0.3">
      <c r="B65" s="59" t="s">
        <v>14</v>
      </c>
      <c r="C65" s="59" t="s">
        <v>45</v>
      </c>
      <c r="D65" s="62" t="str">
        <f t="shared" si="0"/>
        <v>AudiQ4</v>
      </c>
      <c r="E65" s="59" t="s">
        <v>310</v>
      </c>
      <c r="F65" s="60">
        <v>63700000</v>
      </c>
      <c r="G65" s="60">
        <v>0</v>
      </c>
      <c r="H65" s="58" t="s">
        <v>308</v>
      </c>
      <c r="I65" s="58" t="s">
        <v>308</v>
      </c>
      <c r="J65" s="58" t="s">
        <v>1615</v>
      </c>
      <c r="K65" s="58"/>
      <c r="L65" s="58" t="s">
        <v>284</v>
      </c>
      <c r="M65" s="58"/>
      <c r="N65" s="58" t="s">
        <v>295</v>
      </c>
      <c r="O65" s="58"/>
      <c r="P65" s="63"/>
      <c r="Q65" s="63"/>
    </row>
    <row r="66" spans="2:17" ht="20.25" customHeight="1" x14ac:dyDescent="0.3">
      <c r="B66" s="59" t="s">
        <v>14</v>
      </c>
      <c r="C66" s="59" t="s">
        <v>45</v>
      </c>
      <c r="D66" s="62" t="str">
        <f t="shared" si="0"/>
        <v>AudiQ4</v>
      </c>
      <c r="E66" s="59" t="s">
        <v>311</v>
      </c>
      <c r="F66" s="60">
        <v>70700000</v>
      </c>
      <c r="G66" s="60">
        <v>0</v>
      </c>
      <c r="H66" s="58" t="s">
        <v>308</v>
      </c>
      <c r="I66" s="58" t="s">
        <v>308</v>
      </c>
      <c r="J66" s="58" t="s">
        <v>1615</v>
      </c>
      <c r="K66" s="58"/>
      <c r="L66" s="58" t="s">
        <v>284</v>
      </c>
      <c r="M66" s="58"/>
      <c r="N66" s="58" t="s">
        <v>295</v>
      </c>
      <c r="O66" s="58"/>
      <c r="P66" s="63"/>
      <c r="Q66" s="63"/>
    </row>
    <row r="67" spans="2:17" ht="20.25" customHeight="1" x14ac:dyDescent="0.3">
      <c r="B67" s="59" t="s">
        <v>14</v>
      </c>
      <c r="C67" s="59" t="s">
        <v>45</v>
      </c>
      <c r="D67" s="62" t="str">
        <f t="shared" si="0"/>
        <v>AudiQ4</v>
      </c>
      <c r="E67" s="59" t="s">
        <v>1658</v>
      </c>
      <c r="F67" s="60">
        <v>64300000</v>
      </c>
      <c r="G67" s="60">
        <v>0</v>
      </c>
      <c r="H67" s="58" t="s">
        <v>308</v>
      </c>
      <c r="I67" s="58" t="s">
        <v>308</v>
      </c>
      <c r="J67" s="58" t="s">
        <v>1615</v>
      </c>
      <c r="K67" s="58"/>
      <c r="L67" s="58" t="s">
        <v>284</v>
      </c>
      <c r="M67" s="58"/>
      <c r="N67" s="58" t="s">
        <v>295</v>
      </c>
      <c r="O67" s="58"/>
      <c r="P67" s="63"/>
      <c r="Q67" s="63"/>
    </row>
    <row r="68" spans="2:17" ht="20.25" customHeight="1" x14ac:dyDescent="0.3">
      <c r="B68" s="59" t="s">
        <v>14</v>
      </c>
      <c r="C68" s="59" t="s">
        <v>45</v>
      </c>
      <c r="D68" s="62" t="str">
        <f t="shared" si="0"/>
        <v>AudiQ4</v>
      </c>
      <c r="E68" s="59" t="s">
        <v>1482</v>
      </c>
      <c r="F68" s="60">
        <v>69800000</v>
      </c>
      <c r="G68" s="60">
        <v>0</v>
      </c>
      <c r="H68" s="58" t="s">
        <v>308</v>
      </c>
      <c r="I68" s="58" t="s">
        <v>308</v>
      </c>
      <c r="J68" s="58" t="s">
        <v>1615</v>
      </c>
      <c r="K68" s="58"/>
      <c r="L68" s="58" t="s">
        <v>284</v>
      </c>
      <c r="M68" s="58"/>
      <c r="N68" s="58" t="s">
        <v>295</v>
      </c>
      <c r="O68" s="58"/>
      <c r="P68" s="63"/>
      <c r="Q68" s="63"/>
    </row>
    <row r="69" spans="2:17" ht="20.25" customHeight="1" x14ac:dyDescent="0.3">
      <c r="B69" s="59" t="s">
        <v>14</v>
      </c>
      <c r="C69" s="59" t="s">
        <v>45</v>
      </c>
      <c r="D69" s="62" t="str">
        <f t="shared" si="0"/>
        <v>AudiQ4</v>
      </c>
      <c r="E69" s="59" t="s">
        <v>1484</v>
      </c>
      <c r="F69" s="60">
        <v>68300000</v>
      </c>
      <c r="G69" s="60">
        <v>0</v>
      </c>
      <c r="H69" s="58" t="s">
        <v>308</v>
      </c>
      <c r="I69" s="58" t="s">
        <v>308</v>
      </c>
      <c r="J69" s="58" t="s">
        <v>1615</v>
      </c>
      <c r="K69" s="58"/>
      <c r="L69" s="58" t="s">
        <v>284</v>
      </c>
      <c r="M69" s="58"/>
      <c r="N69" s="58" t="s">
        <v>295</v>
      </c>
      <c r="O69" s="58"/>
      <c r="P69" s="63"/>
      <c r="Q69" s="63"/>
    </row>
    <row r="70" spans="2:17" ht="20.25" customHeight="1" x14ac:dyDescent="0.3">
      <c r="B70" s="59" t="s">
        <v>14</v>
      </c>
      <c r="C70" s="59" t="s">
        <v>45</v>
      </c>
      <c r="D70" s="62" t="str">
        <f t="shared" si="0"/>
        <v>AudiQ4</v>
      </c>
      <c r="E70" s="59" t="s">
        <v>1483</v>
      </c>
      <c r="F70" s="60">
        <v>73800000</v>
      </c>
      <c r="G70" s="60">
        <v>0</v>
      </c>
      <c r="H70" s="58" t="s">
        <v>308</v>
      </c>
      <c r="I70" s="58" t="s">
        <v>308</v>
      </c>
      <c r="J70" s="58" t="s">
        <v>1615</v>
      </c>
      <c r="K70" s="58"/>
      <c r="L70" s="58" t="s">
        <v>284</v>
      </c>
      <c r="M70" s="58"/>
      <c r="N70" s="58" t="s">
        <v>295</v>
      </c>
      <c r="O70" s="58"/>
      <c r="P70" s="63"/>
      <c r="Q70" s="63"/>
    </row>
    <row r="71" spans="2:17" ht="20.25" customHeight="1" x14ac:dyDescent="0.3">
      <c r="B71" s="59" t="s">
        <v>14</v>
      </c>
      <c r="C71" s="59" t="s">
        <v>46</v>
      </c>
      <c r="D71" s="62" t="str">
        <f t="shared" si="0"/>
        <v>AudiQ5</v>
      </c>
      <c r="E71" s="59" t="s">
        <v>1727</v>
      </c>
      <c r="F71" s="60">
        <v>68880000</v>
      </c>
      <c r="G71" s="60">
        <v>1968</v>
      </c>
      <c r="H71" s="58" t="s">
        <v>250</v>
      </c>
      <c r="I71" s="58" t="s">
        <v>295</v>
      </c>
      <c r="J71" s="58" t="s">
        <v>1610</v>
      </c>
      <c r="K71" s="58"/>
      <c r="L71" s="58" t="s">
        <v>243</v>
      </c>
      <c r="M71" s="58"/>
      <c r="N71" s="58" t="s">
        <v>295</v>
      </c>
      <c r="O71" s="58"/>
      <c r="P71" s="63"/>
      <c r="Q71" s="63"/>
    </row>
    <row r="72" spans="2:17" ht="20.25" customHeight="1" x14ac:dyDescent="0.3">
      <c r="B72" s="59" t="s">
        <v>14</v>
      </c>
      <c r="C72" s="59" t="s">
        <v>46</v>
      </c>
      <c r="D72" s="62" t="str">
        <f t="shared" si="0"/>
        <v>AudiQ5</v>
      </c>
      <c r="E72" s="59" t="s">
        <v>1728</v>
      </c>
      <c r="F72" s="60">
        <v>74280000</v>
      </c>
      <c r="G72" s="60">
        <v>1968</v>
      </c>
      <c r="H72" s="58" t="s">
        <v>250</v>
      </c>
      <c r="I72" s="58" t="s">
        <v>295</v>
      </c>
      <c r="J72" s="58" t="s">
        <v>1610</v>
      </c>
      <c r="K72" s="58"/>
      <c r="L72" s="58" t="s">
        <v>243</v>
      </c>
      <c r="M72" s="58"/>
      <c r="N72" s="58" t="s">
        <v>295</v>
      </c>
      <c r="O72" s="58"/>
      <c r="P72" s="63"/>
      <c r="Q72" s="63"/>
    </row>
    <row r="73" spans="2:17" ht="20.25" customHeight="1" x14ac:dyDescent="0.3">
      <c r="B73" s="59" t="s">
        <v>14</v>
      </c>
      <c r="C73" s="59" t="s">
        <v>46</v>
      </c>
      <c r="D73" s="62" t="str">
        <f t="shared" si="0"/>
        <v>AudiQ5</v>
      </c>
      <c r="E73" s="59" t="s">
        <v>312</v>
      </c>
      <c r="F73" s="60">
        <v>77399000</v>
      </c>
      <c r="G73" s="60">
        <v>2967</v>
      </c>
      <c r="H73" s="58" t="s">
        <v>250</v>
      </c>
      <c r="I73" s="58" t="s">
        <v>295</v>
      </c>
      <c r="J73" s="58" t="s">
        <v>1610</v>
      </c>
      <c r="K73" s="58"/>
      <c r="L73" s="58" t="s">
        <v>243</v>
      </c>
      <c r="M73" s="58"/>
      <c r="N73" s="58" t="s">
        <v>295</v>
      </c>
      <c r="O73" s="58"/>
      <c r="P73" s="63"/>
      <c r="Q73" s="63"/>
    </row>
    <row r="74" spans="2:17" ht="20.25" customHeight="1" x14ac:dyDescent="0.3">
      <c r="B74" s="59" t="s">
        <v>14</v>
      </c>
      <c r="C74" s="59" t="s">
        <v>46</v>
      </c>
      <c r="D74" s="62" t="str">
        <f t="shared" si="0"/>
        <v>AudiQ5</v>
      </c>
      <c r="E74" s="59" t="s">
        <v>313</v>
      </c>
      <c r="F74" s="60">
        <v>71830000</v>
      </c>
      <c r="G74" s="60">
        <v>1968</v>
      </c>
      <c r="H74" s="58" t="s">
        <v>250</v>
      </c>
      <c r="I74" s="58" t="s">
        <v>295</v>
      </c>
      <c r="J74" s="58" t="s">
        <v>1610</v>
      </c>
      <c r="K74" s="58"/>
      <c r="L74" s="58" t="s">
        <v>243</v>
      </c>
      <c r="M74" s="58"/>
      <c r="N74" s="58" t="s">
        <v>295</v>
      </c>
      <c r="O74" s="58"/>
      <c r="P74" s="63"/>
      <c r="Q74" s="63"/>
    </row>
    <row r="75" spans="2:17" ht="20.25" customHeight="1" x14ac:dyDescent="0.3">
      <c r="B75" s="59" t="s">
        <v>14</v>
      </c>
      <c r="C75" s="59" t="s">
        <v>46</v>
      </c>
      <c r="D75" s="62" t="str">
        <f t="shared" si="0"/>
        <v>AudiQ5</v>
      </c>
      <c r="E75" s="59" t="s">
        <v>314</v>
      </c>
      <c r="F75" s="60">
        <v>77230000</v>
      </c>
      <c r="G75" s="60">
        <v>1968</v>
      </c>
      <c r="H75" s="58" t="s">
        <v>250</v>
      </c>
      <c r="I75" s="58" t="s">
        <v>295</v>
      </c>
      <c r="J75" s="58" t="s">
        <v>1610</v>
      </c>
      <c r="K75" s="58"/>
      <c r="L75" s="58" t="s">
        <v>243</v>
      </c>
      <c r="M75" s="58"/>
      <c r="N75" s="58" t="s">
        <v>295</v>
      </c>
      <c r="O75" s="58"/>
      <c r="P75" s="63"/>
      <c r="Q75" s="63"/>
    </row>
    <row r="76" spans="2:17" ht="20.25" customHeight="1" x14ac:dyDescent="0.3">
      <c r="B76" s="59" t="s">
        <v>14</v>
      </c>
      <c r="C76" s="59" t="s">
        <v>46</v>
      </c>
      <c r="D76" s="62" t="str">
        <f t="shared" ref="D76:D157" si="1">+B76&amp;C76</f>
        <v>AudiQ5</v>
      </c>
      <c r="E76" s="59" t="s">
        <v>315</v>
      </c>
      <c r="F76" s="60">
        <v>69370000</v>
      </c>
      <c r="G76" s="60">
        <v>1984</v>
      </c>
      <c r="H76" s="58" t="s">
        <v>241</v>
      </c>
      <c r="I76" s="58" t="s">
        <v>295</v>
      </c>
      <c r="J76" s="58" t="s">
        <v>1610</v>
      </c>
      <c r="K76" s="58"/>
      <c r="L76" s="58" t="s">
        <v>243</v>
      </c>
      <c r="M76" s="58"/>
      <c r="N76" s="58" t="s">
        <v>295</v>
      </c>
      <c r="O76" s="58"/>
      <c r="P76" s="63"/>
      <c r="Q76" s="63"/>
    </row>
    <row r="77" spans="2:17" ht="20.25" customHeight="1" x14ac:dyDescent="0.3">
      <c r="B77" s="59" t="s">
        <v>14</v>
      </c>
      <c r="C77" s="59" t="s">
        <v>46</v>
      </c>
      <c r="D77" s="62" t="str">
        <f t="shared" si="1"/>
        <v>AudiQ5</v>
      </c>
      <c r="E77" s="59" t="s">
        <v>316</v>
      </c>
      <c r="F77" s="60">
        <v>74770000</v>
      </c>
      <c r="G77" s="60">
        <v>1984</v>
      </c>
      <c r="H77" s="58" t="s">
        <v>241</v>
      </c>
      <c r="I77" s="58" t="s">
        <v>295</v>
      </c>
      <c r="J77" s="58" t="s">
        <v>1610</v>
      </c>
      <c r="K77" s="58"/>
      <c r="L77" s="58" t="s">
        <v>243</v>
      </c>
      <c r="M77" s="58"/>
      <c r="N77" s="58" t="s">
        <v>295</v>
      </c>
      <c r="O77" s="58"/>
      <c r="P77" s="63"/>
      <c r="Q77" s="63"/>
    </row>
    <row r="78" spans="2:17" ht="20.25" customHeight="1" x14ac:dyDescent="0.3">
      <c r="B78" s="59" t="s">
        <v>14</v>
      </c>
      <c r="C78" s="59" t="s">
        <v>46</v>
      </c>
      <c r="D78" s="62" t="str">
        <f t="shared" si="1"/>
        <v>AudiQ5</v>
      </c>
      <c r="E78" s="59" t="s">
        <v>317</v>
      </c>
      <c r="F78" s="60">
        <v>72310000</v>
      </c>
      <c r="G78" s="60">
        <v>1984</v>
      </c>
      <c r="H78" s="58" t="s">
        <v>241</v>
      </c>
      <c r="I78" s="58" t="s">
        <v>295</v>
      </c>
      <c r="J78" s="58" t="s">
        <v>1610</v>
      </c>
      <c r="K78" s="58"/>
      <c r="L78" s="58" t="s">
        <v>243</v>
      </c>
      <c r="M78" s="58"/>
      <c r="N78" s="58" t="s">
        <v>295</v>
      </c>
      <c r="O78" s="58"/>
      <c r="P78" s="63"/>
      <c r="Q78" s="63"/>
    </row>
    <row r="79" spans="2:17" ht="20.25" customHeight="1" x14ac:dyDescent="0.3">
      <c r="B79" s="59" t="s">
        <v>14</v>
      </c>
      <c r="C79" s="59" t="s">
        <v>46</v>
      </c>
      <c r="D79" s="62" t="str">
        <f t="shared" si="1"/>
        <v>AudiQ5</v>
      </c>
      <c r="E79" s="59" t="s">
        <v>318</v>
      </c>
      <c r="F79" s="60">
        <v>77710000</v>
      </c>
      <c r="G79" s="60">
        <v>1984</v>
      </c>
      <c r="H79" s="58" t="s">
        <v>241</v>
      </c>
      <c r="I79" s="58" t="s">
        <v>295</v>
      </c>
      <c r="J79" s="58" t="s">
        <v>1610</v>
      </c>
      <c r="K79" s="58"/>
      <c r="L79" s="58" t="s">
        <v>243</v>
      </c>
      <c r="M79" s="58"/>
      <c r="N79" s="58" t="s">
        <v>295</v>
      </c>
      <c r="O79" s="58"/>
      <c r="P79" s="63"/>
      <c r="Q79" s="63"/>
    </row>
    <row r="80" spans="2:17" ht="20.25" customHeight="1" x14ac:dyDescent="0.3">
      <c r="B80" s="59" t="s">
        <v>14</v>
      </c>
      <c r="C80" s="59" t="s">
        <v>46</v>
      </c>
      <c r="D80" s="62" t="str">
        <f t="shared" si="1"/>
        <v>AudiQ5</v>
      </c>
      <c r="E80" s="59" t="s">
        <v>319</v>
      </c>
      <c r="F80" s="60">
        <v>92640000</v>
      </c>
      <c r="G80" s="60">
        <v>2995</v>
      </c>
      <c r="H80" s="58" t="s">
        <v>241</v>
      </c>
      <c r="I80" s="58" t="s">
        <v>295</v>
      </c>
      <c r="J80" s="58" t="s">
        <v>1612</v>
      </c>
      <c r="K80" s="58"/>
      <c r="L80" s="58" t="s">
        <v>246</v>
      </c>
      <c r="M80" s="58"/>
      <c r="N80" s="58" t="s">
        <v>295</v>
      </c>
      <c r="O80" s="58"/>
      <c r="P80" s="63"/>
      <c r="Q80" s="63"/>
    </row>
    <row r="81" spans="2:17" ht="20.25" customHeight="1" x14ac:dyDescent="0.3">
      <c r="B81" s="59" t="s">
        <v>14</v>
      </c>
      <c r="C81" s="59" t="s">
        <v>46</v>
      </c>
      <c r="D81" s="62" t="str">
        <f t="shared" si="1"/>
        <v>AudiQ5</v>
      </c>
      <c r="E81" s="59" t="s">
        <v>320</v>
      </c>
      <c r="F81" s="60">
        <v>95580000</v>
      </c>
      <c r="G81" s="60">
        <v>2995</v>
      </c>
      <c r="H81" s="58" t="s">
        <v>241</v>
      </c>
      <c r="I81" s="58" t="s">
        <v>295</v>
      </c>
      <c r="J81" s="58" t="s">
        <v>1612</v>
      </c>
      <c r="K81" s="58"/>
      <c r="L81" s="58" t="s">
        <v>246</v>
      </c>
      <c r="M81" s="58"/>
      <c r="N81" s="58" t="s">
        <v>295</v>
      </c>
      <c r="O81" s="58"/>
      <c r="P81" s="63"/>
      <c r="Q81" s="63"/>
    </row>
    <row r="82" spans="2:17" ht="20.25" customHeight="1" x14ac:dyDescent="0.3">
      <c r="B82" s="59" t="s">
        <v>14</v>
      </c>
      <c r="C82" s="59" t="s">
        <v>1498</v>
      </c>
      <c r="D82" s="62" t="str">
        <f t="shared" si="1"/>
        <v>AudiQ6</v>
      </c>
      <c r="E82" s="59" t="s">
        <v>1667</v>
      </c>
      <c r="F82" s="60">
        <v>82900000</v>
      </c>
      <c r="G82" s="60">
        <v>0</v>
      </c>
      <c r="H82" s="58" t="s">
        <v>1666</v>
      </c>
      <c r="I82" s="58" t="s">
        <v>1666</v>
      </c>
      <c r="J82" s="58"/>
      <c r="K82" s="58"/>
      <c r="L82" s="58" t="s">
        <v>1671</v>
      </c>
      <c r="M82" s="58"/>
      <c r="N82" s="58" t="s">
        <v>295</v>
      </c>
      <c r="O82" s="58"/>
      <c r="P82" s="63"/>
      <c r="Q82" s="63"/>
    </row>
    <row r="83" spans="2:17" ht="20.25" customHeight="1" x14ac:dyDescent="0.3">
      <c r="B83" s="59" t="s">
        <v>14</v>
      </c>
      <c r="C83" s="59" t="s">
        <v>1498</v>
      </c>
      <c r="D83" s="62" t="str">
        <f t="shared" si="1"/>
        <v>AudiQ6</v>
      </c>
      <c r="E83" s="59" t="s">
        <v>1668</v>
      </c>
      <c r="F83" s="60">
        <v>89900000</v>
      </c>
      <c r="G83" s="60">
        <v>0</v>
      </c>
      <c r="H83" s="58" t="s">
        <v>1666</v>
      </c>
      <c r="I83" s="58" t="s">
        <v>1666</v>
      </c>
      <c r="J83" s="58"/>
      <c r="K83" s="58"/>
      <c r="L83" s="58" t="s">
        <v>1671</v>
      </c>
      <c r="M83" s="58"/>
      <c r="N83" s="58" t="s">
        <v>295</v>
      </c>
      <c r="O83" s="58"/>
      <c r="P83" s="63"/>
      <c r="Q83" s="63"/>
    </row>
    <row r="84" spans="2:17" ht="20.25" customHeight="1" x14ac:dyDescent="0.3">
      <c r="B84" s="59" t="s">
        <v>14</v>
      </c>
      <c r="C84" s="59" t="s">
        <v>1498</v>
      </c>
      <c r="D84" s="62" t="str">
        <f t="shared" si="1"/>
        <v>AudiQ6</v>
      </c>
      <c r="E84" s="59" t="s">
        <v>1669</v>
      </c>
      <c r="F84" s="60">
        <v>106900000</v>
      </c>
      <c r="G84" s="60">
        <v>0</v>
      </c>
      <c r="H84" s="58" t="s">
        <v>1666</v>
      </c>
      <c r="I84" s="58" t="s">
        <v>1666</v>
      </c>
      <c r="J84" s="58"/>
      <c r="K84" s="58"/>
      <c r="L84" s="58" t="s">
        <v>1671</v>
      </c>
      <c r="M84" s="58"/>
      <c r="N84" s="58" t="s">
        <v>295</v>
      </c>
      <c r="O84" s="58"/>
      <c r="P84" s="63"/>
      <c r="Q84" s="63"/>
    </row>
    <row r="85" spans="2:17" ht="20.25" customHeight="1" x14ac:dyDescent="0.3">
      <c r="B85" s="59" t="s">
        <v>14</v>
      </c>
      <c r="C85" s="59" t="s">
        <v>1498</v>
      </c>
      <c r="D85" s="62" t="str">
        <f t="shared" si="1"/>
        <v>AudiQ6</v>
      </c>
      <c r="E85" s="59" t="s">
        <v>1670</v>
      </c>
      <c r="F85" s="60">
        <v>115900000</v>
      </c>
      <c r="G85" s="60">
        <v>0</v>
      </c>
      <c r="H85" s="58" t="s">
        <v>1666</v>
      </c>
      <c r="I85" s="58" t="s">
        <v>1666</v>
      </c>
      <c r="J85" s="58"/>
      <c r="K85" s="58"/>
      <c r="L85" s="58" t="s">
        <v>1672</v>
      </c>
      <c r="M85" s="58"/>
      <c r="N85" s="58" t="s">
        <v>295</v>
      </c>
      <c r="O85" s="58"/>
      <c r="P85" s="63"/>
      <c r="Q85" s="63"/>
    </row>
    <row r="86" spans="2:17" ht="20.25" customHeight="1" x14ac:dyDescent="0.3">
      <c r="B86" s="59" t="s">
        <v>14</v>
      </c>
      <c r="C86" s="59" t="s">
        <v>47</v>
      </c>
      <c r="D86" s="62" t="str">
        <f t="shared" si="1"/>
        <v>AudiQ7</v>
      </c>
      <c r="E86" s="59" t="s">
        <v>321</v>
      </c>
      <c r="F86" s="60">
        <v>98970000</v>
      </c>
      <c r="G86" s="60">
        <v>2967</v>
      </c>
      <c r="H86" s="58" t="s">
        <v>250</v>
      </c>
      <c r="I86" s="58" t="s">
        <v>295</v>
      </c>
      <c r="J86" s="58" t="s">
        <v>1612</v>
      </c>
      <c r="K86" s="58" t="s">
        <v>1739</v>
      </c>
      <c r="L86" s="58" t="s">
        <v>279</v>
      </c>
      <c r="M86" s="58"/>
      <c r="N86" s="58" t="s">
        <v>322</v>
      </c>
      <c r="O86" s="58"/>
      <c r="P86" s="63"/>
      <c r="Q86" s="63"/>
    </row>
    <row r="87" spans="2:17" ht="20.25" customHeight="1" x14ac:dyDescent="0.3">
      <c r="B87" s="59" t="s">
        <v>14</v>
      </c>
      <c r="C87" s="59" t="s">
        <v>47</v>
      </c>
      <c r="D87" s="62" t="str">
        <f t="shared" si="1"/>
        <v>AudiQ7</v>
      </c>
      <c r="E87" s="59" t="s">
        <v>1494</v>
      </c>
      <c r="F87" s="60">
        <v>104720000</v>
      </c>
      <c r="G87" s="60">
        <v>2967</v>
      </c>
      <c r="H87" s="58" t="s">
        <v>250</v>
      </c>
      <c r="I87" s="58" t="s">
        <v>295</v>
      </c>
      <c r="J87" s="58" t="s">
        <v>1612</v>
      </c>
      <c r="K87" s="58" t="s">
        <v>1739</v>
      </c>
      <c r="L87" s="58" t="s">
        <v>279</v>
      </c>
      <c r="M87" s="58"/>
      <c r="N87" s="58" t="s">
        <v>322</v>
      </c>
      <c r="O87" s="58"/>
      <c r="P87" s="63"/>
      <c r="Q87" s="63"/>
    </row>
    <row r="88" spans="2:17" ht="20.25" customHeight="1" x14ac:dyDescent="0.3">
      <c r="B88" s="59" t="s">
        <v>14</v>
      </c>
      <c r="C88" s="59" t="s">
        <v>47</v>
      </c>
      <c r="D88" s="62" t="str">
        <f t="shared" si="1"/>
        <v>AudiQ7</v>
      </c>
      <c r="E88" s="59" t="s">
        <v>1488</v>
      </c>
      <c r="F88" s="60">
        <v>118600000</v>
      </c>
      <c r="G88" s="60">
        <v>2967</v>
      </c>
      <c r="H88" s="58" t="s">
        <v>250</v>
      </c>
      <c r="I88" s="58" t="s">
        <v>295</v>
      </c>
      <c r="J88" s="58" t="s">
        <v>1612</v>
      </c>
      <c r="K88" s="58" t="s">
        <v>1739</v>
      </c>
      <c r="L88" s="58" t="s">
        <v>279</v>
      </c>
      <c r="M88" s="58"/>
      <c r="N88" s="58" t="s">
        <v>322</v>
      </c>
      <c r="O88" s="58"/>
      <c r="P88" s="63"/>
      <c r="Q88" s="63"/>
    </row>
    <row r="89" spans="2:17" ht="20.25" customHeight="1" x14ac:dyDescent="0.3">
      <c r="B89" s="59" t="s">
        <v>14</v>
      </c>
      <c r="C89" s="59" t="s">
        <v>47</v>
      </c>
      <c r="D89" s="62" t="str">
        <f t="shared" si="1"/>
        <v>AudiQ7</v>
      </c>
      <c r="E89" s="59" t="s">
        <v>1495</v>
      </c>
      <c r="F89" s="60">
        <v>124000000</v>
      </c>
      <c r="G89" s="60">
        <v>2967</v>
      </c>
      <c r="H89" s="58" t="s">
        <v>250</v>
      </c>
      <c r="I89" s="58" t="s">
        <v>295</v>
      </c>
      <c r="J89" s="58" t="s">
        <v>1612</v>
      </c>
      <c r="K89" s="58" t="s">
        <v>1739</v>
      </c>
      <c r="L89" s="58" t="s">
        <v>279</v>
      </c>
      <c r="M89" s="58"/>
      <c r="N89" s="58" t="s">
        <v>322</v>
      </c>
      <c r="O89" s="58"/>
      <c r="P89" s="63"/>
      <c r="Q89" s="63"/>
    </row>
    <row r="90" spans="2:17" ht="20.25" customHeight="1" x14ac:dyDescent="0.3">
      <c r="B90" s="59" t="s">
        <v>14</v>
      </c>
      <c r="C90" s="59" t="s">
        <v>47</v>
      </c>
      <c r="D90" s="62" t="str">
        <f t="shared" si="1"/>
        <v>AudiQ7</v>
      </c>
      <c r="E90" s="59" t="s">
        <v>1497</v>
      </c>
      <c r="F90" s="60">
        <v>115600000</v>
      </c>
      <c r="G90" s="60">
        <v>2995</v>
      </c>
      <c r="H90" s="58" t="s">
        <v>241</v>
      </c>
      <c r="I90" s="58" t="s">
        <v>295</v>
      </c>
      <c r="J90" s="58" t="s">
        <v>1612</v>
      </c>
      <c r="K90" s="58" t="s">
        <v>1739</v>
      </c>
      <c r="L90" s="58" t="s">
        <v>279</v>
      </c>
      <c r="M90" s="58"/>
      <c r="N90" s="58" t="s">
        <v>322</v>
      </c>
      <c r="O90" s="58"/>
      <c r="P90" s="63"/>
      <c r="Q90" s="63"/>
    </row>
    <row r="91" spans="2:17" ht="20.25" customHeight="1" x14ac:dyDescent="0.3">
      <c r="B91" s="59" t="s">
        <v>14</v>
      </c>
      <c r="C91" s="59" t="s">
        <v>47</v>
      </c>
      <c r="D91" s="62" t="str">
        <f t="shared" si="1"/>
        <v>AudiQ7</v>
      </c>
      <c r="E91" s="59" t="s">
        <v>323</v>
      </c>
      <c r="F91" s="60">
        <v>121000000</v>
      </c>
      <c r="G91" s="60">
        <v>2995</v>
      </c>
      <c r="H91" s="58" t="s">
        <v>241</v>
      </c>
      <c r="I91" s="58" t="s">
        <v>295</v>
      </c>
      <c r="J91" s="58" t="s">
        <v>1612</v>
      </c>
      <c r="K91" s="58" t="s">
        <v>1739</v>
      </c>
      <c r="L91" s="58" t="s">
        <v>279</v>
      </c>
      <c r="M91" s="58"/>
      <c r="N91" s="58" t="s">
        <v>322</v>
      </c>
      <c r="O91" s="58"/>
      <c r="P91" s="63"/>
      <c r="Q91" s="63"/>
    </row>
    <row r="92" spans="2:17" ht="20.25" customHeight="1" x14ac:dyDescent="0.3">
      <c r="B92" s="59" t="s">
        <v>14</v>
      </c>
      <c r="C92" s="59" t="s">
        <v>47</v>
      </c>
      <c r="D92" s="62" t="str">
        <f t="shared" si="1"/>
        <v>AudiQ7</v>
      </c>
      <c r="E92" s="59" t="s">
        <v>1496</v>
      </c>
      <c r="F92" s="60">
        <v>141900000</v>
      </c>
      <c r="G92" s="60">
        <v>3996</v>
      </c>
      <c r="H92" s="58" t="s">
        <v>241</v>
      </c>
      <c r="I92" s="58" t="s">
        <v>295</v>
      </c>
      <c r="J92" s="58" t="s">
        <v>1615</v>
      </c>
      <c r="K92" s="58"/>
      <c r="L92" s="58" t="s">
        <v>1499</v>
      </c>
      <c r="M92" s="58"/>
      <c r="N92" s="58" t="s">
        <v>322</v>
      </c>
      <c r="O92" s="58"/>
      <c r="P92" s="63"/>
      <c r="Q92" s="63"/>
    </row>
    <row r="93" spans="2:17" ht="20.25" customHeight="1" x14ac:dyDescent="0.3">
      <c r="B93" s="59" t="s">
        <v>14</v>
      </c>
      <c r="C93" s="59" t="s">
        <v>48</v>
      </c>
      <c r="D93" s="62" t="str">
        <f t="shared" si="1"/>
        <v>AudiQ8</v>
      </c>
      <c r="E93" s="59" t="s">
        <v>324</v>
      </c>
      <c r="F93" s="60">
        <v>101980000</v>
      </c>
      <c r="G93" s="60">
        <v>2967</v>
      </c>
      <c r="H93" s="58" t="s">
        <v>250</v>
      </c>
      <c r="I93" s="58" t="s">
        <v>295</v>
      </c>
      <c r="J93" s="58" t="s">
        <v>1613</v>
      </c>
      <c r="K93" s="58" t="s">
        <v>1739</v>
      </c>
      <c r="L93" s="58" t="s">
        <v>284</v>
      </c>
      <c r="M93" s="58"/>
      <c r="N93" s="58" t="s">
        <v>295</v>
      </c>
      <c r="O93" s="58"/>
      <c r="P93" s="63"/>
      <c r="Q93" s="63"/>
    </row>
    <row r="94" spans="2:17" ht="20.25" customHeight="1" x14ac:dyDescent="0.3">
      <c r="B94" s="59" t="s">
        <v>14</v>
      </c>
      <c r="C94" s="59" t="s">
        <v>48</v>
      </c>
      <c r="D94" s="62" t="str">
        <f t="shared" si="1"/>
        <v>AudiQ8</v>
      </c>
      <c r="E94" s="59" t="s">
        <v>325</v>
      </c>
      <c r="F94" s="60">
        <v>108920000</v>
      </c>
      <c r="G94" s="60">
        <v>2967</v>
      </c>
      <c r="H94" s="58" t="s">
        <v>250</v>
      </c>
      <c r="I94" s="58" t="s">
        <v>295</v>
      </c>
      <c r="J94" s="58" t="s">
        <v>1613</v>
      </c>
      <c r="K94" s="58" t="s">
        <v>1739</v>
      </c>
      <c r="L94" s="58" t="s">
        <v>284</v>
      </c>
      <c r="M94" s="58"/>
      <c r="N94" s="58" t="s">
        <v>295</v>
      </c>
      <c r="O94" s="58"/>
      <c r="P94" s="63"/>
      <c r="Q94" s="63"/>
    </row>
    <row r="95" spans="2:17" ht="20.25" customHeight="1" x14ac:dyDescent="0.3">
      <c r="B95" s="59" t="s">
        <v>14</v>
      </c>
      <c r="C95" s="59" t="s">
        <v>48</v>
      </c>
      <c r="D95" s="62" t="str">
        <f t="shared" si="1"/>
        <v>AudiQ8</v>
      </c>
      <c r="E95" s="59" t="s">
        <v>1500</v>
      </c>
      <c r="F95" s="60">
        <v>121920000</v>
      </c>
      <c r="G95" s="60">
        <v>2967</v>
      </c>
      <c r="H95" s="58" t="s">
        <v>250</v>
      </c>
      <c r="I95" s="58" t="s">
        <v>295</v>
      </c>
      <c r="J95" s="58" t="s">
        <v>1613</v>
      </c>
      <c r="K95" s="58" t="s">
        <v>1739</v>
      </c>
      <c r="L95" s="58" t="s">
        <v>284</v>
      </c>
      <c r="M95" s="58"/>
      <c r="N95" s="58" t="s">
        <v>295</v>
      </c>
      <c r="O95" s="58"/>
      <c r="P95" s="63"/>
      <c r="Q95" s="63"/>
    </row>
    <row r="96" spans="2:17" ht="20.25" customHeight="1" x14ac:dyDescent="0.3">
      <c r="B96" s="59" t="s">
        <v>14</v>
      </c>
      <c r="C96" s="59" t="s">
        <v>48</v>
      </c>
      <c r="D96" s="62" t="str">
        <f t="shared" si="1"/>
        <v>AudiQ8</v>
      </c>
      <c r="E96" s="59" t="s">
        <v>326</v>
      </c>
      <c r="F96" s="60">
        <v>121920000</v>
      </c>
      <c r="G96" s="60">
        <v>2967</v>
      </c>
      <c r="H96" s="58" t="s">
        <v>250</v>
      </c>
      <c r="I96" s="58" t="s">
        <v>295</v>
      </c>
      <c r="J96" s="58" t="s">
        <v>1613</v>
      </c>
      <c r="K96" s="58" t="s">
        <v>1739</v>
      </c>
      <c r="L96" s="58" t="s">
        <v>284</v>
      </c>
      <c r="M96" s="58"/>
      <c r="N96" s="58" t="s">
        <v>295</v>
      </c>
      <c r="O96" s="58"/>
      <c r="P96" s="63"/>
      <c r="Q96" s="63"/>
    </row>
    <row r="97" spans="2:17" ht="20.25" customHeight="1" x14ac:dyDescent="0.3">
      <c r="B97" s="59" t="s">
        <v>14</v>
      </c>
      <c r="C97" s="59" t="s">
        <v>48</v>
      </c>
      <c r="D97" s="62" t="str">
        <f t="shared" si="1"/>
        <v>AudiQ8</v>
      </c>
      <c r="E97" s="59" t="s">
        <v>1501</v>
      </c>
      <c r="F97" s="60">
        <v>123420000</v>
      </c>
      <c r="G97" s="60">
        <v>2995</v>
      </c>
      <c r="H97" s="58" t="s">
        <v>241</v>
      </c>
      <c r="I97" s="58" t="s">
        <v>295</v>
      </c>
      <c r="J97" s="58" t="s">
        <v>1613</v>
      </c>
      <c r="K97" s="58" t="s">
        <v>1739</v>
      </c>
      <c r="L97" s="58" t="s">
        <v>284</v>
      </c>
      <c r="M97" s="58"/>
      <c r="N97" s="58" t="s">
        <v>295</v>
      </c>
      <c r="O97" s="58"/>
      <c r="P97" s="63"/>
      <c r="Q97" s="63"/>
    </row>
    <row r="98" spans="2:17" ht="20.25" customHeight="1" x14ac:dyDescent="0.3">
      <c r="B98" s="59" t="s">
        <v>14</v>
      </c>
      <c r="C98" s="59" t="s">
        <v>48</v>
      </c>
      <c r="D98" s="62" t="str">
        <f t="shared" si="1"/>
        <v>AudiQ8</v>
      </c>
      <c r="E98" s="59" t="s">
        <v>327</v>
      </c>
      <c r="F98" s="60">
        <v>123420000</v>
      </c>
      <c r="G98" s="60">
        <v>2995</v>
      </c>
      <c r="H98" s="58" t="s">
        <v>241</v>
      </c>
      <c r="I98" s="58" t="s">
        <v>295</v>
      </c>
      <c r="J98" s="58" t="s">
        <v>1613</v>
      </c>
      <c r="K98" s="58" t="s">
        <v>1739</v>
      </c>
      <c r="L98" s="58" t="s">
        <v>284</v>
      </c>
      <c r="M98" s="58"/>
      <c r="N98" s="58" t="s">
        <v>295</v>
      </c>
      <c r="O98" s="58"/>
      <c r="P98" s="63"/>
      <c r="Q98" s="63"/>
    </row>
    <row r="99" spans="2:17" ht="20.25" customHeight="1" x14ac:dyDescent="0.3">
      <c r="B99" s="59" t="s">
        <v>14</v>
      </c>
      <c r="C99" s="59" t="s">
        <v>48</v>
      </c>
      <c r="D99" s="62" t="str">
        <f t="shared" si="1"/>
        <v>AudiQ8</v>
      </c>
      <c r="E99" s="59" t="s">
        <v>328</v>
      </c>
      <c r="F99" s="60">
        <v>138800000</v>
      </c>
      <c r="G99" s="60">
        <v>3956</v>
      </c>
      <c r="H99" s="58" t="s">
        <v>329</v>
      </c>
      <c r="I99" s="58" t="s">
        <v>295</v>
      </c>
      <c r="J99" s="58" t="s">
        <v>1615</v>
      </c>
      <c r="K99" s="58"/>
      <c r="L99" s="58" t="s">
        <v>286</v>
      </c>
      <c r="M99" s="58"/>
      <c r="N99" s="58" t="s">
        <v>295</v>
      </c>
      <c r="O99" s="58"/>
      <c r="P99" s="63"/>
      <c r="Q99" s="63"/>
    </row>
    <row r="100" spans="2:17" ht="20.25" customHeight="1" x14ac:dyDescent="0.3">
      <c r="B100" s="59" t="s">
        <v>14</v>
      </c>
      <c r="C100" s="59" t="s">
        <v>48</v>
      </c>
      <c r="D100" s="62" t="str">
        <f t="shared" si="1"/>
        <v>AudiQ8</v>
      </c>
      <c r="E100" s="59" t="s">
        <v>330</v>
      </c>
      <c r="F100" s="60">
        <v>179220000</v>
      </c>
      <c r="G100" s="60">
        <v>3996</v>
      </c>
      <c r="H100" s="58" t="s">
        <v>241</v>
      </c>
      <c r="I100" s="58" t="s">
        <v>295</v>
      </c>
      <c r="J100" s="58" t="s">
        <v>1589</v>
      </c>
      <c r="K100" s="58"/>
      <c r="L100" s="58" t="s">
        <v>331</v>
      </c>
      <c r="M100" s="58"/>
      <c r="N100" s="58" t="s">
        <v>295</v>
      </c>
      <c r="O100" s="58"/>
      <c r="P100" s="63"/>
      <c r="Q100" s="63"/>
    </row>
    <row r="101" spans="2:17" ht="20.25" customHeight="1" x14ac:dyDescent="0.3">
      <c r="B101" s="59" t="s">
        <v>14</v>
      </c>
      <c r="C101" s="59" t="s">
        <v>48</v>
      </c>
      <c r="D101" s="62" t="str">
        <f t="shared" si="1"/>
        <v>AudiQ8</v>
      </c>
      <c r="E101" s="59" t="s">
        <v>1489</v>
      </c>
      <c r="F101" s="60">
        <v>108600000</v>
      </c>
      <c r="G101" s="60">
        <v>0</v>
      </c>
      <c r="H101" s="58" t="s">
        <v>1486</v>
      </c>
      <c r="I101" s="58" t="s">
        <v>295</v>
      </c>
      <c r="J101" s="58" t="s">
        <v>1615</v>
      </c>
      <c r="K101" s="58"/>
      <c r="L101" s="58" t="s">
        <v>1487</v>
      </c>
      <c r="M101" s="58"/>
      <c r="N101" s="58" t="s">
        <v>295</v>
      </c>
      <c r="O101" s="58"/>
      <c r="P101" s="63"/>
      <c r="Q101" s="63"/>
    </row>
    <row r="102" spans="2:17" ht="20.25" customHeight="1" x14ac:dyDescent="0.3">
      <c r="B102" s="59" t="s">
        <v>14</v>
      </c>
      <c r="C102" s="59" t="s">
        <v>48</v>
      </c>
      <c r="D102" s="62" t="str">
        <f t="shared" si="1"/>
        <v>AudiQ8</v>
      </c>
      <c r="E102" s="59" t="s">
        <v>1490</v>
      </c>
      <c r="F102" s="60">
        <v>120600000</v>
      </c>
      <c r="G102" s="60">
        <v>0</v>
      </c>
      <c r="H102" s="58" t="s">
        <v>1486</v>
      </c>
      <c r="I102" s="58" t="s">
        <v>295</v>
      </c>
      <c r="J102" s="58" t="s">
        <v>1615</v>
      </c>
      <c r="K102" s="58"/>
      <c r="L102" s="58" t="s">
        <v>1487</v>
      </c>
      <c r="M102" s="58"/>
      <c r="N102" s="58" t="s">
        <v>295</v>
      </c>
      <c r="O102" s="58"/>
      <c r="P102" s="63"/>
      <c r="Q102" s="63"/>
    </row>
    <row r="103" spans="2:17" ht="20.25" customHeight="1" x14ac:dyDescent="0.3">
      <c r="B103" s="59" t="s">
        <v>14</v>
      </c>
      <c r="C103" s="59" t="s">
        <v>48</v>
      </c>
      <c r="D103" s="62" t="str">
        <f t="shared" si="1"/>
        <v>AudiQ8</v>
      </c>
      <c r="E103" s="59" t="s">
        <v>1491</v>
      </c>
      <c r="F103" s="60">
        <v>131600000</v>
      </c>
      <c r="G103" s="60">
        <v>0</v>
      </c>
      <c r="H103" s="58" t="s">
        <v>1486</v>
      </c>
      <c r="I103" s="58" t="s">
        <v>295</v>
      </c>
      <c r="J103" s="58" t="s">
        <v>1615</v>
      </c>
      <c r="K103" s="58"/>
      <c r="L103" s="58" t="s">
        <v>1487</v>
      </c>
      <c r="M103" s="58"/>
      <c r="N103" s="58" t="s">
        <v>295</v>
      </c>
      <c r="O103" s="58"/>
      <c r="P103" s="63"/>
      <c r="Q103" s="63"/>
    </row>
    <row r="104" spans="2:17" ht="20.25" customHeight="1" x14ac:dyDescent="0.3">
      <c r="B104" s="59" t="s">
        <v>14</v>
      </c>
      <c r="C104" s="59" t="s">
        <v>48</v>
      </c>
      <c r="D104" s="62" t="str">
        <f t="shared" si="1"/>
        <v>AudiQ8</v>
      </c>
      <c r="E104" s="59" t="s">
        <v>1492</v>
      </c>
      <c r="F104" s="60">
        <v>124600000</v>
      </c>
      <c r="G104" s="60">
        <v>0</v>
      </c>
      <c r="H104" s="58" t="s">
        <v>1486</v>
      </c>
      <c r="I104" s="58" t="s">
        <v>295</v>
      </c>
      <c r="J104" s="58" t="s">
        <v>1615</v>
      </c>
      <c r="K104" s="58"/>
      <c r="L104" s="58" t="s">
        <v>1487</v>
      </c>
      <c r="M104" s="58"/>
      <c r="N104" s="58" t="s">
        <v>295</v>
      </c>
      <c r="O104" s="58"/>
      <c r="P104" s="63"/>
      <c r="Q104" s="63"/>
    </row>
    <row r="105" spans="2:17" ht="20.25" customHeight="1" x14ac:dyDescent="0.3">
      <c r="B105" s="59" t="s">
        <v>14</v>
      </c>
      <c r="C105" s="59" t="s">
        <v>48</v>
      </c>
      <c r="D105" s="62" t="str">
        <f t="shared" si="1"/>
        <v>AudiQ8</v>
      </c>
      <c r="E105" s="59" t="s">
        <v>1493</v>
      </c>
      <c r="F105" s="60">
        <v>135600000</v>
      </c>
      <c r="G105" s="60">
        <v>0</v>
      </c>
      <c r="H105" s="58" t="s">
        <v>1486</v>
      </c>
      <c r="I105" s="58" t="s">
        <v>295</v>
      </c>
      <c r="J105" s="58" t="s">
        <v>1615</v>
      </c>
      <c r="K105" s="58"/>
      <c r="L105" s="58" t="s">
        <v>1487</v>
      </c>
      <c r="M105" s="58"/>
      <c r="N105" s="58" t="s">
        <v>295</v>
      </c>
      <c r="O105" s="58"/>
      <c r="P105" s="63"/>
      <c r="Q105" s="63"/>
    </row>
    <row r="106" spans="2:17" ht="20.25" customHeight="1" x14ac:dyDescent="0.3">
      <c r="B106" s="59" t="s">
        <v>14</v>
      </c>
      <c r="C106" s="59" t="s">
        <v>48</v>
      </c>
      <c r="D106" s="62" t="str">
        <f t="shared" si="1"/>
        <v>AudiQ8</v>
      </c>
      <c r="E106" s="59" t="s">
        <v>1485</v>
      </c>
      <c r="F106" s="60">
        <v>154600000</v>
      </c>
      <c r="G106" s="60">
        <v>0</v>
      </c>
      <c r="H106" s="58" t="s">
        <v>1486</v>
      </c>
      <c r="I106" s="58" t="s">
        <v>295</v>
      </c>
      <c r="J106" s="58" t="s">
        <v>1615</v>
      </c>
      <c r="K106" s="58"/>
      <c r="L106" s="58" t="s">
        <v>1487</v>
      </c>
      <c r="M106" s="58"/>
      <c r="N106" s="58" t="s">
        <v>295</v>
      </c>
      <c r="O106" s="58"/>
      <c r="P106" s="63"/>
      <c r="Q106" s="63"/>
    </row>
    <row r="107" spans="2:17" ht="20.25" customHeight="1" x14ac:dyDescent="0.3">
      <c r="B107" s="59" t="s">
        <v>14</v>
      </c>
      <c r="C107" s="59" t="s">
        <v>1585</v>
      </c>
      <c r="D107" s="62" t="str">
        <f t="shared" si="1"/>
        <v>Audie_tron</v>
      </c>
      <c r="E107" s="59" t="s">
        <v>1806</v>
      </c>
      <c r="F107" s="60">
        <v>98360000</v>
      </c>
      <c r="G107" s="60">
        <v>0</v>
      </c>
      <c r="H107" s="58" t="s">
        <v>308</v>
      </c>
      <c r="I107" s="58" t="s">
        <v>1810</v>
      </c>
      <c r="J107" s="58" t="s">
        <v>1615</v>
      </c>
      <c r="K107" s="58"/>
      <c r="L107" s="58" t="s">
        <v>1808</v>
      </c>
      <c r="M107" s="58"/>
      <c r="N107" s="58" t="s">
        <v>1810</v>
      </c>
      <c r="O107" s="58"/>
      <c r="P107" s="63"/>
      <c r="Q107" s="63"/>
    </row>
    <row r="108" spans="2:17" ht="20.25" customHeight="1" x14ac:dyDescent="0.3">
      <c r="B108" s="59" t="s">
        <v>14</v>
      </c>
      <c r="C108" s="59" t="s">
        <v>1585</v>
      </c>
      <c r="D108" s="62" t="str">
        <f t="shared" ref="D108:D109" si="2">+B108&amp;C108</f>
        <v>Audie_tron</v>
      </c>
      <c r="E108" s="59" t="s">
        <v>1807</v>
      </c>
      <c r="F108" s="60">
        <v>98360000</v>
      </c>
      <c r="G108" s="60">
        <v>0</v>
      </c>
      <c r="H108" s="58" t="s">
        <v>308</v>
      </c>
      <c r="I108" s="58" t="s">
        <v>1810</v>
      </c>
      <c r="J108" s="58" t="s">
        <v>1808</v>
      </c>
      <c r="K108" s="58"/>
      <c r="L108" s="58" t="s">
        <v>1808</v>
      </c>
      <c r="M108" s="58"/>
      <c r="N108" s="58" t="s">
        <v>1810</v>
      </c>
      <c r="O108" s="58"/>
      <c r="P108" s="63"/>
      <c r="Q108" s="63"/>
    </row>
    <row r="109" spans="2:17" ht="20.25" customHeight="1" x14ac:dyDescent="0.3">
      <c r="B109" s="59" t="s">
        <v>14</v>
      </c>
      <c r="C109" s="59" t="s">
        <v>1585</v>
      </c>
      <c r="D109" s="62" t="str">
        <f t="shared" si="2"/>
        <v>Audie_tron</v>
      </c>
      <c r="E109" s="59" t="s">
        <v>1809</v>
      </c>
      <c r="F109" s="60">
        <v>98360000</v>
      </c>
      <c r="G109" s="60">
        <v>0</v>
      </c>
      <c r="H109" s="58" t="s">
        <v>308</v>
      </c>
      <c r="I109" s="58" t="s">
        <v>1810</v>
      </c>
      <c r="J109" s="58" t="s">
        <v>1808</v>
      </c>
      <c r="K109" s="58"/>
      <c r="L109" s="58" t="s">
        <v>1808</v>
      </c>
      <c r="M109" s="58"/>
      <c r="N109" s="58" t="s">
        <v>1810</v>
      </c>
      <c r="O109" s="58"/>
      <c r="P109" s="63"/>
      <c r="Q109" s="63"/>
    </row>
    <row r="110" spans="2:17" ht="20.25" customHeight="1" x14ac:dyDescent="0.3">
      <c r="B110" s="59" t="s">
        <v>14</v>
      </c>
      <c r="C110" s="59" t="s">
        <v>1585</v>
      </c>
      <c r="D110" s="62" t="str">
        <f t="shared" ref="D110" si="3">+B110&amp;C110</f>
        <v>Audie_tron</v>
      </c>
      <c r="E110" s="59" t="s">
        <v>332</v>
      </c>
      <c r="F110" s="60">
        <v>98360000</v>
      </c>
      <c r="G110" s="60">
        <v>0</v>
      </c>
      <c r="H110" s="58" t="s">
        <v>308</v>
      </c>
      <c r="I110" s="58" t="s">
        <v>295</v>
      </c>
      <c r="J110" s="58" t="s">
        <v>1615</v>
      </c>
      <c r="K110" s="58"/>
      <c r="L110" s="58" t="s">
        <v>286</v>
      </c>
      <c r="M110" s="58"/>
      <c r="N110" s="58" t="s">
        <v>295</v>
      </c>
      <c r="O110" s="58"/>
      <c r="P110" s="63"/>
      <c r="Q110" s="63"/>
    </row>
    <row r="111" spans="2:17" ht="20.25" customHeight="1" x14ac:dyDescent="0.3">
      <c r="B111" s="59" t="s">
        <v>14</v>
      </c>
      <c r="C111" s="59" t="s">
        <v>1585</v>
      </c>
      <c r="D111" s="62" t="str">
        <f t="shared" si="1"/>
        <v>Audie_tron</v>
      </c>
      <c r="E111" s="59" t="s">
        <v>333</v>
      </c>
      <c r="F111" s="60">
        <v>117120000</v>
      </c>
      <c r="G111" s="60">
        <v>0</v>
      </c>
      <c r="H111" s="58" t="s">
        <v>308</v>
      </c>
      <c r="I111" s="58" t="s">
        <v>295</v>
      </c>
      <c r="J111" s="58" t="s">
        <v>1615</v>
      </c>
      <c r="K111" s="58"/>
      <c r="L111" s="58" t="s">
        <v>286</v>
      </c>
      <c r="M111" s="58"/>
      <c r="N111" s="58" t="s">
        <v>295</v>
      </c>
      <c r="O111" s="58"/>
      <c r="P111" s="63"/>
      <c r="Q111" s="63"/>
    </row>
    <row r="112" spans="2:17" ht="20.25" customHeight="1" x14ac:dyDescent="0.3">
      <c r="B112" s="59" t="s">
        <v>14</v>
      </c>
      <c r="C112" s="59" t="s">
        <v>1585</v>
      </c>
      <c r="D112" s="62" t="str">
        <f t="shared" si="1"/>
        <v>Audie_tron</v>
      </c>
      <c r="E112" s="59" t="s">
        <v>334</v>
      </c>
      <c r="F112" s="60">
        <v>102280000</v>
      </c>
      <c r="G112" s="60">
        <v>0</v>
      </c>
      <c r="H112" s="58" t="s">
        <v>308</v>
      </c>
      <c r="I112" s="58" t="s">
        <v>295</v>
      </c>
      <c r="J112" s="58" t="s">
        <v>1615</v>
      </c>
      <c r="K112" s="58"/>
      <c r="L112" s="58" t="s">
        <v>286</v>
      </c>
      <c r="M112" s="58"/>
      <c r="N112" s="58" t="s">
        <v>295</v>
      </c>
      <c r="O112" s="58"/>
      <c r="P112" s="63"/>
      <c r="Q112" s="63"/>
    </row>
    <row r="113" spans="2:17" ht="20.25" customHeight="1" x14ac:dyDescent="0.3">
      <c r="B113" s="59" t="s">
        <v>14</v>
      </c>
      <c r="C113" s="59" t="s">
        <v>1585</v>
      </c>
      <c r="D113" s="62" t="str">
        <f t="shared" si="1"/>
        <v>Audie_tron</v>
      </c>
      <c r="E113" s="59" t="s">
        <v>335</v>
      </c>
      <c r="F113" s="60">
        <v>123120000</v>
      </c>
      <c r="G113" s="60">
        <v>0</v>
      </c>
      <c r="H113" s="58" t="s">
        <v>308</v>
      </c>
      <c r="I113" s="58" t="s">
        <v>295</v>
      </c>
      <c r="J113" s="58" t="s">
        <v>1615</v>
      </c>
      <c r="K113" s="58"/>
      <c r="L113" s="58" t="s">
        <v>286</v>
      </c>
      <c r="M113" s="58"/>
      <c r="N113" s="58" t="s">
        <v>295</v>
      </c>
      <c r="O113" s="58"/>
      <c r="P113" s="63"/>
      <c r="Q113" s="63"/>
    </row>
    <row r="114" spans="2:17" ht="20.25" customHeight="1" x14ac:dyDescent="0.3">
      <c r="B114" s="59" t="s">
        <v>14</v>
      </c>
      <c r="C114" s="59" t="s">
        <v>1585</v>
      </c>
      <c r="D114" s="62" t="str">
        <f t="shared" si="1"/>
        <v>Audie_tron</v>
      </c>
      <c r="E114" s="59" t="s">
        <v>336</v>
      </c>
      <c r="F114" s="60">
        <v>137220000</v>
      </c>
      <c r="G114" s="60">
        <v>0</v>
      </c>
      <c r="H114" s="58" t="s">
        <v>308</v>
      </c>
      <c r="I114" s="58" t="s">
        <v>295</v>
      </c>
      <c r="J114" s="58" t="s">
        <v>1615</v>
      </c>
      <c r="K114" s="58"/>
      <c r="L114" s="58" t="s">
        <v>286</v>
      </c>
      <c r="M114" s="58"/>
      <c r="N114" s="58" t="s">
        <v>295</v>
      </c>
      <c r="O114" s="58"/>
      <c r="P114" s="63"/>
      <c r="Q114" s="63"/>
    </row>
    <row r="115" spans="2:17" ht="20.25" customHeight="1" x14ac:dyDescent="0.3">
      <c r="B115" s="59" t="s">
        <v>14</v>
      </c>
      <c r="C115" s="59" t="s">
        <v>1585</v>
      </c>
      <c r="D115" s="62" t="str">
        <f t="shared" si="1"/>
        <v>Audie_tron</v>
      </c>
      <c r="E115" s="59" t="s">
        <v>337</v>
      </c>
      <c r="F115" s="60">
        <v>141220000</v>
      </c>
      <c r="G115" s="60">
        <v>0</v>
      </c>
      <c r="H115" s="58" t="s">
        <v>308</v>
      </c>
      <c r="I115" s="58" t="s">
        <v>295</v>
      </c>
      <c r="J115" s="58" t="s">
        <v>1615</v>
      </c>
      <c r="K115" s="58"/>
      <c r="L115" s="58" t="s">
        <v>286</v>
      </c>
      <c r="M115" s="58"/>
      <c r="N115" s="58" t="s">
        <v>295</v>
      </c>
      <c r="O115" s="58"/>
      <c r="P115" s="63"/>
      <c r="Q115" s="63"/>
    </row>
    <row r="116" spans="2:17" ht="20.25" customHeight="1" x14ac:dyDescent="0.3">
      <c r="B116" s="59" t="s">
        <v>14</v>
      </c>
      <c r="C116" s="59" t="s">
        <v>1585</v>
      </c>
      <c r="D116" s="62" t="str">
        <f t="shared" si="1"/>
        <v>Audie_tron</v>
      </c>
      <c r="E116" s="59" t="s">
        <v>338</v>
      </c>
      <c r="F116" s="60">
        <v>143320000</v>
      </c>
      <c r="G116" s="60">
        <v>0</v>
      </c>
      <c r="H116" s="58" t="s">
        <v>308</v>
      </c>
      <c r="I116" s="58" t="s">
        <v>242</v>
      </c>
      <c r="J116" s="58" t="s">
        <v>1589</v>
      </c>
      <c r="K116" s="58"/>
      <c r="L116" s="58" t="s">
        <v>284</v>
      </c>
      <c r="M116" s="58"/>
      <c r="N116" s="58" t="s">
        <v>242</v>
      </c>
      <c r="O116" s="58"/>
      <c r="P116" s="63"/>
      <c r="Q116" s="63"/>
    </row>
    <row r="117" spans="2:17" ht="20.25" customHeight="1" x14ac:dyDescent="0.3">
      <c r="B117" s="59" t="s">
        <v>14</v>
      </c>
      <c r="C117" s="59" t="s">
        <v>1585</v>
      </c>
      <c r="D117" s="62" t="str">
        <f t="shared" si="1"/>
        <v>Audie_tron</v>
      </c>
      <c r="E117" s="59" t="s">
        <v>339</v>
      </c>
      <c r="F117" s="60">
        <v>166320000</v>
      </c>
      <c r="G117" s="60">
        <v>0</v>
      </c>
      <c r="H117" s="58" t="s">
        <v>308</v>
      </c>
      <c r="I117" s="58" t="s">
        <v>242</v>
      </c>
      <c r="J117" s="58" t="s">
        <v>1589</v>
      </c>
      <c r="K117" s="58"/>
      <c r="L117" s="58" t="s">
        <v>284</v>
      </c>
      <c r="M117" s="58"/>
      <c r="N117" s="58" t="s">
        <v>242</v>
      </c>
      <c r="O117" s="58"/>
      <c r="P117" s="63"/>
      <c r="Q117" s="63"/>
    </row>
    <row r="118" spans="2:17" ht="20.25" customHeight="1" x14ac:dyDescent="0.3">
      <c r="B118" s="59" t="s">
        <v>14</v>
      </c>
      <c r="C118" s="59" t="s">
        <v>1585</v>
      </c>
      <c r="D118" s="62" t="str">
        <f t="shared" si="1"/>
        <v>Audie_tron</v>
      </c>
      <c r="E118" s="59" t="s">
        <v>340</v>
      </c>
      <c r="F118" s="60">
        <v>206320000</v>
      </c>
      <c r="G118" s="60">
        <v>0</v>
      </c>
      <c r="H118" s="58" t="s">
        <v>308</v>
      </c>
      <c r="I118" s="58" t="s">
        <v>242</v>
      </c>
      <c r="J118" s="58" t="s">
        <v>1589</v>
      </c>
      <c r="K118" s="58"/>
      <c r="L118" s="58" t="s">
        <v>248</v>
      </c>
      <c r="M118" s="58"/>
      <c r="N118" s="58" t="s">
        <v>242</v>
      </c>
      <c r="O118" s="58"/>
      <c r="P118" s="63"/>
      <c r="Q118" s="63"/>
    </row>
    <row r="119" spans="2:17" ht="20.25" customHeight="1" x14ac:dyDescent="0.3">
      <c r="B119" s="59" t="s">
        <v>14</v>
      </c>
      <c r="C119" s="59" t="s">
        <v>49</v>
      </c>
      <c r="D119" s="62" t="str">
        <f t="shared" si="1"/>
        <v>AudiR8</v>
      </c>
      <c r="E119" s="59" t="s">
        <v>341</v>
      </c>
      <c r="F119" s="60">
        <v>255690000</v>
      </c>
      <c r="G119" s="60">
        <v>5204</v>
      </c>
      <c r="H119" s="58" t="s">
        <v>241</v>
      </c>
      <c r="I119" s="58" t="s">
        <v>242</v>
      </c>
      <c r="J119" s="58" t="s">
        <v>1589</v>
      </c>
      <c r="K119" s="58"/>
      <c r="L119" s="58" t="s">
        <v>286</v>
      </c>
      <c r="M119" s="58"/>
      <c r="N119" s="58" t="s">
        <v>242</v>
      </c>
      <c r="O119" s="58"/>
      <c r="P119" s="63"/>
      <c r="Q119" s="63"/>
    </row>
    <row r="120" spans="2:17" ht="20.25" customHeight="1" x14ac:dyDescent="0.3">
      <c r="B120" s="59"/>
      <c r="C120" s="59"/>
      <c r="D120" s="62" t="str">
        <f t="shared" si="1"/>
        <v/>
      </c>
      <c r="E120" s="59"/>
      <c r="F120" s="60"/>
      <c r="G120" s="60"/>
      <c r="H120" s="58"/>
      <c r="I120" s="58"/>
      <c r="J120" s="58"/>
      <c r="K120" s="58"/>
      <c r="L120" s="58"/>
      <c r="M120" s="58"/>
      <c r="N120" s="58"/>
      <c r="O120" s="58"/>
      <c r="P120" s="63"/>
      <c r="Q120" s="63"/>
    </row>
    <row r="121" spans="2:17" ht="20.25" customHeight="1" x14ac:dyDescent="0.3">
      <c r="B121" s="59"/>
      <c r="C121" s="59"/>
      <c r="D121" s="62" t="str">
        <f t="shared" si="1"/>
        <v/>
      </c>
      <c r="E121" s="59"/>
      <c r="F121" s="60"/>
      <c r="G121" s="60"/>
      <c r="H121" s="58"/>
      <c r="I121" s="58"/>
      <c r="J121" s="58"/>
      <c r="K121" s="58"/>
      <c r="L121" s="58"/>
      <c r="M121" s="58"/>
      <c r="N121" s="58"/>
      <c r="O121" s="58"/>
      <c r="P121" s="63"/>
      <c r="Q121" s="63"/>
    </row>
    <row r="122" spans="2:17" ht="20.25" customHeight="1" x14ac:dyDescent="0.3">
      <c r="B122" s="59"/>
      <c r="C122" s="59"/>
      <c r="D122" s="62" t="str">
        <f t="shared" si="1"/>
        <v/>
      </c>
      <c r="E122" s="59"/>
      <c r="F122" s="60"/>
      <c r="G122" s="60"/>
      <c r="H122" s="58"/>
      <c r="I122" s="58"/>
      <c r="J122" s="58"/>
      <c r="K122" s="58"/>
      <c r="L122" s="58"/>
      <c r="M122" s="58"/>
      <c r="N122" s="58"/>
      <c r="O122" s="58"/>
      <c r="P122" s="63"/>
      <c r="Q122" s="63"/>
    </row>
    <row r="123" spans="2:17" ht="20.25" customHeight="1" x14ac:dyDescent="0.3">
      <c r="B123" s="59"/>
      <c r="C123" s="59"/>
      <c r="D123" s="62" t="str">
        <f t="shared" si="1"/>
        <v/>
      </c>
      <c r="E123" s="59"/>
      <c r="F123" s="60"/>
      <c r="G123" s="60"/>
      <c r="H123" s="58"/>
      <c r="I123" s="58"/>
      <c r="J123" s="58"/>
      <c r="K123" s="58"/>
      <c r="L123" s="58"/>
      <c r="M123" s="58"/>
      <c r="N123" s="58"/>
      <c r="O123" s="58"/>
      <c r="P123" s="63"/>
      <c r="Q123" s="63"/>
    </row>
    <row r="124" spans="2:17" ht="20.25" customHeight="1" x14ac:dyDescent="0.3">
      <c r="B124" s="59" t="s">
        <v>12</v>
      </c>
      <c r="C124" s="59" t="s">
        <v>50</v>
      </c>
      <c r="D124" s="62" t="str">
        <f t="shared" si="1"/>
        <v>BenzA_class</v>
      </c>
      <c r="E124" s="59" t="s">
        <v>342</v>
      </c>
      <c r="F124" s="60">
        <v>40600000</v>
      </c>
      <c r="G124" s="60">
        <v>1991</v>
      </c>
      <c r="H124" s="58" t="s">
        <v>241</v>
      </c>
      <c r="I124" s="58" t="s">
        <v>242</v>
      </c>
      <c r="J124" s="58" t="s">
        <v>1608</v>
      </c>
      <c r="K124" s="58"/>
      <c r="L124" s="58" t="s">
        <v>343</v>
      </c>
      <c r="M124" s="58"/>
      <c r="N124" s="58" t="s">
        <v>242</v>
      </c>
      <c r="O124" s="58"/>
      <c r="P124" s="63"/>
      <c r="Q124" s="63"/>
    </row>
    <row r="125" spans="2:17" ht="20.25" customHeight="1" x14ac:dyDescent="0.3">
      <c r="B125" s="59" t="s">
        <v>12</v>
      </c>
      <c r="C125" s="59" t="s">
        <v>50</v>
      </c>
      <c r="D125" s="62" t="str">
        <f t="shared" si="1"/>
        <v>BenzA_class</v>
      </c>
      <c r="E125" s="59" t="s">
        <v>344</v>
      </c>
      <c r="F125" s="60">
        <v>42000000</v>
      </c>
      <c r="G125" s="60">
        <v>1991</v>
      </c>
      <c r="H125" s="58" t="s">
        <v>241</v>
      </c>
      <c r="I125" s="58" t="s">
        <v>242</v>
      </c>
      <c r="J125" s="58" t="s">
        <v>1608</v>
      </c>
      <c r="K125" s="58"/>
      <c r="L125" s="58" t="s">
        <v>343</v>
      </c>
      <c r="M125" s="58"/>
      <c r="N125" s="58" t="s">
        <v>242</v>
      </c>
      <c r="O125" s="58"/>
      <c r="P125" s="63"/>
      <c r="Q125" s="63"/>
    </row>
    <row r="126" spans="2:17" ht="20.25" customHeight="1" x14ac:dyDescent="0.3">
      <c r="B126" s="59" t="s">
        <v>12</v>
      </c>
      <c r="C126" s="59" t="s">
        <v>50</v>
      </c>
      <c r="D126" s="62" t="str">
        <f t="shared" si="1"/>
        <v>BenzA_class</v>
      </c>
      <c r="E126" s="59" t="s">
        <v>345</v>
      </c>
      <c r="F126" s="60">
        <v>41600000</v>
      </c>
      <c r="G126" s="60">
        <v>1950</v>
      </c>
      <c r="H126" s="58" t="s">
        <v>250</v>
      </c>
      <c r="I126" s="58" t="s">
        <v>242</v>
      </c>
      <c r="J126" s="58" t="s">
        <v>1608</v>
      </c>
      <c r="K126" s="58"/>
      <c r="L126" s="58" t="s">
        <v>343</v>
      </c>
      <c r="M126" s="58"/>
      <c r="N126" s="58" t="s">
        <v>242</v>
      </c>
      <c r="O126" s="58"/>
      <c r="P126" s="63"/>
      <c r="Q126" s="63"/>
    </row>
    <row r="127" spans="2:17" ht="20.25" customHeight="1" x14ac:dyDescent="0.3">
      <c r="B127" s="59" t="s">
        <v>12</v>
      </c>
      <c r="C127" s="59" t="s">
        <v>50</v>
      </c>
      <c r="D127" s="62" t="str">
        <f t="shared" si="1"/>
        <v>BenzA_class</v>
      </c>
      <c r="E127" s="59" t="s">
        <v>346</v>
      </c>
      <c r="F127" s="60">
        <v>50900000</v>
      </c>
      <c r="G127" s="60">
        <v>1991</v>
      </c>
      <c r="H127" s="58" t="s">
        <v>241</v>
      </c>
      <c r="I127" s="58" t="s">
        <v>242</v>
      </c>
      <c r="J127" s="58" t="s">
        <v>1608</v>
      </c>
      <c r="K127" s="58"/>
      <c r="L127" s="58" t="s">
        <v>343</v>
      </c>
      <c r="M127" s="58"/>
      <c r="N127" s="58" t="s">
        <v>242</v>
      </c>
      <c r="O127" s="58"/>
      <c r="P127" s="63"/>
      <c r="Q127" s="63"/>
    </row>
    <row r="128" spans="2:17" ht="20.25" customHeight="1" x14ac:dyDescent="0.3">
      <c r="B128" s="59" t="s">
        <v>12</v>
      </c>
      <c r="C128" s="59" t="s">
        <v>50</v>
      </c>
      <c r="D128" s="62" t="str">
        <f t="shared" si="1"/>
        <v>BenzA_class</v>
      </c>
      <c r="E128" s="59" t="s">
        <v>347</v>
      </c>
      <c r="F128" s="60">
        <v>39300000</v>
      </c>
      <c r="G128" s="60">
        <v>1950</v>
      </c>
      <c r="H128" s="58" t="s">
        <v>241</v>
      </c>
      <c r="I128" s="58" t="s">
        <v>242</v>
      </c>
      <c r="J128" s="58" t="s">
        <v>1608</v>
      </c>
      <c r="K128" s="58"/>
      <c r="L128" s="58" t="s">
        <v>343</v>
      </c>
      <c r="M128" s="58"/>
      <c r="N128" s="58" t="s">
        <v>242</v>
      </c>
      <c r="O128" s="58"/>
      <c r="P128" s="63"/>
      <c r="Q128" s="63"/>
    </row>
    <row r="129" spans="2:17" ht="20.25" customHeight="1" x14ac:dyDescent="0.3">
      <c r="B129" s="59" t="s">
        <v>12</v>
      </c>
      <c r="C129" s="59" t="s">
        <v>50</v>
      </c>
      <c r="D129" s="62" t="str">
        <f t="shared" si="1"/>
        <v>BenzA_class</v>
      </c>
      <c r="E129" s="59" t="s">
        <v>348</v>
      </c>
      <c r="F129" s="60">
        <v>62700000</v>
      </c>
      <c r="G129" s="60">
        <v>1991</v>
      </c>
      <c r="H129" s="58" t="s">
        <v>241</v>
      </c>
      <c r="I129" s="58" t="s">
        <v>242</v>
      </c>
      <c r="J129" s="58" t="s">
        <v>1612</v>
      </c>
      <c r="K129" s="58" t="s">
        <v>86</v>
      </c>
      <c r="L129" s="58"/>
      <c r="M129" s="58"/>
      <c r="N129" s="58" t="s">
        <v>242</v>
      </c>
      <c r="O129" s="58"/>
      <c r="P129" s="63"/>
      <c r="Q129" s="63"/>
    </row>
    <row r="130" spans="2:17" ht="20.25" customHeight="1" x14ac:dyDescent="0.3">
      <c r="B130" s="59" t="s">
        <v>12</v>
      </c>
      <c r="C130" s="59" t="s">
        <v>50</v>
      </c>
      <c r="D130" s="62" t="str">
        <f t="shared" si="1"/>
        <v>BenzA_class</v>
      </c>
      <c r="E130" s="59" t="s">
        <v>349</v>
      </c>
      <c r="F130" s="60">
        <v>70900000</v>
      </c>
      <c r="G130" s="60">
        <v>1991</v>
      </c>
      <c r="H130" s="58" t="s">
        <v>241</v>
      </c>
      <c r="I130" s="58" t="s">
        <v>242</v>
      </c>
      <c r="J130" s="58" t="s">
        <v>1612</v>
      </c>
      <c r="K130" s="58" t="s">
        <v>86</v>
      </c>
      <c r="L130" s="58"/>
      <c r="M130" s="58"/>
      <c r="N130" s="58" t="s">
        <v>242</v>
      </c>
      <c r="O130" s="58"/>
      <c r="P130" s="63"/>
      <c r="Q130" s="63"/>
    </row>
    <row r="131" spans="2:17" ht="20.25" customHeight="1" x14ac:dyDescent="0.3">
      <c r="B131" s="59" t="s">
        <v>12</v>
      </c>
      <c r="C131" s="59" t="s">
        <v>51</v>
      </c>
      <c r="D131" s="62" t="str">
        <f t="shared" si="1"/>
        <v>BenzC_class</v>
      </c>
      <c r="E131" s="59" t="s">
        <v>350</v>
      </c>
      <c r="F131" s="60">
        <v>61200000</v>
      </c>
      <c r="G131" s="60">
        <v>1999</v>
      </c>
      <c r="H131" s="58" t="s">
        <v>241</v>
      </c>
      <c r="I131" s="58" t="s">
        <v>242</v>
      </c>
      <c r="J131" s="58" t="s">
        <v>1246</v>
      </c>
      <c r="K131" s="58"/>
      <c r="L131" s="58" t="s">
        <v>343</v>
      </c>
      <c r="M131" s="58"/>
      <c r="N131" s="58" t="s">
        <v>242</v>
      </c>
      <c r="O131" s="58"/>
      <c r="P131" s="63"/>
      <c r="Q131" s="63"/>
    </row>
    <row r="132" spans="2:17" ht="20.25" customHeight="1" x14ac:dyDescent="0.3">
      <c r="B132" s="59" t="s">
        <v>12</v>
      </c>
      <c r="C132" s="59" t="s">
        <v>51</v>
      </c>
      <c r="D132" s="62" t="str">
        <f t="shared" si="1"/>
        <v>BenzC_class</v>
      </c>
      <c r="E132" s="59" t="s">
        <v>351</v>
      </c>
      <c r="F132" s="60">
        <v>55100000</v>
      </c>
      <c r="G132" s="60">
        <v>1991</v>
      </c>
      <c r="H132" s="58" t="s">
        <v>241</v>
      </c>
      <c r="I132" s="58" t="s">
        <v>242</v>
      </c>
      <c r="J132" s="58" t="s">
        <v>1246</v>
      </c>
      <c r="K132" s="58"/>
      <c r="L132" s="58" t="s">
        <v>343</v>
      </c>
      <c r="M132" s="58"/>
      <c r="N132" s="58" t="s">
        <v>242</v>
      </c>
      <c r="O132" s="58"/>
      <c r="P132" s="63"/>
      <c r="Q132" s="63"/>
    </row>
    <row r="133" spans="2:17" ht="20.25" customHeight="1" x14ac:dyDescent="0.3">
      <c r="B133" s="59" t="s">
        <v>12</v>
      </c>
      <c r="C133" s="59" t="s">
        <v>51</v>
      </c>
      <c r="D133" s="62" t="str">
        <f t="shared" si="1"/>
        <v>BenzC_class</v>
      </c>
      <c r="E133" s="59" t="s">
        <v>352</v>
      </c>
      <c r="F133" s="60">
        <v>59200000</v>
      </c>
      <c r="G133" s="60">
        <v>1991</v>
      </c>
      <c r="H133" s="58" t="s">
        <v>241</v>
      </c>
      <c r="I133" s="58" t="s">
        <v>242</v>
      </c>
      <c r="J133" s="58" t="s">
        <v>1246</v>
      </c>
      <c r="K133" s="58"/>
      <c r="L133" s="58" t="s">
        <v>343</v>
      </c>
      <c r="M133" s="58"/>
      <c r="N133" s="58" t="s">
        <v>242</v>
      </c>
      <c r="O133" s="58"/>
      <c r="P133" s="63"/>
      <c r="Q133" s="63"/>
    </row>
    <row r="134" spans="2:17" ht="20.25" customHeight="1" x14ac:dyDescent="0.3">
      <c r="B134" s="59" t="s">
        <v>12</v>
      </c>
      <c r="C134" s="59" t="s">
        <v>51</v>
      </c>
      <c r="D134" s="62" t="str">
        <f t="shared" si="1"/>
        <v>BenzC_class</v>
      </c>
      <c r="E134" s="59" t="s">
        <v>353</v>
      </c>
      <c r="F134" s="60">
        <v>63700000</v>
      </c>
      <c r="G134" s="60">
        <v>1991</v>
      </c>
      <c r="H134" s="58" t="s">
        <v>241</v>
      </c>
      <c r="I134" s="58" t="s">
        <v>242</v>
      </c>
      <c r="J134" s="58" t="s">
        <v>1611</v>
      </c>
      <c r="K134" s="58"/>
      <c r="L134" s="58" t="s">
        <v>279</v>
      </c>
      <c r="M134" s="58"/>
      <c r="N134" s="58" t="s">
        <v>242</v>
      </c>
      <c r="O134" s="58"/>
      <c r="P134" s="63"/>
      <c r="Q134" s="63"/>
    </row>
    <row r="135" spans="2:17" ht="20.25" customHeight="1" x14ac:dyDescent="0.3">
      <c r="B135" s="59" t="s">
        <v>12</v>
      </c>
      <c r="C135" s="59" t="s">
        <v>51</v>
      </c>
      <c r="D135" s="62" t="str">
        <f t="shared" si="1"/>
        <v>BenzC_class</v>
      </c>
      <c r="E135" s="59" t="s">
        <v>354</v>
      </c>
      <c r="F135" s="60">
        <v>68900000</v>
      </c>
      <c r="G135" s="60">
        <v>1991</v>
      </c>
      <c r="H135" s="58" t="s">
        <v>241</v>
      </c>
      <c r="I135" s="58" t="s">
        <v>242</v>
      </c>
      <c r="J135" s="58" t="s">
        <v>1611</v>
      </c>
      <c r="K135" s="58"/>
      <c r="L135" s="58" t="s">
        <v>355</v>
      </c>
      <c r="M135" s="58"/>
      <c r="N135" s="58" t="s">
        <v>242</v>
      </c>
      <c r="O135" s="58"/>
      <c r="P135" s="63"/>
      <c r="Q135" s="63"/>
    </row>
    <row r="136" spans="2:17" ht="20.25" customHeight="1" x14ac:dyDescent="0.3">
      <c r="B136" s="59" t="s">
        <v>12</v>
      </c>
      <c r="C136" s="59" t="s">
        <v>51</v>
      </c>
      <c r="D136" s="62" t="str">
        <f t="shared" si="1"/>
        <v>BenzC_class</v>
      </c>
      <c r="E136" s="59" t="s">
        <v>356</v>
      </c>
      <c r="F136" s="60">
        <v>61500000</v>
      </c>
      <c r="G136" s="60">
        <v>1999</v>
      </c>
      <c r="H136" s="58" t="s">
        <v>241</v>
      </c>
      <c r="I136" s="58" t="s">
        <v>242</v>
      </c>
      <c r="J136" s="58" t="s">
        <v>1246</v>
      </c>
      <c r="K136" s="58"/>
      <c r="L136" s="58" t="s">
        <v>343</v>
      </c>
      <c r="M136" s="58"/>
      <c r="N136" s="58" t="s">
        <v>242</v>
      </c>
      <c r="O136" s="58"/>
      <c r="P136" s="63"/>
      <c r="Q136" s="63"/>
    </row>
    <row r="137" spans="2:17" ht="20.25" customHeight="1" x14ac:dyDescent="0.3">
      <c r="B137" s="59" t="s">
        <v>12</v>
      </c>
      <c r="C137" s="59" t="s">
        <v>51</v>
      </c>
      <c r="D137" s="62" t="str">
        <f t="shared" si="1"/>
        <v>BenzC_class</v>
      </c>
      <c r="E137" s="59" t="s">
        <v>357</v>
      </c>
      <c r="F137" s="60">
        <v>58100000</v>
      </c>
      <c r="G137" s="60">
        <v>1991</v>
      </c>
      <c r="H137" s="58" t="s">
        <v>241</v>
      </c>
      <c r="I137" s="58" t="s">
        <v>242</v>
      </c>
      <c r="J137" s="58" t="s">
        <v>1246</v>
      </c>
      <c r="K137" s="58"/>
      <c r="L137" s="58" t="s">
        <v>343</v>
      </c>
      <c r="M137" s="58"/>
      <c r="N137" s="58" t="s">
        <v>242</v>
      </c>
      <c r="O137" s="58"/>
      <c r="P137" s="63"/>
      <c r="Q137" s="63"/>
    </row>
    <row r="138" spans="2:17" ht="20.25" customHeight="1" x14ac:dyDescent="0.3">
      <c r="B138" s="59" t="s">
        <v>12</v>
      </c>
      <c r="C138" s="59" t="s">
        <v>51</v>
      </c>
      <c r="D138" s="62" t="str">
        <f t="shared" si="1"/>
        <v>BenzC_class</v>
      </c>
      <c r="E138" s="59" t="s">
        <v>358</v>
      </c>
      <c r="F138" s="60">
        <v>58800000</v>
      </c>
      <c r="G138" s="60">
        <v>1991</v>
      </c>
      <c r="H138" s="58" t="s">
        <v>241</v>
      </c>
      <c r="I138" s="58" t="s">
        <v>242</v>
      </c>
      <c r="J138" s="58" t="s">
        <v>1246</v>
      </c>
      <c r="K138" s="58"/>
      <c r="L138" s="58" t="s">
        <v>343</v>
      </c>
      <c r="M138" s="58"/>
      <c r="N138" s="58" t="s">
        <v>242</v>
      </c>
      <c r="O138" s="58"/>
      <c r="P138" s="63"/>
      <c r="Q138" s="63"/>
    </row>
    <row r="139" spans="2:17" ht="20.25" customHeight="1" x14ac:dyDescent="0.3">
      <c r="B139" s="59" t="s">
        <v>12</v>
      </c>
      <c r="C139" s="59" t="s">
        <v>51</v>
      </c>
      <c r="D139" s="62" t="str">
        <f t="shared" si="1"/>
        <v>BenzC_class</v>
      </c>
      <c r="E139" s="59" t="s">
        <v>359</v>
      </c>
      <c r="F139" s="60">
        <v>67100000</v>
      </c>
      <c r="G139" s="60">
        <v>1999</v>
      </c>
      <c r="H139" s="58" t="s">
        <v>241</v>
      </c>
      <c r="I139" s="58" t="s">
        <v>242</v>
      </c>
      <c r="J139" s="58" t="s">
        <v>1246</v>
      </c>
      <c r="K139" s="58"/>
      <c r="L139" s="58" t="s">
        <v>343</v>
      </c>
      <c r="M139" s="58"/>
      <c r="N139" s="58" t="s">
        <v>242</v>
      </c>
      <c r="O139" s="58"/>
      <c r="P139" s="63"/>
      <c r="Q139" s="63"/>
    </row>
    <row r="140" spans="2:17" ht="20.25" customHeight="1" x14ac:dyDescent="0.3">
      <c r="B140" s="59" t="s">
        <v>12</v>
      </c>
      <c r="C140" s="59" t="s">
        <v>51</v>
      </c>
      <c r="D140" s="62" t="str">
        <f t="shared" si="1"/>
        <v>BenzC_class</v>
      </c>
      <c r="E140" s="59" t="s">
        <v>360</v>
      </c>
      <c r="F140" s="60">
        <v>72800000</v>
      </c>
      <c r="G140" s="60">
        <v>1999</v>
      </c>
      <c r="H140" s="58" t="s">
        <v>241</v>
      </c>
      <c r="I140" s="58" t="s">
        <v>242</v>
      </c>
      <c r="J140" s="58" t="s">
        <v>1246</v>
      </c>
      <c r="K140" s="58"/>
      <c r="L140" s="58" t="s">
        <v>343</v>
      </c>
      <c r="M140" s="58"/>
      <c r="N140" s="58" t="s">
        <v>242</v>
      </c>
      <c r="O140" s="58"/>
      <c r="P140" s="63"/>
      <c r="Q140" s="63"/>
    </row>
    <row r="141" spans="2:17" ht="20.25" customHeight="1" x14ac:dyDescent="0.3">
      <c r="B141" s="59" t="s">
        <v>12</v>
      </c>
      <c r="C141" s="59" t="s">
        <v>51</v>
      </c>
      <c r="D141" s="62" t="str">
        <f t="shared" si="1"/>
        <v>BenzC_class</v>
      </c>
      <c r="E141" s="59" t="s">
        <v>361</v>
      </c>
      <c r="F141" s="60">
        <v>54600000</v>
      </c>
      <c r="G141" s="60">
        <v>1950</v>
      </c>
      <c r="H141" s="58" t="s">
        <v>250</v>
      </c>
      <c r="I141" s="58" t="s">
        <v>242</v>
      </c>
      <c r="J141" s="58" t="s">
        <v>1246</v>
      </c>
      <c r="K141" s="58"/>
      <c r="L141" s="58" t="s">
        <v>343</v>
      </c>
      <c r="M141" s="58"/>
      <c r="N141" s="58" t="s">
        <v>242</v>
      </c>
      <c r="O141" s="58"/>
      <c r="P141" s="63"/>
      <c r="Q141" s="63"/>
    </row>
    <row r="142" spans="2:17" ht="20.25" customHeight="1" x14ac:dyDescent="0.3">
      <c r="B142" s="59" t="s">
        <v>12</v>
      </c>
      <c r="C142" s="59" t="s">
        <v>51</v>
      </c>
      <c r="D142" s="62" t="str">
        <f t="shared" si="1"/>
        <v>BenzC_class</v>
      </c>
      <c r="E142" s="59" t="s">
        <v>362</v>
      </c>
      <c r="F142" s="60">
        <v>59300000</v>
      </c>
      <c r="G142" s="60">
        <v>1950</v>
      </c>
      <c r="H142" s="58" t="s">
        <v>250</v>
      </c>
      <c r="I142" s="58" t="s">
        <v>242</v>
      </c>
      <c r="J142" s="58" t="s">
        <v>1611</v>
      </c>
      <c r="K142" s="58"/>
      <c r="L142" s="58" t="s">
        <v>279</v>
      </c>
      <c r="M142" s="58"/>
      <c r="N142" s="58" t="s">
        <v>242</v>
      </c>
      <c r="O142" s="58"/>
      <c r="P142" s="63"/>
      <c r="Q142" s="63"/>
    </row>
    <row r="143" spans="2:17" ht="20.25" customHeight="1" x14ac:dyDescent="0.3">
      <c r="B143" s="59" t="s">
        <v>12</v>
      </c>
      <c r="C143" s="59" t="s">
        <v>51</v>
      </c>
      <c r="D143" s="62" t="str">
        <f t="shared" si="1"/>
        <v>BenzC_class</v>
      </c>
      <c r="E143" s="59" t="s">
        <v>363</v>
      </c>
      <c r="F143" s="60">
        <v>55300000</v>
      </c>
      <c r="G143" s="60">
        <v>1950</v>
      </c>
      <c r="H143" s="58" t="s">
        <v>250</v>
      </c>
      <c r="I143" s="58" t="s">
        <v>242</v>
      </c>
      <c r="J143" s="58" t="s">
        <v>1246</v>
      </c>
      <c r="K143" s="58"/>
      <c r="L143" s="58" t="s">
        <v>343</v>
      </c>
      <c r="M143" s="58"/>
      <c r="N143" s="58" t="s">
        <v>242</v>
      </c>
      <c r="O143" s="58"/>
      <c r="P143" s="63"/>
      <c r="Q143" s="63"/>
    </row>
    <row r="144" spans="2:17" ht="20.25" customHeight="1" x14ac:dyDescent="0.3">
      <c r="B144" s="59" t="s">
        <v>12</v>
      </c>
      <c r="C144" s="59" t="s">
        <v>51</v>
      </c>
      <c r="D144" s="62" t="str">
        <f t="shared" si="1"/>
        <v>BenzC_class</v>
      </c>
      <c r="E144" s="59" t="s">
        <v>364</v>
      </c>
      <c r="F144" s="60">
        <v>63100000</v>
      </c>
      <c r="G144" s="60">
        <v>1950</v>
      </c>
      <c r="H144" s="58" t="s">
        <v>250</v>
      </c>
      <c r="I144" s="58" t="s">
        <v>242</v>
      </c>
      <c r="J144" s="58" t="s">
        <v>1246</v>
      </c>
      <c r="K144" s="58"/>
      <c r="L144" s="58" t="s">
        <v>343</v>
      </c>
      <c r="M144" s="58"/>
      <c r="N144" s="58" t="s">
        <v>242</v>
      </c>
      <c r="O144" s="58"/>
      <c r="P144" s="63"/>
      <c r="Q144" s="63"/>
    </row>
    <row r="145" spans="2:17" ht="20.25" customHeight="1" x14ac:dyDescent="0.3">
      <c r="B145" s="59" t="s">
        <v>12</v>
      </c>
      <c r="C145" s="59" t="s">
        <v>51</v>
      </c>
      <c r="D145" s="62" t="str">
        <f t="shared" si="1"/>
        <v>BenzC_class</v>
      </c>
      <c r="E145" s="59" t="s">
        <v>365</v>
      </c>
      <c r="F145" s="60">
        <v>60000000</v>
      </c>
      <c r="G145" s="60">
        <v>1950</v>
      </c>
      <c r="H145" s="58" t="s">
        <v>250</v>
      </c>
      <c r="I145" s="58" t="s">
        <v>242</v>
      </c>
      <c r="J145" s="58" t="s">
        <v>1246</v>
      </c>
      <c r="K145" s="58"/>
      <c r="L145" s="58" t="s">
        <v>343</v>
      </c>
      <c r="M145" s="58"/>
      <c r="N145" s="58" t="s">
        <v>242</v>
      </c>
      <c r="O145" s="58"/>
      <c r="P145" s="63"/>
      <c r="Q145" s="63"/>
    </row>
    <row r="146" spans="2:17" ht="20.25" customHeight="1" x14ac:dyDescent="0.3">
      <c r="B146" s="59" t="s">
        <v>12</v>
      </c>
      <c r="C146" s="59" t="s">
        <v>51</v>
      </c>
      <c r="D146" s="62" t="str">
        <f t="shared" si="1"/>
        <v>BenzC_class</v>
      </c>
      <c r="E146" s="59" t="s">
        <v>366</v>
      </c>
      <c r="F146" s="60">
        <v>60000000</v>
      </c>
      <c r="G146" s="60">
        <v>1950</v>
      </c>
      <c r="H146" s="58" t="s">
        <v>250</v>
      </c>
      <c r="I146" s="58" t="s">
        <v>242</v>
      </c>
      <c r="J146" s="58" t="s">
        <v>1246</v>
      </c>
      <c r="K146" s="58"/>
      <c r="L146" s="58" t="s">
        <v>343</v>
      </c>
      <c r="M146" s="58"/>
      <c r="N146" s="58" t="s">
        <v>242</v>
      </c>
      <c r="O146" s="58"/>
      <c r="P146" s="63"/>
      <c r="Q146" s="63"/>
    </row>
    <row r="147" spans="2:17" ht="20.25" customHeight="1" x14ac:dyDescent="0.3">
      <c r="B147" s="59" t="s">
        <v>12</v>
      </c>
      <c r="C147" s="59" t="s">
        <v>51</v>
      </c>
      <c r="D147" s="62" t="str">
        <f t="shared" si="1"/>
        <v>BenzC_class</v>
      </c>
      <c r="E147" s="59" t="s">
        <v>367</v>
      </c>
      <c r="F147" s="60">
        <v>64100000</v>
      </c>
      <c r="G147" s="60">
        <v>1950</v>
      </c>
      <c r="H147" s="58" t="s">
        <v>250</v>
      </c>
      <c r="I147" s="58" t="s">
        <v>242</v>
      </c>
      <c r="J147" s="58" t="s">
        <v>1611</v>
      </c>
      <c r="K147" s="58"/>
      <c r="L147" s="58" t="s">
        <v>279</v>
      </c>
      <c r="M147" s="58"/>
      <c r="N147" s="58" t="s">
        <v>242</v>
      </c>
      <c r="O147" s="58"/>
      <c r="P147" s="63"/>
      <c r="Q147" s="63"/>
    </row>
    <row r="148" spans="2:17" ht="20.25" customHeight="1" x14ac:dyDescent="0.3">
      <c r="B148" s="59" t="s">
        <v>12</v>
      </c>
      <c r="C148" s="59" t="s">
        <v>51</v>
      </c>
      <c r="D148" s="62" t="str">
        <f t="shared" si="1"/>
        <v>BenzC_class</v>
      </c>
      <c r="E148" s="59" t="s">
        <v>368</v>
      </c>
      <c r="F148" s="60">
        <v>86600000</v>
      </c>
      <c r="G148" s="60">
        <v>2996</v>
      </c>
      <c r="H148" s="58" t="s">
        <v>241</v>
      </c>
      <c r="I148" s="58" t="s">
        <v>242</v>
      </c>
      <c r="J148" s="58" t="s">
        <v>1612</v>
      </c>
      <c r="K148" s="58" t="s">
        <v>86</v>
      </c>
      <c r="L148" s="58"/>
      <c r="M148" s="58"/>
      <c r="N148" s="58" t="s">
        <v>242</v>
      </c>
      <c r="O148" s="58"/>
      <c r="P148" s="63"/>
      <c r="Q148" s="63"/>
    </row>
    <row r="149" spans="2:17" ht="20.25" customHeight="1" x14ac:dyDescent="0.3">
      <c r="B149" s="59" t="s">
        <v>12</v>
      </c>
      <c r="C149" s="59" t="s">
        <v>51</v>
      </c>
      <c r="D149" s="62" t="str">
        <f t="shared" si="1"/>
        <v>BenzC_class</v>
      </c>
      <c r="E149" s="59" t="s">
        <v>369</v>
      </c>
      <c r="F149" s="60">
        <v>95200000</v>
      </c>
      <c r="G149" s="60">
        <v>2996</v>
      </c>
      <c r="H149" s="58" t="s">
        <v>241</v>
      </c>
      <c r="I149" s="58" t="s">
        <v>242</v>
      </c>
      <c r="J149" s="58" t="s">
        <v>1612</v>
      </c>
      <c r="K149" s="58" t="s">
        <v>86</v>
      </c>
      <c r="L149" s="58"/>
      <c r="M149" s="58"/>
      <c r="N149" s="58" t="s">
        <v>242</v>
      </c>
      <c r="O149" s="58"/>
      <c r="P149" s="63"/>
      <c r="Q149" s="63"/>
    </row>
    <row r="150" spans="2:17" ht="20.25" customHeight="1" x14ac:dyDescent="0.3">
      <c r="B150" s="59" t="s">
        <v>12</v>
      </c>
      <c r="C150" s="59" t="s">
        <v>51</v>
      </c>
      <c r="D150" s="62" t="str">
        <f t="shared" si="1"/>
        <v>BenzC_class</v>
      </c>
      <c r="E150" s="59" t="s">
        <v>370</v>
      </c>
      <c r="F150" s="60">
        <v>92500000</v>
      </c>
      <c r="G150" s="60">
        <v>2996</v>
      </c>
      <c r="H150" s="58" t="s">
        <v>241</v>
      </c>
      <c r="I150" s="58" t="s">
        <v>242</v>
      </c>
      <c r="J150" s="58" t="s">
        <v>1612</v>
      </c>
      <c r="K150" s="58" t="s">
        <v>86</v>
      </c>
      <c r="L150" s="58"/>
      <c r="M150" s="58"/>
      <c r="N150" s="58" t="s">
        <v>242</v>
      </c>
      <c r="O150" s="58"/>
      <c r="P150" s="63"/>
      <c r="Q150" s="63"/>
    </row>
    <row r="151" spans="2:17" ht="20.25" customHeight="1" x14ac:dyDescent="0.3">
      <c r="B151" s="59" t="s">
        <v>12</v>
      </c>
      <c r="C151" s="59" t="s">
        <v>51</v>
      </c>
      <c r="D151" s="62" t="str">
        <f t="shared" si="1"/>
        <v>BenzC_class</v>
      </c>
      <c r="E151" s="59" t="s">
        <v>371</v>
      </c>
      <c r="F151" s="60">
        <v>116500000</v>
      </c>
      <c r="G151" s="60">
        <v>3982</v>
      </c>
      <c r="H151" s="58" t="s">
        <v>241</v>
      </c>
      <c r="I151" s="58" t="s">
        <v>242</v>
      </c>
      <c r="J151" s="58" t="s">
        <v>1612</v>
      </c>
      <c r="K151" s="58" t="s">
        <v>86</v>
      </c>
      <c r="L151" s="58"/>
      <c r="M151" s="58"/>
      <c r="N151" s="58" t="s">
        <v>242</v>
      </c>
      <c r="O151" s="58"/>
      <c r="P151" s="63"/>
      <c r="Q151" s="63"/>
    </row>
    <row r="152" spans="2:17" ht="20.25" customHeight="1" x14ac:dyDescent="0.3">
      <c r="B152" s="59" t="s">
        <v>12</v>
      </c>
      <c r="C152" s="59" t="s">
        <v>51</v>
      </c>
      <c r="D152" s="62" t="str">
        <f t="shared" si="1"/>
        <v>BenzC_class</v>
      </c>
      <c r="E152" s="59" t="s">
        <v>372</v>
      </c>
      <c r="F152" s="60">
        <v>128000000</v>
      </c>
      <c r="G152" s="60">
        <v>3982</v>
      </c>
      <c r="H152" s="58" t="s">
        <v>241</v>
      </c>
      <c r="I152" s="58" t="s">
        <v>242</v>
      </c>
      <c r="J152" s="58" t="s">
        <v>1612</v>
      </c>
      <c r="K152" s="58" t="s">
        <v>86</v>
      </c>
      <c r="L152" s="58"/>
      <c r="M152" s="58"/>
      <c r="N152" s="58" t="s">
        <v>242</v>
      </c>
      <c r="O152" s="58"/>
      <c r="P152" s="63"/>
      <c r="Q152" s="63"/>
    </row>
    <row r="153" spans="2:17" ht="20.25" customHeight="1" x14ac:dyDescent="0.3">
      <c r="B153" s="59" t="s">
        <v>12</v>
      </c>
      <c r="C153" s="59" t="s">
        <v>51</v>
      </c>
      <c r="D153" s="62" t="str">
        <f t="shared" si="1"/>
        <v>BenzC_class</v>
      </c>
      <c r="E153" s="59" t="s">
        <v>373</v>
      </c>
      <c r="F153" s="60">
        <v>120500000</v>
      </c>
      <c r="G153" s="60">
        <v>3982</v>
      </c>
      <c r="H153" s="58" t="s">
        <v>241</v>
      </c>
      <c r="I153" s="58" t="s">
        <v>242</v>
      </c>
      <c r="J153" s="58" t="s">
        <v>1612</v>
      </c>
      <c r="K153" s="58" t="s">
        <v>86</v>
      </c>
      <c r="L153" s="58"/>
      <c r="M153" s="58"/>
      <c r="N153" s="58" t="s">
        <v>242</v>
      </c>
      <c r="O153" s="58"/>
      <c r="P153" s="63"/>
      <c r="Q153" s="63"/>
    </row>
    <row r="154" spans="2:17" ht="20.25" customHeight="1" x14ac:dyDescent="0.3">
      <c r="B154" s="59" t="s">
        <v>12</v>
      </c>
      <c r="C154" s="59" t="s">
        <v>51</v>
      </c>
      <c r="D154" s="62" t="str">
        <f t="shared" si="1"/>
        <v>BenzC_class</v>
      </c>
      <c r="E154" s="59" t="s">
        <v>374</v>
      </c>
      <c r="F154" s="60">
        <v>141600000</v>
      </c>
      <c r="G154" s="60">
        <v>3982</v>
      </c>
      <c r="H154" s="58" t="s">
        <v>241</v>
      </c>
      <c r="I154" s="58" t="s">
        <v>242</v>
      </c>
      <c r="J154" s="58" t="s">
        <v>1612</v>
      </c>
      <c r="K154" s="58" t="s">
        <v>86</v>
      </c>
      <c r="L154" s="58"/>
      <c r="M154" s="58"/>
      <c r="N154" s="58" t="s">
        <v>242</v>
      </c>
      <c r="O154" s="58"/>
      <c r="P154" s="63"/>
      <c r="Q154" s="63"/>
    </row>
    <row r="155" spans="2:17" ht="20.25" customHeight="1" x14ac:dyDescent="0.3">
      <c r="B155" s="59" t="s">
        <v>12</v>
      </c>
      <c r="C155" s="59" t="s">
        <v>51</v>
      </c>
      <c r="D155" s="62" t="str">
        <f t="shared" si="1"/>
        <v>BenzC_class</v>
      </c>
      <c r="E155" s="59" t="s">
        <v>375</v>
      </c>
      <c r="F155" s="60">
        <v>126400000</v>
      </c>
      <c r="G155" s="60">
        <v>3982</v>
      </c>
      <c r="H155" s="58" t="s">
        <v>241</v>
      </c>
      <c r="I155" s="58" t="s">
        <v>242</v>
      </c>
      <c r="J155" s="58" t="s">
        <v>1612</v>
      </c>
      <c r="K155" s="58" t="s">
        <v>86</v>
      </c>
      <c r="L155" s="58"/>
      <c r="M155" s="58"/>
      <c r="N155" s="58" t="s">
        <v>242</v>
      </c>
      <c r="O155" s="58"/>
      <c r="P155" s="63"/>
      <c r="Q155" s="63"/>
    </row>
    <row r="156" spans="2:17" ht="20.25" customHeight="1" x14ac:dyDescent="0.3">
      <c r="B156" s="59" t="s">
        <v>12</v>
      </c>
      <c r="C156" s="59" t="s">
        <v>51</v>
      </c>
      <c r="D156" s="62" t="str">
        <f t="shared" si="1"/>
        <v>BenzC_class</v>
      </c>
      <c r="E156" s="59" t="s">
        <v>376</v>
      </c>
      <c r="F156" s="60">
        <v>69000000</v>
      </c>
      <c r="G156" s="60">
        <v>1991</v>
      </c>
      <c r="H156" s="58" t="s">
        <v>241</v>
      </c>
      <c r="I156" s="58" t="s">
        <v>242</v>
      </c>
      <c r="J156" s="58" t="s">
        <v>1611</v>
      </c>
      <c r="K156" s="58"/>
      <c r="L156" s="58" t="s">
        <v>343</v>
      </c>
      <c r="M156" s="58"/>
      <c r="N156" s="58" t="s">
        <v>242</v>
      </c>
      <c r="O156" s="58"/>
      <c r="P156" s="63"/>
      <c r="Q156" s="63"/>
    </row>
    <row r="157" spans="2:17" ht="20.25" customHeight="1" x14ac:dyDescent="0.3">
      <c r="B157" s="59" t="s">
        <v>12</v>
      </c>
      <c r="C157" s="59" t="s">
        <v>51</v>
      </c>
      <c r="D157" s="62" t="str">
        <f t="shared" si="1"/>
        <v>BenzC_class</v>
      </c>
      <c r="E157" s="59" t="s">
        <v>377</v>
      </c>
      <c r="F157" s="60">
        <v>64900000</v>
      </c>
      <c r="G157" s="60">
        <v>1991</v>
      </c>
      <c r="H157" s="58" t="s">
        <v>241</v>
      </c>
      <c r="I157" s="58" t="s">
        <v>242</v>
      </c>
      <c r="J157" s="58" t="s">
        <v>1611</v>
      </c>
      <c r="K157" s="58"/>
      <c r="L157" s="58" t="s">
        <v>343</v>
      </c>
      <c r="M157" s="58"/>
      <c r="N157" s="58" t="s">
        <v>242</v>
      </c>
      <c r="O157" s="58"/>
      <c r="P157" s="63"/>
      <c r="Q157" s="63"/>
    </row>
    <row r="158" spans="2:17" ht="20.25" customHeight="1" x14ac:dyDescent="0.3">
      <c r="B158" s="59" t="s">
        <v>12</v>
      </c>
      <c r="C158" s="59" t="s">
        <v>54</v>
      </c>
      <c r="D158" s="62" t="str">
        <f t="shared" ref="D158:D224" si="4">+B158&amp;C158</f>
        <v>BenzCLA</v>
      </c>
      <c r="E158" s="59" t="s">
        <v>378</v>
      </c>
      <c r="F158" s="60">
        <v>45300000</v>
      </c>
      <c r="G158" s="60">
        <v>1991</v>
      </c>
      <c r="H158" s="58" t="s">
        <v>241</v>
      </c>
      <c r="I158" s="58" t="s">
        <v>242</v>
      </c>
      <c r="J158" s="58" t="s">
        <v>1246</v>
      </c>
      <c r="K158" s="58"/>
      <c r="L158" s="58" t="s">
        <v>379</v>
      </c>
      <c r="M158" s="58"/>
      <c r="N158" s="58" t="s">
        <v>242</v>
      </c>
      <c r="O158" s="58"/>
      <c r="P158" s="63"/>
      <c r="Q158" s="63"/>
    </row>
    <row r="159" spans="2:17" ht="20.25" customHeight="1" x14ac:dyDescent="0.3">
      <c r="B159" s="59" t="s">
        <v>12</v>
      </c>
      <c r="C159" s="59" t="s">
        <v>54</v>
      </c>
      <c r="D159" s="62" t="str">
        <f t="shared" si="4"/>
        <v>BenzCLA</v>
      </c>
      <c r="E159" s="59" t="s">
        <v>380</v>
      </c>
      <c r="F159" s="60">
        <v>59900000</v>
      </c>
      <c r="G159" s="60">
        <v>1991</v>
      </c>
      <c r="H159" s="58" t="s">
        <v>241</v>
      </c>
      <c r="I159" s="58" t="s">
        <v>242</v>
      </c>
      <c r="J159" s="58" t="s">
        <v>1246</v>
      </c>
      <c r="K159" s="58"/>
      <c r="L159" s="58" t="s">
        <v>379</v>
      </c>
      <c r="M159" s="58"/>
      <c r="N159" s="58" t="s">
        <v>242</v>
      </c>
      <c r="O159" s="58"/>
      <c r="P159" s="63"/>
      <c r="Q159" s="63"/>
    </row>
    <row r="160" spans="2:17" ht="20.25" customHeight="1" x14ac:dyDescent="0.3">
      <c r="B160" s="59" t="s">
        <v>12</v>
      </c>
      <c r="C160" s="59" t="s">
        <v>54</v>
      </c>
      <c r="D160" s="62" t="str">
        <f t="shared" si="4"/>
        <v>BenzCLA</v>
      </c>
      <c r="E160" s="59" t="s">
        <v>381</v>
      </c>
      <c r="F160" s="60">
        <v>52200000</v>
      </c>
      <c r="G160" s="60">
        <v>1991</v>
      </c>
      <c r="H160" s="58" t="s">
        <v>241</v>
      </c>
      <c r="I160" s="58" t="s">
        <v>242</v>
      </c>
      <c r="J160" s="58" t="s">
        <v>1246</v>
      </c>
      <c r="K160" s="58"/>
      <c r="L160" s="58" t="s">
        <v>379</v>
      </c>
      <c r="M160" s="58"/>
      <c r="N160" s="58" t="s">
        <v>242</v>
      </c>
      <c r="O160" s="58"/>
      <c r="P160" s="63"/>
      <c r="Q160" s="63"/>
    </row>
    <row r="161" spans="2:17" ht="20.25" customHeight="1" x14ac:dyDescent="0.3">
      <c r="B161" s="59" t="s">
        <v>12</v>
      </c>
      <c r="C161" s="59" t="s">
        <v>54</v>
      </c>
      <c r="D161" s="62" t="str">
        <f t="shared" si="4"/>
        <v>BenzCLA</v>
      </c>
      <c r="E161" s="59" t="s">
        <v>382</v>
      </c>
      <c r="F161" s="60">
        <v>87700000</v>
      </c>
      <c r="G161" s="60">
        <v>1991</v>
      </c>
      <c r="H161" s="58" t="s">
        <v>241</v>
      </c>
      <c r="I161" s="58" t="s">
        <v>242</v>
      </c>
      <c r="J161" s="58" t="s">
        <v>1613</v>
      </c>
      <c r="K161" s="58" t="s">
        <v>86</v>
      </c>
      <c r="L161" s="58" t="s">
        <v>246</v>
      </c>
      <c r="M161" s="58"/>
      <c r="N161" s="58" t="s">
        <v>242</v>
      </c>
      <c r="O161" s="58"/>
      <c r="P161" s="63"/>
      <c r="Q161" s="63"/>
    </row>
    <row r="162" spans="2:17" ht="20.25" customHeight="1" x14ac:dyDescent="0.3">
      <c r="B162" s="59" t="s">
        <v>12</v>
      </c>
      <c r="C162" s="59" t="s">
        <v>55</v>
      </c>
      <c r="D162" s="62" t="str">
        <f t="shared" si="4"/>
        <v>BenzCLE</v>
      </c>
      <c r="E162" s="59" t="s">
        <v>383</v>
      </c>
      <c r="F162" s="60">
        <v>72700000</v>
      </c>
      <c r="G162" s="60">
        <v>1999</v>
      </c>
      <c r="H162" s="58" t="s">
        <v>241</v>
      </c>
      <c r="I162" s="58" t="s">
        <v>242</v>
      </c>
      <c r="J162" s="58"/>
      <c r="K162" s="58"/>
      <c r="L162" s="58" t="s">
        <v>355</v>
      </c>
      <c r="M162" s="58"/>
      <c r="N162" s="58" t="s">
        <v>242</v>
      </c>
      <c r="O162" s="58"/>
      <c r="P162" s="63"/>
      <c r="Q162" s="63"/>
    </row>
    <row r="163" spans="2:17" ht="20.25" customHeight="1" x14ac:dyDescent="0.3">
      <c r="B163" s="59" t="s">
        <v>12</v>
      </c>
      <c r="C163" s="59" t="s">
        <v>55</v>
      </c>
      <c r="D163" s="62" t="str">
        <f t="shared" si="4"/>
        <v>BenzCLE</v>
      </c>
      <c r="E163" s="59" t="s">
        <v>384</v>
      </c>
      <c r="F163" s="60">
        <v>96000000</v>
      </c>
      <c r="G163" s="60">
        <v>2999</v>
      </c>
      <c r="H163" s="58" t="s">
        <v>241</v>
      </c>
      <c r="I163" s="58" t="s">
        <v>242</v>
      </c>
      <c r="J163" s="58"/>
      <c r="K163" s="58"/>
      <c r="L163" s="58" t="s">
        <v>355</v>
      </c>
      <c r="M163" s="58"/>
      <c r="N163" s="58" t="s">
        <v>242</v>
      </c>
      <c r="O163" s="58"/>
      <c r="P163" s="63"/>
      <c r="Q163" s="63"/>
    </row>
    <row r="164" spans="2:17" ht="20.25" customHeight="1" x14ac:dyDescent="0.3">
      <c r="B164" s="59" t="s">
        <v>12</v>
      </c>
      <c r="C164" s="59" t="s">
        <v>55</v>
      </c>
      <c r="D164" s="62" t="str">
        <f t="shared" si="4"/>
        <v>BenzCLE</v>
      </c>
      <c r="E164" s="59" t="s">
        <v>385</v>
      </c>
      <c r="F164" s="60">
        <v>78800000</v>
      </c>
      <c r="G164" s="60">
        <v>1999</v>
      </c>
      <c r="H164" s="58" t="s">
        <v>241</v>
      </c>
      <c r="I164" s="58" t="s">
        <v>242</v>
      </c>
      <c r="J164" s="58"/>
      <c r="K164" s="58"/>
      <c r="L164" s="58" t="s">
        <v>355</v>
      </c>
      <c r="M164" s="58"/>
      <c r="N164" s="58" t="s">
        <v>242</v>
      </c>
      <c r="O164" s="58"/>
      <c r="P164" s="63"/>
      <c r="Q164" s="63"/>
    </row>
    <row r="165" spans="2:17" ht="20.25" customHeight="1" x14ac:dyDescent="0.3">
      <c r="B165" s="59" t="s">
        <v>12</v>
      </c>
      <c r="C165" s="59" t="s">
        <v>55</v>
      </c>
      <c r="D165" s="62" t="str">
        <f t="shared" si="4"/>
        <v>BenzCLE</v>
      </c>
      <c r="E165" s="59" t="s">
        <v>386</v>
      </c>
      <c r="F165" s="60">
        <v>100800000</v>
      </c>
      <c r="G165" s="60">
        <v>2999</v>
      </c>
      <c r="H165" s="58" t="s">
        <v>241</v>
      </c>
      <c r="I165" s="58" t="s">
        <v>242</v>
      </c>
      <c r="J165" s="58"/>
      <c r="K165" s="58"/>
      <c r="L165" s="58" t="s">
        <v>355</v>
      </c>
      <c r="M165" s="58"/>
      <c r="N165" s="58" t="s">
        <v>242</v>
      </c>
      <c r="O165" s="58"/>
      <c r="P165" s="63"/>
      <c r="Q165" s="63"/>
    </row>
    <row r="166" spans="2:17" ht="20.25" customHeight="1" x14ac:dyDescent="0.3">
      <c r="B166" s="59" t="s">
        <v>12</v>
      </c>
      <c r="C166" s="59" t="s">
        <v>55</v>
      </c>
      <c r="D166" s="62" t="str">
        <f t="shared" si="4"/>
        <v>BenzCLE</v>
      </c>
      <c r="E166" s="59" t="s">
        <v>1653</v>
      </c>
      <c r="F166" s="60">
        <v>0</v>
      </c>
      <c r="G166" s="60">
        <v>2999</v>
      </c>
      <c r="H166" s="58" t="s">
        <v>241</v>
      </c>
      <c r="I166" s="58" t="s">
        <v>242</v>
      </c>
      <c r="J166" s="58"/>
      <c r="K166" s="58" t="s">
        <v>1621</v>
      </c>
      <c r="L166" s="58" t="s">
        <v>1608</v>
      </c>
      <c r="M166" s="58"/>
      <c r="N166" s="58" t="s">
        <v>242</v>
      </c>
      <c r="O166" s="58"/>
      <c r="P166" s="63"/>
      <c r="Q166" s="63"/>
    </row>
    <row r="167" spans="2:17" ht="20.25" customHeight="1" x14ac:dyDescent="0.3">
      <c r="B167" s="59" t="s">
        <v>12</v>
      </c>
      <c r="C167" s="59" t="s">
        <v>55</v>
      </c>
      <c r="D167" s="62" t="str">
        <f t="shared" si="4"/>
        <v>BenzCLE</v>
      </c>
      <c r="E167" s="59" t="s">
        <v>1654</v>
      </c>
      <c r="F167" s="60">
        <v>0</v>
      </c>
      <c r="G167" s="60">
        <v>2999</v>
      </c>
      <c r="H167" s="58" t="s">
        <v>241</v>
      </c>
      <c r="I167" s="58" t="s">
        <v>242</v>
      </c>
      <c r="J167" s="58"/>
      <c r="K167" s="58" t="s">
        <v>1621</v>
      </c>
      <c r="L167" s="58" t="s">
        <v>1608</v>
      </c>
      <c r="M167" s="58"/>
      <c r="N167" s="58" t="s">
        <v>242</v>
      </c>
      <c r="O167" s="58"/>
      <c r="P167" s="63"/>
      <c r="Q167" s="63"/>
    </row>
    <row r="168" spans="2:17" ht="20.25" customHeight="1" x14ac:dyDescent="0.3">
      <c r="B168" s="59" t="s">
        <v>12</v>
      </c>
      <c r="C168" s="59" t="s">
        <v>56</v>
      </c>
      <c r="D168" s="62" t="str">
        <f t="shared" si="4"/>
        <v>BenzCLS</v>
      </c>
      <c r="E168" s="59" t="s">
        <v>387</v>
      </c>
      <c r="F168" s="60">
        <v>101600000</v>
      </c>
      <c r="G168" s="60">
        <v>2925</v>
      </c>
      <c r="H168" s="58" t="s">
        <v>250</v>
      </c>
      <c r="I168" s="58" t="s">
        <v>242</v>
      </c>
      <c r="J168" s="58" t="s">
        <v>1610</v>
      </c>
      <c r="K168" s="58"/>
      <c r="L168" s="58" t="s">
        <v>355</v>
      </c>
      <c r="M168" s="58"/>
      <c r="N168" s="58" t="s">
        <v>242</v>
      </c>
      <c r="O168" s="58"/>
      <c r="P168" s="63"/>
      <c r="Q168" s="63"/>
    </row>
    <row r="169" spans="2:17" ht="20.25" customHeight="1" x14ac:dyDescent="0.3">
      <c r="B169" s="59" t="s">
        <v>12</v>
      </c>
      <c r="C169" s="59" t="s">
        <v>56</v>
      </c>
      <c r="D169" s="62" t="str">
        <f t="shared" si="4"/>
        <v>BenzCLS</v>
      </c>
      <c r="E169" s="59" t="s">
        <v>388</v>
      </c>
      <c r="F169" s="60">
        <v>107500000</v>
      </c>
      <c r="G169" s="60">
        <v>2925</v>
      </c>
      <c r="H169" s="58" t="s">
        <v>250</v>
      </c>
      <c r="I169" s="58" t="s">
        <v>242</v>
      </c>
      <c r="J169" s="58" t="s">
        <v>1610</v>
      </c>
      <c r="K169" s="58"/>
      <c r="L169" s="58" t="s">
        <v>355</v>
      </c>
      <c r="M169" s="58"/>
      <c r="N169" s="58" t="s">
        <v>242</v>
      </c>
      <c r="O169" s="58"/>
      <c r="P169" s="63"/>
      <c r="Q169" s="63"/>
    </row>
    <row r="170" spans="2:17" ht="20.25" customHeight="1" x14ac:dyDescent="0.3">
      <c r="B170" s="59" t="s">
        <v>12</v>
      </c>
      <c r="C170" s="59" t="s">
        <v>56</v>
      </c>
      <c r="D170" s="62" t="str">
        <f t="shared" si="4"/>
        <v>BenzCLS</v>
      </c>
      <c r="E170" s="59" t="s">
        <v>389</v>
      </c>
      <c r="F170" s="60">
        <v>93700000</v>
      </c>
      <c r="G170" s="60">
        <v>1993</v>
      </c>
      <c r="H170" s="58" t="s">
        <v>250</v>
      </c>
      <c r="I170" s="58" t="s">
        <v>242</v>
      </c>
      <c r="J170" s="58" t="s">
        <v>1246</v>
      </c>
      <c r="K170" s="58"/>
      <c r="L170" s="58" t="s">
        <v>355</v>
      </c>
      <c r="M170" s="58"/>
      <c r="N170" s="58" t="s">
        <v>242</v>
      </c>
      <c r="O170" s="58"/>
      <c r="P170" s="63"/>
      <c r="Q170" s="63"/>
    </row>
    <row r="171" spans="2:17" ht="20.25" customHeight="1" x14ac:dyDescent="0.3">
      <c r="B171" s="59" t="s">
        <v>12</v>
      </c>
      <c r="C171" s="59" t="s">
        <v>56</v>
      </c>
      <c r="D171" s="62" t="str">
        <f t="shared" si="4"/>
        <v>BenzCLS</v>
      </c>
      <c r="E171" s="59" t="s">
        <v>390</v>
      </c>
      <c r="F171" s="60">
        <v>114100000</v>
      </c>
      <c r="G171" s="60">
        <v>2999</v>
      </c>
      <c r="H171" s="58" t="s">
        <v>241</v>
      </c>
      <c r="I171" s="58" t="s">
        <v>242</v>
      </c>
      <c r="J171" s="58" t="s">
        <v>1610</v>
      </c>
      <c r="K171" s="58"/>
      <c r="L171" s="58" t="s">
        <v>355</v>
      </c>
      <c r="M171" s="58"/>
      <c r="N171" s="58" t="s">
        <v>242</v>
      </c>
      <c r="O171" s="58"/>
      <c r="P171" s="63"/>
      <c r="Q171" s="63"/>
    </row>
    <row r="172" spans="2:17" ht="20.25" customHeight="1" x14ac:dyDescent="0.3">
      <c r="B172" s="59" t="s">
        <v>12</v>
      </c>
      <c r="C172" s="59" t="s">
        <v>56</v>
      </c>
      <c r="D172" s="62" t="str">
        <f t="shared" si="4"/>
        <v>BenzCLS</v>
      </c>
      <c r="E172" s="59" t="s">
        <v>391</v>
      </c>
      <c r="F172" s="60">
        <v>122600000</v>
      </c>
      <c r="G172" s="60">
        <v>2999</v>
      </c>
      <c r="H172" s="58" t="s">
        <v>241</v>
      </c>
      <c r="I172" s="58" t="s">
        <v>242</v>
      </c>
      <c r="J172" s="58" t="s">
        <v>1610</v>
      </c>
      <c r="K172" s="58"/>
      <c r="L172" s="58" t="s">
        <v>355</v>
      </c>
      <c r="M172" s="58"/>
      <c r="N172" s="58" t="s">
        <v>242</v>
      </c>
      <c r="O172" s="58"/>
      <c r="P172" s="63"/>
      <c r="Q172" s="63"/>
    </row>
    <row r="173" spans="2:17" ht="20.25" customHeight="1" x14ac:dyDescent="0.3">
      <c r="B173" s="59" t="s">
        <v>12</v>
      </c>
      <c r="C173" s="59" t="s">
        <v>56</v>
      </c>
      <c r="D173" s="62" t="str">
        <f t="shared" si="4"/>
        <v>BenzCLS</v>
      </c>
      <c r="E173" s="59" t="s">
        <v>392</v>
      </c>
      <c r="F173" s="60">
        <v>131100000</v>
      </c>
      <c r="G173" s="60">
        <v>2999</v>
      </c>
      <c r="H173" s="58" t="s">
        <v>241</v>
      </c>
      <c r="I173" s="58" t="s">
        <v>242</v>
      </c>
      <c r="J173" s="58" t="s">
        <v>1612</v>
      </c>
      <c r="K173" s="58" t="s">
        <v>86</v>
      </c>
      <c r="L173" s="58" t="s">
        <v>86</v>
      </c>
      <c r="M173" s="58"/>
      <c r="N173" s="58" t="s">
        <v>242</v>
      </c>
      <c r="O173" s="58"/>
      <c r="P173" s="63"/>
      <c r="Q173" s="63"/>
    </row>
    <row r="174" spans="2:17" ht="20.25" customHeight="1" x14ac:dyDescent="0.3">
      <c r="B174" s="59" t="s">
        <v>12</v>
      </c>
      <c r="C174" s="59" t="s">
        <v>56</v>
      </c>
      <c r="D174" s="62" t="str">
        <f t="shared" si="4"/>
        <v>BenzCLS</v>
      </c>
      <c r="E174" s="59" t="s">
        <v>393</v>
      </c>
      <c r="F174" s="60">
        <v>133100000</v>
      </c>
      <c r="G174" s="60">
        <v>2999</v>
      </c>
      <c r="H174" s="58" t="s">
        <v>241</v>
      </c>
      <c r="I174" s="58" t="s">
        <v>242</v>
      </c>
      <c r="J174" s="58" t="s">
        <v>1612</v>
      </c>
      <c r="K174" s="58" t="s">
        <v>86</v>
      </c>
      <c r="L174" s="58" t="s">
        <v>86</v>
      </c>
      <c r="M174" s="58"/>
      <c r="N174" s="58" t="s">
        <v>242</v>
      </c>
      <c r="O174" s="58"/>
      <c r="P174" s="63"/>
      <c r="Q174" s="63"/>
    </row>
    <row r="175" spans="2:17" ht="20.25" customHeight="1" x14ac:dyDescent="0.3">
      <c r="B175" s="59" t="s">
        <v>12</v>
      </c>
      <c r="C175" s="59" t="s">
        <v>52</v>
      </c>
      <c r="D175" s="62" t="str">
        <f t="shared" si="4"/>
        <v>BenzE_class</v>
      </c>
      <c r="E175" s="59" t="s">
        <v>394</v>
      </c>
      <c r="F175" s="60">
        <v>73900000</v>
      </c>
      <c r="G175" s="60">
        <v>1999</v>
      </c>
      <c r="H175" s="58" t="s">
        <v>241</v>
      </c>
      <c r="I175" s="58" t="s">
        <v>242</v>
      </c>
      <c r="J175" s="58" t="s">
        <v>1246</v>
      </c>
      <c r="K175" s="58"/>
      <c r="L175" s="58" t="s">
        <v>395</v>
      </c>
      <c r="M175" s="58"/>
      <c r="N175" s="58" t="s">
        <v>242</v>
      </c>
      <c r="O175" s="58"/>
      <c r="P175" s="63"/>
      <c r="Q175" s="63"/>
    </row>
    <row r="176" spans="2:17" ht="20.25" customHeight="1" x14ac:dyDescent="0.3">
      <c r="B176" s="59" t="s">
        <v>12</v>
      </c>
      <c r="C176" s="59" t="s">
        <v>52</v>
      </c>
      <c r="D176" s="62" t="str">
        <f t="shared" si="4"/>
        <v>BenzE_class</v>
      </c>
      <c r="E176" s="59" t="s">
        <v>396</v>
      </c>
      <c r="F176" s="60">
        <v>69200000</v>
      </c>
      <c r="G176" s="60">
        <v>1950</v>
      </c>
      <c r="H176" s="58" t="s">
        <v>250</v>
      </c>
      <c r="I176" s="58" t="s">
        <v>242</v>
      </c>
      <c r="J176" s="58" t="s">
        <v>1246</v>
      </c>
      <c r="K176" s="58"/>
      <c r="L176" s="58" t="s">
        <v>395</v>
      </c>
      <c r="M176" s="58"/>
      <c r="N176" s="58" t="s">
        <v>242</v>
      </c>
      <c r="O176" s="58"/>
      <c r="P176" s="63"/>
      <c r="Q176" s="63"/>
    </row>
    <row r="177" spans="2:17" ht="20.25" customHeight="1" x14ac:dyDescent="0.3">
      <c r="B177" s="59" t="s">
        <v>12</v>
      </c>
      <c r="C177" s="59" t="s">
        <v>52</v>
      </c>
      <c r="D177" s="62" t="str">
        <f t="shared" si="4"/>
        <v>BenzE_class</v>
      </c>
      <c r="E177" s="59" t="s">
        <v>397</v>
      </c>
      <c r="F177" s="60">
        <v>69700000</v>
      </c>
      <c r="G177" s="60">
        <v>1950</v>
      </c>
      <c r="H177" s="58" t="s">
        <v>250</v>
      </c>
      <c r="I177" s="58" t="s">
        <v>242</v>
      </c>
      <c r="J177" s="58" t="s">
        <v>1246</v>
      </c>
      <c r="K177" s="58"/>
      <c r="L177" s="58" t="s">
        <v>395</v>
      </c>
      <c r="M177" s="58"/>
      <c r="N177" s="58" t="s">
        <v>242</v>
      </c>
      <c r="O177" s="58"/>
      <c r="P177" s="63"/>
      <c r="Q177" s="63"/>
    </row>
    <row r="178" spans="2:17" ht="20.25" customHeight="1" x14ac:dyDescent="0.3">
      <c r="B178" s="59" t="s">
        <v>12</v>
      </c>
      <c r="C178" s="59" t="s">
        <v>52</v>
      </c>
      <c r="D178" s="62" t="str">
        <f t="shared" si="4"/>
        <v>BenzE_class</v>
      </c>
      <c r="E178" s="59" t="s">
        <v>398</v>
      </c>
      <c r="F178" s="60">
        <v>81200000</v>
      </c>
      <c r="G178" s="60">
        <v>1993</v>
      </c>
      <c r="H178" s="58" t="s">
        <v>250</v>
      </c>
      <c r="I178" s="58" t="s">
        <v>242</v>
      </c>
      <c r="J178" s="58" t="s">
        <v>1246</v>
      </c>
      <c r="K178" s="58"/>
      <c r="L178" s="58" t="s">
        <v>395</v>
      </c>
      <c r="M178" s="58"/>
      <c r="N178" s="58" t="s">
        <v>242</v>
      </c>
      <c r="O178" s="58"/>
      <c r="P178" s="63"/>
      <c r="Q178" s="63"/>
    </row>
    <row r="179" spans="2:17" ht="20.25" customHeight="1" x14ac:dyDescent="0.3">
      <c r="B179" s="59" t="s">
        <v>12</v>
      </c>
      <c r="C179" s="59" t="s">
        <v>52</v>
      </c>
      <c r="D179" s="62" t="str">
        <f t="shared" si="4"/>
        <v>BenzE_class</v>
      </c>
      <c r="E179" s="59" t="s">
        <v>399</v>
      </c>
      <c r="F179" s="60">
        <v>85300000</v>
      </c>
      <c r="G179" s="60">
        <v>1993</v>
      </c>
      <c r="H179" s="58" t="s">
        <v>250</v>
      </c>
      <c r="I179" s="58" t="s">
        <v>242</v>
      </c>
      <c r="J179" s="58" t="s">
        <v>1246</v>
      </c>
      <c r="K179" s="58"/>
      <c r="L179" s="58" t="s">
        <v>395</v>
      </c>
      <c r="M179" s="58"/>
      <c r="N179" s="58" t="s">
        <v>242</v>
      </c>
      <c r="O179" s="58"/>
      <c r="P179" s="63"/>
      <c r="Q179" s="63"/>
    </row>
    <row r="180" spans="2:17" ht="20.25" customHeight="1" x14ac:dyDescent="0.3">
      <c r="B180" s="59" t="s">
        <v>12</v>
      </c>
      <c r="C180" s="59" t="s">
        <v>52</v>
      </c>
      <c r="D180" s="62" t="str">
        <f t="shared" si="4"/>
        <v>BenzE_class</v>
      </c>
      <c r="E180" s="59" t="s">
        <v>400</v>
      </c>
      <c r="F180" s="60">
        <v>69600000</v>
      </c>
      <c r="G180" s="60">
        <v>1991</v>
      </c>
      <c r="H180" s="58" t="s">
        <v>241</v>
      </c>
      <c r="I180" s="58" t="s">
        <v>242</v>
      </c>
      <c r="J180" s="58" t="s">
        <v>1246</v>
      </c>
      <c r="K180" s="58"/>
      <c r="L180" s="58" t="s">
        <v>395</v>
      </c>
      <c r="M180" s="58"/>
      <c r="N180" s="58" t="s">
        <v>242</v>
      </c>
      <c r="O180" s="58"/>
      <c r="P180" s="63"/>
      <c r="Q180" s="63"/>
    </row>
    <row r="181" spans="2:17" ht="20.25" customHeight="1" x14ac:dyDescent="0.3">
      <c r="B181" s="59" t="s">
        <v>12</v>
      </c>
      <c r="C181" s="59" t="s">
        <v>52</v>
      </c>
      <c r="D181" s="62" t="str">
        <f t="shared" si="4"/>
        <v>BenzE_class</v>
      </c>
      <c r="E181" s="59" t="s">
        <v>401</v>
      </c>
      <c r="F181" s="60">
        <v>72900000</v>
      </c>
      <c r="G181" s="60">
        <v>1991</v>
      </c>
      <c r="H181" s="58" t="s">
        <v>241</v>
      </c>
      <c r="I181" s="58" t="s">
        <v>242</v>
      </c>
      <c r="J181" s="58" t="s">
        <v>1246</v>
      </c>
      <c r="K181" s="58"/>
      <c r="L181" s="58" t="s">
        <v>395</v>
      </c>
      <c r="M181" s="58"/>
      <c r="N181" s="58" t="s">
        <v>242</v>
      </c>
      <c r="O181" s="58"/>
      <c r="P181" s="63"/>
      <c r="Q181" s="63"/>
    </row>
    <row r="182" spans="2:17" ht="20.25" customHeight="1" x14ac:dyDescent="0.3">
      <c r="B182" s="59" t="s">
        <v>12</v>
      </c>
      <c r="C182" s="59" t="s">
        <v>52</v>
      </c>
      <c r="D182" s="62" t="str">
        <f t="shared" si="4"/>
        <v>BenzE_class</v>
      </c>
      <c r="E182" s="59" t="s">
        <v>402</v>
      </c>
      <c r="F182" s="60">
        <v>76100000</v>
      </c>
      <c r="G182" s="60">
        <v>1991</v>
      </c>
      <c r="H182" s="58" t="s">
        <v>241</v>
      </c>
      <c r="I182" s="58" t="s">
        <v>242</v>
      </c>
      <c r="J182" s="58" t="s">
        <v>1246</v>
      </c>
      <c r="K182" s="58"/>
      <c r="L182" s="58" t="s">
        <v>395</v>
      </c>
      <c r="M182" s="58"/>
      <c r="N182" s="58" t="s">
        <v>242</v>
      </c>
      <c r="O182" s="58"/>
      <c r="P182" s="63"/>
      <c r="Q182" s="63"/>
    </row>
    <row r="183" spans="2:17" ht="20.25" customHeight="1" x14ac:dyDescent="0.3">
      <c r="B183" s="59" t="s">
        <v>12</v>
      </c>
      <c r="C183" s="59" t="s">
        <v>52</v>
      </c>
      <c r="D183" s="62" t="str">
        <f t="shared" si="4"/>
        <v>BenzE_class</v>
      </c>
      <c r="E183" s="59" t="s">
        <v>403</v>
      </c>
      <c r="F183" s="60">
        <v>77000000</v>
      </c>
      <c r="G183" s="60">
        <v>1991</v>
      </c>
      <c r="H183" s="58" t="s">
        <v>241</v>
      </c>
      <c r="I183" s="58" t="s">
        <v>242</v>
      </c>
      <c r="J183" s="58" t="s">
        <v>1246</v>
      </c>
      <c r="K183" s="58"/>
      <c r="L183" s="58" t="s">
        <v>395</v>
      </c>
      <c r="M183" s="58"/>
      <c r="N183" s="58" t="s">
        <v>242</v>
      </c>
      <c r="O183" s="58"/>
      <c r="P183" s="63"/>
      <c r="Q183" s="63"/>
    </row>
    <row r="184" spans="2:17" ht="20.25" customHeight="1" x14ac:dyDescent="0.3">
      <c r="B184" s="59" t="s">
        <v>12</v>
      </c>
      <c r="C184" s="59" t="s">
        <v>52</v>
      </c>
      <c r="D184" s="62" t="str">
        <f t="shared" si="4"/>
        <v>BenzE_class</v>
      </c>
      <c r="E184" s="59" t="s">
        <v>404</v>
      </c>
      <c r="F184" s="60">
        <v>77000000</v>
      </c>
      <c r="G184" s="60">
        <v>1991</v>
      </c>
      <c r="H184" s="58" t="s">
        <v>241</v>
      </c>
      <c r="I184" s="58" t="s">
        <v>242</v>
      </c>
      <c r="J184" s="58" t="s">
        <v>1246</v>
      </c>
      <c r="K184" s="58"/>
      <c r="L184" s="58" t="s">
        <v>395</v>
      </c>
      <c r="M184" s="58"/>
      <c r="N184" s="58" t="s">
        <v>242</v>
      </c>
      <c r="O184" s="58"/>
      <c r="P184" s="63"/>
      <c r="Q184" s="63"/>
    </row>
    <row r="185" spans="2:17" ht="20.25" customHeight="1" x14ac:dyDescent="0.3">
      <c r="B185" s="59" t="s">
        <v>12</v>
      </c>
      <c r="C185" s="59" t="s">
        <v>52</v>
      </c>
      <c r="D185" s="62" t="str">
        <f t="shared" si="4"/>
        <v>BenzE_class</v>
      </c>
      <c r="E185" s="59" t="s">
        <v>405</v>
      </c>
      <c r="F185" s="60">
        <v>77000000</v>
      </c>
      <c r="G185" s="60">
        <v>1991</v>
      </c>
      <c r="H185" s="58" t="s">
        <v>241</v>
      </c>
      <c r="I185" s="58" t="s">
        <v>242</v>
      </c>
      <c r="J185" s="58" t="s">
        <v>1246</v>
      </c>
      <c r="K185" s="58"/>
      <c r="L185" s="58" t="s">
        <v>395</v>
      </c>
      <c r="M185" s="58"/>
      <c r="N185" s="58" t="s">
        <v>242</v>
      </c>
      <c r="O185" s="58"/>
      <c r="P185" s="63"/>
      <c r="Q185" s="63"/>
    </row>
    <row r="186" spans="2:17" ht="20.25" customHeight="1" x14ac:dyDescent="0.3">
      <c r="B186" s="59" t="s">
        <v>12</v>
      </c>
      <c r="C186" s="59" t="s">
        <v>52</v>
      </c>
      <c r="D186" s="62" t="str">
        <f t="shared" si="4"/>
        <v>BenzE_class</v>
      </c>
      <c r="E186" s="59" t="s">
        <v>406</v>
      </c>
      <c r="F186" s="60">
        <v>79700000</v>
      </c>
      <c r="G186" s="60">
        <v>1991</v>
      </c>
      <c r="H186" s="58" t="s">
        <v>241</v>
      </c>
      <c r="I186" s="58" t="s">
        <v>242</v>
      </c>
      <c r="J186" s="58" t="s">
        <v>1246</v>
      </c>
      <c r="K186" s="58"/>
      <c r="L186" s="58" t="s">
        <v>395</v>
      </c>
      <c r="M186" s="58"/>
      <c r="N186" s="58" t="s">
        <v>242</v>
      </c>
      <c r="O186" s="58"/>
      <c r="P186" s="63"/>
      <c r="Q186" s="63"/>
    </row>
    <row r="187" spans="2:17" ht="20.25" customHeight="1" x14ac:dyDescent="0.3">
      <c r="B187" s="59" t="s">
        <v>12</v>
      </c>
      <c r="C187" s="59" t="s">
        <v>52</v>
      </c>
      <c r="D187" s="62" t="str">
        <f t="shared" si="4"/>
        <v>BenzE_class</v>
      </c>
      <c r="E187" s="59" t="s">
        <v>407</v>
      </c>
      <c r="F187" s="60">
        <v>82800000</v>
      </c>
      <c r="G187" s="60">
        <v>1999</v>
      </c>
      <c r="H187" s="58" t="s">
        <v>241</v>
      </c>
      <c r="I187" s="58" t="s">
        <v>242</v>
      </c>
      <c r="J187" s="58" t="s">
        <v>1246</v>
      </c>
      <c r="K187" s="58"/>
      <c r="L187" s="58" t="s">
        <v>395</v>
      </c>
      <c r="M187" s="58"/>
      <c r="N187" s="58" t="s">
        <v>242</v>
      </c>
      <c r="O187" s="58"/>
      <c r="P187" s="63"/>
      <c r="Q187" s="63"/>
    </row>
    <row r="188" spans="2:17" ht="20.25" customHeight="1" x14ac:dyDescent="0.3">
      <c r="B188" s="59" t="s">
        <v>12</v>
      </c>
      <c r="C188" s="59" t="s">
        <v>52</v>
      </c>
      <c r="D188" s="62" t="str">
        <f t="shared" si="4"/>
        <v>BenzE_class</v>
      </c>
      <c r="E188" s="59" t="s">
        <v>408</v>
      </c>
      <c r="F188" s="60">
        <v>82900000</v>
      </c>
      <c r="G188" s="60">
        <v>1991</v>
      </c>
      <c r="H188" s="58" t="s">
        <v>241</v>
      </c>
      <c r="I188" s="58" t="s">
        <v>242</v>
      </c>
      <c r="J188" s="58" t="s">
        <v>1246</v>
      </c>
      <c r="K188" s="58"/>
      <c r="L188" s="58" t="s">
        <v>395</v>
      </c>
      <c r="M188" s="58"/>
      <c r="N188" s="58" t="s">
        <v>242</v>
      </c>
      <c r="O188" s="58"/>
      <c r="P188" s="63"/>
      <c r="Q188" s="63"/>
    </row>
    <row r="189" spans="2:17" ht="20.25" customHeight="1" x14ac:dyDescent="0.3">
      <c r="B189" s="59" t="s">
        <v>12</v>
      </c>
      <c r="C189" s="59" t="s">
        <v>52</v>
      </c>
      <c r="D189" s="62" t="str">
        <f t="shared" si="4"/>
        <v>BenzE_class</v>
      </c>
      <c r="E189" s="59" t="s">
        <v>409</v>
      </c>
      <c r="F189" s="60">
        <v>78900000</v>
      </c>
      <c r="G189" s="60">
        <v>1991</v>
      </c>
      <c r="H189" s="58" t="s">
        <v>241</v>
      </c>
      <c r="I189" s="58" t="s">
        <v>242</v>
      </c>
      <c r="J189" s="58" t="s">
        <v>1611</v>
      </c>
      <c r="K189" s="58"/>
      <c r="L189" s="58" t="s">
        <v>395</v>
      </c>
      <c r="M189" s="58"/>
      <c r="N189" s="58" t="s">
        <v>242</v>
      </c>
      <c r="O189" s="58"/>
      <c r="P189" s="63"/>
      <c r="Q189" s="63"/>
    </row>
    <row r="190" spans="2:17" ht="20.25" customHeight="1" x14ac:dyDescent="0.3">
      <c r="B190" s="59" t="s">
        <v>12</v>
      </c>
      <c r="C190" s="59" t="s">
        <v>52</v>
      </c>
      <c r="D190" s="62" t="str">
        <f t="shared" si="4"/>
        <v>BenzE_class</v>
      </c>
      <c r="E190" s="59" t="s">
        <v>410</v>
      </c>
      <c r="F190" s="60">
        <v>90100000</v>
      </c>
      <c r="G190" s="60">
        <v>1991</v>
      </c>
      <c r="H190" s="58" t="s">
        <v>241</v>
      </c>
      <c r="I190" s="58" t="s">
        <v>242</v>
      </c>
      <c r="J190" s="58" t="s">
        <v>1611</v>
      </c>
      <c r="K190" s="58"/>
      <c r="L190" s="58" t="s">
        <v>395</v>
      </c>
      <c r="M190" s="58"/>
      <c r="N190" s="58" t="s">
        <v>242</v>
      </c>
      <c r="O190" s="58"/>
      <c r="P190" s="63"/>
      <c r="Q190" s="63"/>
    </row>
    <row r="191" spans="2:17" ht="20.25" customHeight="1" x14ac:dyDescent="0.3">
      <c r="B191" s="59" t="s">
        <v>12</v>
      </c>
      <c r="C191" s="59" t="s">
        <v>52</v>
      </c>
      <c r="D191" s="62" t="str">
        <f t="shared" si="4"/>
        <v>BenzE_class</v>
      </c>
      <c r="E191" s="59" t="s">
        <v>1600</v>
      </c>
      <c r="F191" s="60">
        <v>95700000</v>
      </c>
      <c r="G191" s="60">
        <v>1991</v>
      </c>
      <c r="H191" s="58" t="s">
        <v>241</v>
      </c>
      <c r="I191" s="58" t="s">
        <v>242</v>
      </c>
      <c r="J191" s="58" t="s">
        <v>1611</v>
      </c>
      <c r="K191" s="58"/>
      <c r="L191" s="58" t="s">
        <v>395</v>
      </c>
      <c r="M191" s="58"/>
      <c r="N191" s="58" t="s">
        <v>242</v>
      </c>
      <c r="O191" s="58"/>
      <c r="P191" s="63"/>
      <c r="Q191" s="63"/>
    </row>
    <row r="192" spans="2:17" ht="20.25" customHeight="1" x14ac:dyDescent="0.3">
      <c r="B192" s="59" t="s">
        <v>12</v>
      </c>
      <c r="C192" s="59" t="s">
        <v>52</v>
      </c>
      <c r="D192" s="62" t="str">
        <f t="shared" si="4"/>
        <v>BenzE_class</v>
      </c>
      <c r="E192" s="59" t="s">
        <v>411</v>
      </c>
      <c r="F192" s="60">
        <v>87500000</v>
      </c>
      <c r="G192" s="60">
        <v>1993</v>
      </c>
      <c r="H192" s="58" t="s">
        <v>250</v>
      </c>
      <c r="I192" s="58" t="s">
        <v>242</v>
      </c>
      <c r="J192" s="58" t="s">
        <v>1246</v>
      </c>
      <c r="K192" s="58"/>
      <c r="L192" s="58" t="s">
        <v>395</v>
      </c>
      <c r="M192" s="58"/>
      <c r="N192" s="58" t="s">
        <v>242</v>
      </c>
      <c r="O192" s="58"/>
      <c r="P192" s="63"/>
      <c r="Q192" s="63"/>
    </row>
    <row r="193" spans="2:17" ht="20.25" customHeight="1" x14ac:dyDescent="0.3">
      <c r="B193" s="59" t="s">
        <v>12</v>
      </c>
      <c r="C193" s="59" t="s">
        <v>52</v>
      </c>
      <c r="D193" s="62" t="str">
        <f t="shared" si="4"/>
        <v>BenzE_class</v>
      </c>
      <c r="E193" s="59" t="s">
        <v>412</v>
      </c>
      <c r="F193" s="60">
        <v>90500000</v>
      </c>
      <c r="G193" s="60">
        <v>1991</v>
      </c>
      <c r="H193" s="58" t="s">
        <v>241</v>
      </c>
      <c r="I193" s="58" t="s">
        <v>242</v>
      </c>
      <c r="J193" s="58" t="s">
        <v>1246</v>
      </c>
      <c r="K193" s="58"/>
      <c r="L193" s="58" t="s">
        <v>395</v>
      </c>
      <c r="M193" s="58"/>
      <c r="N193" s="58" t="s">
        <v>242</v>
      </c>
      <c r="O193" s="58"/>
      <c r="P193" s="63"/>
      <c r="Q193" s="63"/>
    </row>
    <row r="194" spans="2:17" ht="20.25" customHeight="1" x14ac:dyDescent="0.3">
      <c r="B194" s="59" t="s">
        <v>12</v>
      </c>
      <c r="C194" s="59" t="s">
        <v>52</v>
      </c>
      <c r="D194" s="62" t="str">
        <f t="shared" si="4"/>
        <v>BenzE_class</v>
      </c>
      <c r="E194" s="59" t="s">
        <v>413</v>
      </c>
      <c r="F194" s="60">
        <v>94100000</v>
      </c>
      <c r="G194" s="60">
        <v>1991</v>
      </c>
      <c r="H194" s="58" t="s">
        <v>241</v>
      </c>
      <c r="I194" s="58" t="s">
        <v>242</v>
      </c>
      <c r="J194" s="58" t="s">
        <v>1246</v>
      </c>
      <c r="K194" s="58"/>
      <c r="L194" s="58" t="s">
        <v>395</v>
      </c>
      <c r="M194" s="58"/>
      <c r="N194" s="58" t="s">
        <v>242</v>
      </c>
      <c r="O194" s="58"/>
      <c r="P194" s="63"/>
      <c r="Q194" s="63"/>
    </row>
    <row r="195" spans="2:17" ht="20.25" customHeight="1" x14ac:dyDescent="0.3">
      <c r="B195" s="59" t="s">
        <v>12</v>
      </c>
      <c r="C195" s="59" t="s">
        <v>52</v>
      </c>
      <c r="D195" s="62" t="str">
        <f t="shared" si="4"/>
        <v>BenzE_class</v>
      </c>
      <c r="E195" s="59" t="s">
        <v>414</v>
      </c>
      <c r="F195" s="60">
        <v>90500000</v>
      </c>
      <c r="G195" s="60">
        <v>1991</v>
      </c>
      <c r="H195" s="58" t="s">
        <v>241</v>
      </c>
      <c r="I195" s="58" t="s">
        <v>242</v>
      </c>
      <c r="J195" s="58" t="s">
        <v>1246</v>
      </c>
      <c r="K195" s="58"/>
      <c r="L195" s="58" t="s">
        <v>395</v>
      </c>
      <c r="M195" s="58"/>
      <c r="N195" s="58" t="s">
        <v>242</v>
      </c>
      <c r="O195" s="58"/>
      <c r="P195" s="63"/>
      <c r="Q195" s="63"/>
    </row>
    <row r="196" spans="2:17" ht="20.25" customHeight="1" x14ac:dyDescent="0.3">
      <c r="B196" s="59" t="s">
        <v>12</v>
      </c>
      <c r="C196" s="59" t="s">
        <v>52</v>
      </c>
      <c r="D196" s="62" t="str">
        <f t="shared" si="4"/>
        <v>BenzE_class</v>
      </c>
      <c r="E196" s="59" t="s">
        <v>415</v>
      </c>
      <c r="F196" s="60">
        <v>96900000</v>
      </c>
      <c r="G196" s="60">
        <v>2996</v>
      </c>
      <c r="H196" s="58" t="s">
        <v>241</v>
      </c>
      <c r="I196" s="58" t="s">
        <v>242</v>
      </c>
      <c r="J196" s="58" t="s">
        <v>1246</v>
      </c>
      <c r="K196" s="58"/>
      <c r="L196" s="58" t="s">
        <v>355</v>
      </c>
      <c r="M196" s="58"/>
      <c r="N196" s="58" t="s">
        <v>242</v>
      </c>
      <c r="O196" s="58"/>
      <c r="P196" s="63"/>
      <c r="Q196" s="63"/>
    </row>
    <row r="197" spans="2:17" ht="20.25" customHeight="1" x14ac:dyDescent="0.3">
      <c r="B197" s="59" t="s">
        <v>12</v>
      </c>
      <c r="C197" s="59" t="s">
        <v>52</v>
      </c>
      <c r="D197" s="62" t="str">
        <f t="shared" si="4"/>
        <v>BenzE_class</v>
      </c>
      <c r="E197" s="59" t="s">
        <v>416</v>
      </c>
      <c r="F197" s="60">
        <v>96600000</v>
      </c>
      <c r="G197" s="60">
        <v>2996</v>
      </c>
      <c r="H197" s="58" t="s">
        <v>241</v>
      </c>
      <c r="I197" s="58" t="s">
        <v>242</v>
      </c>
      <c r="J197" s="58" t="s">
        <v>1246</v>
      </c>
      <c r="K197" s="58"/>
      <c r="L197" s="58" t="s">
        <v>355</v>
      </c>
      <c r="M197" s="58"/>
      <c r="N197" s="58" t="s">
        <v>242</v>
      </c>
      <c r="O197" s="58"/>
      <c r="P197" s="63"/>
      <c r="Q197" s="63"/>
    </row>
    <row r="198" spans="2:17" ht="20.25" customHeight="1" x14ac:dyDescent="0.3">
      <c r="B198" s="59" t="s">
        <v>12</v>
      </c>
      <c r="C198" s="59" t="s">
        <v>52</v>
      </c>
      <c r="D198" s="62" t="str">
        <f t="shared" si="4"/>
        <v>BenzE_class</v>
      </c>
      <c r="E198" s="59" t="s">
        <v>1601</v>
      </c>
      <c r="F198" s="60">
        <v>114300000</v>
      </c>
      <c r="G198" s="60">
        <v>2999</v>
      </c>
      <c r="H198" s="58" t="s">
        <v>241</v>
      </c>
      <c r="I198" s="58" t="s">
        <v>242</v>
      </c>
      <c r="J198" s="58" t="s">
        <v>1246</v>
      </c>
      <c r="K198" s="58"/>
      <c r="L198" s="58" t="s">
        <v>355</v>
      </c>
      <c r="M198" s="58"/>
      <c r="N198" s="58" t="s">
        <v>242</v>
      </c>
      <c r="O198" s="58"/>
      <c r="P198" s="63"/>
      <c r="Q198" s="63"/>
    </row>
    <row r="199" spans="2:17" ht="20.25" customHeight="1" x14ac:dyDescent="0.3">
      <c r="B199" s="59" t="s">
        <v>12</v>
      </c>
      <c r="C199" s="59" t="s">
        <v>52</v>
      </c>
      <c r="D199" s="62" t="str">
        <f t="shared" si="4"/>
        <v>BenzE_class</v>
      </c>
      <c r="E199" s="59" t="s">
        <v>1602</v>
      </c>
      <c r="F199" s="60">
        <v>108200000</v>
      </c>
      <c r="G199" s="60">
        <v>2999</v>
      </c>
      <c r="H199" s="58" t="s">
        <v>241</v>
      </c>
      <c r="I199" s="58" t="s">
        <v>242</v>
      </c>
      <c r="J199" s="58" t="s">
        <v>1246</v>
      </c>
      <c r="K199" s="58"/>
      <c r="L199" s="58" t="s">
        <v>355</v>
      </c>
      <c r="M199" s="58"/>
      <c r="N199" s="58" t="s">
        <v>242</v>
      </c>
      <c r="O199" s="58"/>
      <c r="P199" s="63"/>
      <c r="Q199" s="63"/>
    </row>
    <row r="200" spans="2:17" ht="20.25" customHeight="1" x14ac:dyDescent="0.3">
      <c r="B200" s="59" t="s">
        <v>12</v>
      </c>
      <c r="C200" s="59" t="s">
        <v>52</v>
      </c>
      <c r="D200" s="62" t="str">
        <f t="shared" si="4"/>
        <v>BenzE_class</v>
      </c>
      <c r="E200" s="59" t="s">
        <v>417</v>
      </c>
      <c r="F200" s="60">
        <v>98500000</v>
      </c>
      <c r="G200" s="60">
        <v>2999</v>
      </c>
      <c r="H200" s="58" t="s">
        <v>241</v>
      </c>
      <c r="I200" s="58" t="s">
        <v>242</v>
      </c>
      <c r="J200" s="58" t="s">
        <v>1246</v>
      </c>
      <c r="K200" s="58"/>
      <c r="L200" s="58" t="s">
        <v>355</v>
      </c>
      <c r="M200" s="58"/>
      <c r="N200" s="58" t="s">
        <v>242</v>
      </c>
      <c r="O200" s="58"/>
      <c r="P200" s="63"/>
      <c r="Q200" s="63"/>
    </row>
    <row r="201" spans="2:17" ht="20.25" customHeight="1" x14ac:dyDescent="0.3">
      <c r="B201" s="59" t="s">
        <v>12</v>
      </c>
      <c r="C201" s="59" t="s">
        <v>52</v>
      </c>
      <c r="D201" s="62" t="str">
        <f t="shared" si="4"/>
        <v>BenzE_class</v>
      </c>
      <c r="E201" s="59" t="s">
        <v>418</v>
      </c>
      <c r="F201" s="60">
        <v>113300000</v>
      </c>
      <c r="G201" s="60">
        <v>2999</v>
      </c>
      <c r="H201" s="58" t="s">
        <v>241</v>
      </c>
      <c r="I201" s="58" t="s">
        <v>242</v>
      </c>
      <c r="J201" s="58" t="s">
        <v>1246</v>
      </c>
      <c r="K201" s="58"/>
      <c r="L201" s="58" t="s">
        <v>355</v>
      </c>
      <c r="M201" s="58"/>
      <c r="N201" s="58" t="s">
        <v>242</v>
      </c>
      <c r="O201" s="58"/>
      <c r="P201" s="63"/>
      <c r="Q201" s="63"/>
    </row>
    <row r="202" spans="2:17" ht="20.25" customHeight="1" x14ac:dyDescent="0.3">
      <c r="B202" s="59" t="s">
        <v>12</v>
      </c>
      <c r="C202" s="59" t="s">
        <v>52</v>
      </c>
      <c r="D202" s="62" t="str">
        <f t="shared" si="4"/>
        <v>BenzE_class</v>
      </c>
      <c r="E202" s="59" t="s">
        <v>419</v>
      </c>
      <c r="F202" s="60">
        <v>112500000</v>
      </c>
      <c r="G202" s="60">
        <v>2996</v>
      </c>
      <c r="H202" s="58" t="s">
        <v>241</v>
      </c>
      <c r="I202" s="58" t="s">
        <v>242</v>
      </c>
      <c r="J202" s="58" t="s">
        <v>1612</v>
      </c>
      <c r="K202" s="58" t="s">
        <v>86</v>
      </c>
      <c r="L202" s="58" t="s">
        <v>1738</v>
      </c>
      <c r="M202" s="58"/>
      <c r="N202" s="58" t="s">
        <v>242</v>
      </c>
      <c r="O202" s="58"/>
      <c r="P202" s="63"/>
      <c r="Q202" s="63"/>
    </row>
    <row r="203" spans="2:17" ht="20.25" customHeight="1" x14ac:dyDescent="0.3">
      <c r="B203" s="59" t="s">
        <v>12</v>
      </c>
      <c r="C203" s="59" t="s">
        <v>52</v>
      </c>
      <c r="D203" s="62" t="str">
        <f t="shared" si="4"/>
        <v>BenzE_class</v>
      </c>
      <c r="E203" s="59" t="s">
        <v>420</v>
      </c>
      <c r="F203" s="60">
        <v>128400000</v>
      </c>
      <c r="G203" s="60">
        <v>2999</v>
      </c>
      <c r="H203" s="58" t="s">
        <v>241</v>
      </c>
      <c r="I203" s="58" t="s">
        <v>242</v>
      </c>
      <c r="J203" s="58" t="s">
        <v>1612</v>
      </c>
      <c r="K203" s="58" t="s">
        <v>86</v>
      </c>
      <c r="L203" s="58" t="s">
        <v>1738</v>
      </c>
      <c r="M203" s="58"/>
      <c r="N203" s="58" t="s">
        <v>242</v>
      </c>
      <c r="O203" s="58"/>
      <c r="P203" s="63"/>
      <c r="Q203" s="63"/>
    </row>
    <row r="204" spans="2:17" ht="20.25" customHeight="1" x14ac:dyDescent="0.3">
      <c r="B204" s="59" t="s">
        <v>12</v>
      </c>
      <c r="C204" s="59" t="s">
        <v>52</v>
      </c>
      <c r="D204" s="62" t="str">
        <f t="shared" si="4"/>
        <v>BenzE_class</v>
      </c>
      <c r="E204" s="59" t="s">
        <v>421</v>
      </c>
      <c r="F204" s="60">
        <v>125400000</v>
      </c>
      <c r="G204" s="60">
        <v>2999</v>
      </c>
      <c r="H204" s="58" t="s">
        <v>241</v>
      </c>
      <c r="I204" s="58" t="s">
        <v>242</v>
      </c>
      <c r="J204" s="58" t="s">
        <v>1612</v>
      </c>
      <c r="K204" s="58" t="s">
        <v>86</v>
      </c>
      <c r="L204" s="58" t="s">
        <v>1738</v>
      </c>
      <c r="M204" s="58"/>
      <c r="N204" s="58" t="s">
        <v>242</v>
      </c>
      <c r="O204" s="58"/>
      <c r="P204" s="63"/>
      <c r="Q204" s="63"/>
    </row>
    <row r="205" spans="2:17" ht="20.25" customHeight="1" x14ac:dyDescent="0.3">
      <c r="B205" s="59" t="s">
        <v>12</v>
      </c>
      <c r="C205" s="59" t="s">
        <v>52</v>
      </c>
      <c r="D205" s="62" t="str">
        <f t="shared" si="4"/>
        <v>BenzE_class</v>
      </c>
      <c r="E205" s="59" t="s">
        <v>422</v>
      </c>
      <c r="F205" s="60">
        <v>156600000</v>
      </c>
      <c r="G205" s="60">
        <v>3982</v>
      </c>
      <c r="H205" s="58" t="s">
        <v>241</v>
      </c>
      <c r="I205" s="58" t="s">
        <v>242</v>
      </c>
      <c r="J205" s="58" t="s">
        <v>1612</v>
      </c>
      <c r="K205" s="58" t="s">
        <v>86</v>
      </c>
      <c r="L205" s="58" t="s">
        <v>1738</v>
      </c>
      <c r="M205" s="58"/>
      <c r="N205" s="58" t="s">
        <v>242</v>
      </c>
      <c r="O205" s="58"/>
      <c r="P205" s="63"/>
      <c r="Q205" s="63"/>
    </row>
    <row r="206" spans="2:17" ht="20.25" customHeight="1" x14ac:dyDescent="0.3">
      <c r="B206" s="59" t="s">
        <v>12</v>
      </c>
      <c r="C206" s="59" t="s">
        <v>57</v>
      </c>
      <c r="D206" s="62" t="str">
        <f t="shared" si="4"/>
        <v>BenzGLA</v>
      </c>
      <c r="E206" s="59" t="s">
        <v>423</v>
      </c>
      <c r="F206" s="60">
        <v>52600000</v>
      </c>
      <c r="G206" s="60">
        <v>1991</v>
      </c>
      <c r="H206" s="58" t="s">
        <v>241</v>
      </c>
      <c r="I206" s="58" t="s">
        <v>295</v>
      </c>
      <c r="J206" s="58" t="s">
        <v>1608</v>
      </c>
      <c r="K206" s="58"/>
      <c r="L206" s="58" t="s">
        <v>379</v>
      </c>
      <c r="M206" s="58"/>
      <c r="N206" s="58" t="s">
        <v>295</v>
      </c>
      <c r="O206" s="58"/>
      <c r="P206" s="63"/>
      <c r="Q206" s="63"/>
    </row>
    <row r="207" spans="2:17" ht="20.25" customHeight="1" x14ac:dyDescent="0.3">
      <c r="B207" s="59" t="s">
        <v>12</v>
      </c>
      <c r="C207" s="59" t="s">
        <v>57</v>
      </c>
      <c r="D207" s="62" t="str">
        <f t="shared" si="4"/>
        <v>BenzGLA</v>
      </c>
      <c r="E207" s="59" t="s">
        <v>424</v>
      </c>
      <c r="F207" s="60">
        <v>48500000</v>
      </c>
      <c r="G207" s="60">
        <v>1991</v>
      </c>
      <c r="H207" s="58" t="s">
        <v>241</v>
      </c>
      <c r="I207" s="58" t="s">
        <v>295</v>
      </c>
      <c r="J207" s="58" t="s">
        <v>1608</v>
      </c>
      <c r="K207" s="58"/>
      <c r="L207" s="58" t="s">
        <v>379</v>
      </c>
      <c r="M207" s="58"/>
      <c r="N207" s="58" t="s">
        <v>295</v>
      </c>
      <c r="O207" s="58"/>
      <c r="P207" s="63"/>
      <c r="Q207" s="63"/>
    </row>
    <row r="208" spans="2:17" ht="20.25" customHeight="1" x14ac:dyDescent="0.3">
      <c r="B208" s="59" t="s">
        <v>12</v>
      </c>
      <c r="C208" s="59" t="s">
        <v>57</v>
      </c>
      <c r="D208" s="62" t="str">
        <f t="shared" si="4"/>
        <v>BenzGLA</v>
      </c>
      <c r="E208" s="59" t="s">
        <v>425</v>
      </c>
      <c r="F208" s="60">
        <v>60100000</v>
      </c>
      <c r="G208" s="60">
        <v>1991</v>
      </c>
      <c r="H208" s="58" t="s">
        <v>241</v>
      </c>
      <c r="I208" s="58" t="s">
        <v>295</v>
      </c>
      <c r="J208" s="58" t="s">
        <v>1608</v>
      </c>
      <c r="K208" s="58"/>
      <c r="L208" s="58" t="s">
        <v>379</v>
      </c>
      <c r="M208" s="58"/>
      <c r="N208" s="58" t="s">
        <v>295</v>
      </c>
      <c r="O208" s="58"/>
      <c r="P208" s="63"/>
      <c r="Q208" s="63"/>
    </row>
    <row r="209" spans="2:17" ht="20.25" customHeight="1" x14ac:dyDescent="0.3">
      <c r="B209" s="59" t="s">
        <v>12</v>
      </c>
      <c r="C209" s="59" t="s">
        <v>57</v>
      </c>
      <c r="D209" s="62" t="str">
        <f t="shared" si="4"/>
        <v>BenzGLA</v>
      </c>
      <c r="E209" s="59" t="s">
        <v>426</v>
      </c>
      <c r="F209" s="60">
        <v>77100000</v>
      </c>
      <c r="G209" s="60">
        <v>1991</v>
      </c>
      <c r="H209" s="58" t="s">
        <v>241</v>
      </c>
      <c r="I209" s="58" t="s">
        <v>295</v>
      </c>
      <c r="J209" s="58" t="s">
        <v>1612</v>
      </c>
      <c r="K209" s="58" t="s">
        <v>86</v>
      </c>
      <c r="L209" s="58"/>
      <c r="M209" s="58"/>
      <c r="N209" s="58" t="s">
        <v>295</v>
      </c>
      <c r="O209" s="58"/>
      <c r="P209" s="63"/>
      <c r="Q209" s="63"/>
    </row>
    <row r="210" spans="2:17" ht="20.25" customHeight="1" x14ac:dyDescent="0.3">
      <c r="B210" s="59" t="s">
        <v>12</v>
      </c>
      <c r="C210" s="59" t="s">
        <v>58</v>
      </c>
      <c r="D210" s="62" t="str">
        <f t="shared" si="4"/>
        <v>BenzGLB</v>
      </c>
      <c r="E210" s="59" t="s">
        <v>427</v>
      </c>
      <c r="F210" s="60">
        <v>55800000</v>
      </c>
      <c r="G210" s="60">
        <v>1950</v>
      </c>
      <c r="H210" s="58" t="s">
        <v>250</v>
      </c>
      <c r="I210" s="58" t="s">
        <v>295</v>
      </c>
      <c r="J210" s="58" t="s">
        <v>1608</v>
      </c>
      <c r="K210" s="58"/>
      <c r="L210" s="58" t="s">
        <v>379</v>
      </c>
      <c r="M210" s="58"/>
      <c r="N210" s="58" t="s">
        <v>295</v>
      </c>
      <c r="O210" s="58"/>
      <c r="P210" s="63"/>
      <c r="Q210" s="63"/>
    </row>
    <row r="211" spans="2:17" ht="20.25" customHeight="1" x14ac:dyDescent="0.3">
      <c r="B211" s="59" t="s">
        <v>12</v>
      </c>
      <c r="C211" s="59" t="s">
        <v>58</v>
      </c>
      <c r="D211" s="62" t="str">
        <f t="shared" si="4"/>
        <v>BenzGLB</v>
      </c>
      <c r="E211" s="59" t="s">
        <v>428</v>
      </c>
      <c r="F211" s="60">
        <v>55200000</v>
      </c>
      <c r="G211" s="60">
        <v>1991</v>
      </c>
      <c r="H211" s="58" t="s">
        <v>241</v>
      </c>
      <c r="I211" s="58" t="s">
        <v>295</v>
      </c>
      <c r="J211" s="58" t="s">
        <v>1608</v>
      </c>
      <c r="K211" s="58"/>
      <c r="L211" s="58" t="s">
        <v>379</v>
      </c>
      <c r="M211" s="58"/>
      <c r="N211" s="58" t="s">
        <v>295</v>
      </c>
      <c r="O211" s="58"/>
      <c r="P211" s="63"/>
      <c r="Q211" s="63"/>
    </row>
    <row r="212" spans="2:17" ht="20.25" customHeight="1" x14ac:dyDescent="0.3">
      <c r="B212" s="59" t="s">
        <v>12</v>
      </c>
      <c r="C212" s="59" t="s">
        <v>58</v>
      </c>
      <c r="D212" s="62" t="str">
        <f t="shared" si="4"/>
        <v>BenzGLB</v>
      </c>
      <c r="E212" s="59" t="s">
        <v>429</v>
      </c>
      <c r="F212" s="60">
        <v>62100000</v>
      </c>
      <c r="G212" s="60">
        <v>1991</v>
      </c>
      <c r="H212" s="58" t="s">
        <v>241</v>
      </c>
      <c r="I212" s="58" t="s">
        <v>295</v>
      </c>
      <c r="J212" s="58" t="s">
        <v>1608</v>
      </c>
      <c r="K212" s="58"/>
      <c r="L212" s="58" t="s">
        <v>379</v>
      </c>
      <c r="M212" s="58"/>
      <c r="N212" s="58" t="s">
        <v>295</v>
      </c>
      <c r="O212" s="58"/>
      <c r="P212" s="63"/>
      <c r="Q212" s="63"/>
    </row>
    <row r="213" spans="2:17" ht="20.25" customHeight="1" x14ac:dyDescent="0.3">
      <c r="B213" s="59" t="s">
        <v>12</v>
      </c>
      <c r="C213" s="59" t="s">
        <v>58</v>
      </c>
      <c r="D213" s="62" t="str">
        <f t="shared" si="4"/>
        <v>BenzGLB</v>
      </c>
      <c r="E213" s="59" t="s">
        <v>430</v>
      </c>
      <c r="F213" s="60">
        <v>70300000</v>
      </c>
      <c r="G213" s="60">
        <v>1991</v>
      </c>
      <c r="H213" s="58" t="s">
        <v>241</v>
      </c>
      <c r="I213" s="58" t="s">
        <v>295</v>
      </c>
      <c r="J213" s="58" t="s">
        <v>1613</v>
      </c>
      <c r="K213" s="58" t="s">
        <v>86</v>
      </c>
      <c r="L213" s="58"/>
      <c r="M213" s="58"/>
      <c r="N213" s="58" t="s">
        <v>295</v>
      </c>
      <c r="O213" s="58"/>
      <c r="P213" s="63"/>
      <c r="Q213" s="63"/>
    </row>
    <row r="214" spans="2:17" ht="20.25" customHeight="1" x14ac:dyDescent="0.3">
      <c r="B214" s="59" t="s">
        <v>12</v>
      </c>
      <c r="C214" s="59" t="s">
        <v>59</v>
      </c>
      <c r="D214" s="62" t="str">
        <f t="shared" si="4"/>
        <v>BenzGLC</v>
      </c>
      <c r="E214" s="59" t="s">
        <v>431</v>
      </c>
      <c r="F214" s="60">
        <v>83100000</v>
      </c>
      <c r="G214" s="60">
        <v>1991</v>
      </c>
      <c r="H214" s="58" t="s">
        <v>241</v>
      </c>
      <c r="I214" s="58" t="s">
        <v>295</v>
      </c>
      <c r="J214" s="58" t="s">
        <v>1246</v>
      </c>
      <c r="K214" s="58"/>
      <c r="L214" s="58" t="s">
        <v>432</v>
      </c>
      <c r="M214" s="58"/>
      <c r="N214" s="58" t="s">
        <v>295</v>
      </c>
      <c r="O214" s="58"/>
      <c r="P214" s="63"/>
      <c r="Q214" s="63"/>
    </row>
    <row r="215" spans="2:17" ht="20.25" customHeight="1" x14ac:dyDescent="0.3">
      <c r="B215" s="59" t="s">
        <v>12</v>
      </c>
      <c r="C215" s="59" t="s">
        <v>59</v>
      </c>
      <c r="D215" s="62" t="str">
        <f t="shared" si="4"/>
        <v>BenzGLC</v>
      </c>
      <c r="E215" s="59" t="s">
        <v>433</v>
      </c>
      <c r="F215" s="60">
        <v>82000000</v>
      </c>
      <c r="G215" s="60">
        <v>1991</v>
      </c>
      <c r="H215" s="58" t="s">
        <v>241</v>
      </c>
      <c r="I215" s="58" t="s">
        <v>295</v>
      </c>
      <c r="J215" s="58" t="s">
        <v>1246</v>
      </c>
      <c r="K215" s="58"/>
      <c r="L215" s="58" t="s">
        <v>432</v>
      </c>
      <c r="M215" s="58"/>
      <c r="N215" s="58" t="s">
        <v>295</v>
      </c>
      <c r="O215" s="58"/>
      <c r="P215" s="63"/>
      <c r="Q215" s="63"/>
    </row>
    <row r="216" spans="2:17" ht="20.25" customHeight="1" x14ac:dyDescent="0.3">
      <c r="B216" s="59" t="s">
        <v>12</v>
      </c>
      <c r="C216" s="59" t="s">
        <v>59</v>
      </c>
      <c r="D216" s="62" t="str">
        <f t="shared" si="4"/>
        <v>BenzGLC</v>
      </c>
      <c r="E216" s="59" t="s">
        <v>434</v>
      </c>
      <c r="F216" s="60">
        <v>82000000</v>
      </c>
      <c r="G216" s="60">
        <v>1991</v>
      </c>
      <c r="H216" s="58" t="s">
        <v>241</v>
      </c>
      <c r="I216" s="58" t="s">
        <v>295</v>
      </c>
      <c r="J216" s="58" t="s">
        <v>1246</v>
      </c>
      <c r="K216" s="58"/>
      <c r="L216" s="58" t="s">
        <v>432</v>
      </c>
      <c r="M216" s="58"/>
      <c r="N216" s="58" t="s">
        <v>295</v>
      </c>
      <c r="O216" s="58"/>
      <c r="P216" s="63"/>
      <c r="Q216" s="63"/>
    </row>
    <row r="217" spans="2:17" ht="20.25" customHeight="1" x14ac:dyDescent="0.3">
      <c r="B217" s="59" t="s">
        <v>12</v>
      </c>
      <c r="C217" s="59" t="s">
        <v>59</v>
      </c>
      <c r="D217" s="62" t="str">
        <f t="shared" si="4"/>
        <v>BenzGLC</v>
      </c>
      <c r="E217" s="59" t="s">
        <v>435</v>
      </c>
      <c r="F217" s="60">
        <v>84000000</v>
      </c>
      <c r="G217" s="60">
        <v>1991</v>
      </c>
      <c r="H217" s="58" t="s">
        <v>241</v>
      </c>
      <c r="I217" s="58" t="s">
        <v>295</v>
      </c>
      <c r="J217" s="58" t="s">
        <v>1246</v>
      </c>
      <c r="K217" s="58"/>
      <c r="L217" s="58" t="s">
        <v>432</v>
      </c>
      <c r="M217" s="58"/>
      <c r="N217" s="58" t="s">
        <v>295</v>
      </c>
      <c r="O217" s="58"/>
      <c r="P217" s="63"/>
      <c r="Q217" s="63"/>
    </row>
    <row r="218" spans="2:17" ht="20.25" customHeight="1" x14ac:dyDescent="0.3">
      <c r="B218" s="59" t="s">
        <v>12</v>
      </c>
      <c r="C218" s="59" t="s">
        <v>59</v>
      </c>
      <c r="D218" s="62" t="str">
        <f t="shared" si="4"/>
        <v>BenzGLC</v>
      </c>
      <c r="E218" s="59" t="s">
        <v>436</v>
      </c>
      <c r="F218" s="60">
        <v>79700000</v>
      </c>
      <c r="G218" s="60">
        <v>1991</v>
      </c>
      <c r="H218" s="58" t="s">
        <v>241</v>
      </c>
      <c r="I218" s="58" t="s">
        <v>295</v>
      </c>
      <c r="J218" s="58" t="s">
        <v>1610</v>
      </c>
      <c r="K218" s="58"/>
      <c r="L218" s="58" t="s">
        <v>432</v>
      </c>
      <c r="M218" s="58"/>
      <c r="N218" s="58" t="s">
        <v>295</v>
      </c>
      <c r="O218" s="58"/>
      <c r="P218" s="63"/>
      <c r="Q218" s="63"/>
    </row>
    <row r="219" spans="2:17" ht="20.25" customHeight="1" x14ac:dyDescent="0.3">
      <c r="B219" s="59" t="s">
        <v>12</v>
      </c>
      <c r="C219" s="59" t="s">
        <v>59</v>
      </c>
      <c r="D219" s="62" t="str">
        <f t="shared" si="4"/>
        <v>BenzGLC</v>
      </c>
      <c r="E219" s="59" t="s">
        <v>437</v>
      </c>
      <c r="F219" s="60">
        <v>80900000</v>
      </c>
      <c r="G219" s="60">
        <v>1991</v>
      </c>
      <c r="H219" s="58" t="s">
        <v>241</v>
      </c>
      <c r="I219" s="58" t="s">
        <v>295</v>
      </c>
      <c r="J219" s="58" t="s">
        <v>1610</v>
      </c>
      <c r="K219" s="58"/>
      <c r="L219" s="58" t="s">
        <v>432</v>
      </c>
      <c r="M219" s="58"/>
      <c r="N219" s="58" t="s">
        <v>295</v>
      </c>
      <c r="O219" s="58"/>
      <c r="P219" s="63"/>
      <c r="Q219" s="63"/>
    </row>
    <row r="220" spans="2:17" ht="20.25" customHeight="1" x14ac:dyDescent="0.3">
      <c r="B220" s="59" t="s">
        <v>12</v>
      </c>
      <c r="C220" s="59" t="s">
        <v>59</v>
      </c>
      <c r="D220" s="62" t="str">
        <f t="shared" si="4"/>
        <v>BenzGLC</v>
      </c>
      <c r="E220" s="59" t="s">
        <v>438</v>
      </c>
      <c r="F220" s="60">
        <v>67900000</v>
      </c>
      <c r="G220" s="60">
        <v>1991</v>
      </c>
      <c r="H220" s="58" t="s">
        <v>241</v>
      </c>
      <c r="I220" s="58" t="s">
        <v>295</v>
      </c>
      <c r="J220" s="58" t="s">
        <v>1610</v>
      </c>
      <c r="K220" s="58"/>
      <c r="L220" s="58" t="s">
        <v>432</v>
      </c>
      <c r="M220" s="58"/>
      <c r="N220" s="58" t="s">
        <v>295</v>
      </c>
      <c r="O220" s="58"/>
      <c r="P220" s="63"/>
      <c r="Q220" s="63"/>
    </row>
    <row r="221" spans="2:17" ht="20.25" customHeight="1" x14ac:dyDescent="0.3">
      <c r="B221" s="59" t="s">
        <v>12</v>
      </c>
      <c r="C221" s="59" t="s">
        <v>59</v>
      </c>
      <c r="D221" s="62" t="str">
        <f t="shared" si="4"/>
        <v>BenzGLC</v>
      </c>
      <c r="E221" s="59" t="s">
        <v>439</v>
      </c>
      <c r="F221" s="60">
        <v>75900000</v>
      </c>
      <c r="G221" s="60">
        <v>1991</v>
      </c>
      <c r="H221" s="58" t="s">
        <v>241</v>
      </c>
      <c r="I221" s="58" t="s">
        <v>295</v>
      </c>
      <c r="J221" s="58" t="s">
        <v>1610</v>
      </c>
      <c r="K221" s="58"/>
      <c r="L221" s="58" t="s">
        <v>432</v>
      </c>
      <c r="M221" s="58"/>
      <c r="N221" s="58" t="s">
        <v>295</v>
      </c>
      <c r="O221" s="58"/>
      <c r="P221" s="63"/>
      <c r="Q221" s="63"/>
    </row>
    <row r="222" spans="2:17" ht="20.25" customHeight="1" x14ac:dyDescent="0.3">
      <c r="B222" s="59" t="s">
        <v>12</v>
      </c>
      <c r="C222" s="59" t="s">
        <v>59</v>
      </c>
      <c r="D222" s="62" t="str">
        <f t="shared" si="4"/>
        <v>BenzGLC</v>
      </c>
      <c r="E222" s="59" t="s">
        <v>440</v>
      </c>
      <c r="F222" s="60">
        <v>83900000</v>
      </c>
      <c r="G222" s="60">
        <v>1991</v>
      </c>
      <c r="H222" s="58" t="s">
        <v>241</v>
      </c>
      <c r="I222" s="58" t="s">
        <v>295</v>
      </c>
      <c r="J222" s="58" t="s">
        <v>1610</v>
      </c>
      <c r="K222" s="58"/>
      <c r="L222" s="58" t="s">
        <v>432</v>
      </c>
      <c r="M222" s="58"/>
      <c r="N222" s="58" t="s">
        <v>295</v>
      </c>
      <c r="O222" s="58"/>
      <c r="P222" s="63"/>
      <c r="Q222" s="63"/>
    </row>
    <row r="223" spans="2:17" ht="20.25" customHeight="1" x14ac:dyDescent="0.3">
      <c r="B223" s="59" t="s">
        <v>12</v>
      </c>
      <c r="C223" s="59" t="s">
        <v>59</v>
      </c>
      <c r="D223" s="62" t="str">
        <f t="shared" si="4"/>
        <v>BenzGLC</v>
      </c>
      <c r="E223" s="59" t="s">
        <v>441</v>
      </c>
      <c r="F223" s="60">
        <v>80500000</v>
      </c>
      <c r="G223" s="60">
        <v>1999</v>
      </c>
      <c r="H223" s="58" t="s">
        <v>241</v>
      </c>
      <c r="I223" s="58" t="s">
        <v>295</v>
      </c>
      <c r="J223" s="58" t="s">
        <v>1246</v>
      </c>
      <c r="K223" s="58"/>
      <c r="L223" s="58" t="s">
        <v>432</v>
      </c>
      <c r="M223" s="58"/>
      <c r="N223" s="58" t="s">
        <v>295</v>
      </c>
      <c r="O223" s="58"/>
      <c r="P223" s="63"/>
      <c r="Q223" s="63"/>
    </row>
    <row r="224" spans="2:17" ht="20.25" customHeight="1" x14ac:dyDescent="0.3">
      <c r="B224" s="59" t="s">
        <v>12</v>
      </c>
      <c r="C224" s="59" t="s">
        <v>59</v>
      </c>
      <c r="D224" s="62" t="str">
        <f t="shared" si="4"/>
        <v>BenzGLC</v>
      </c>
      <c r="E224" s="59" t="s">
        <v>442</v>
      </c>
      <c r="F224" s="60">
        <v>84000000</v>
      </c>
      <c r="G224" s="60">
        <v>1991</v>
      </c>
      <c r="H224" s="58" t="s">
        <v>241</v>
      </c>
      <c r="I224" s="58" t="s">
        <v>295</v>
      </c>
      <c r="J224" s="58" t="s">
        <v>1246</v>
      </c>
      <c r="K224" s="58"/>
      <c r="L224" s="58" t="s">
        <v>432</v>
      </c>
      <c r="M224" s="58"/>
      <c r="N224" s="58" t="s">
        <v>295</v>
      </c>
      <c r="O224" s="58"/>
      <c r="P224" s="63"/>
      <c r="Q224" s="63"/>
    </row>
    <row r="225" spans="2:17" ht="20.25" customHeight="1" x14ac:dyDescent="0.3">
      <c r="B225" s="59" t="s">
        <v>12</v>
      </c>
      <c r="C225" s="59" t="s">
        <v>59</v>
      </c>
      <c r="D225" s="62" t="str">
        <f t="shared" ref="D225:D294" si="5">+B225&amp;C225</f>
        <v>BenzGLC</v>
      </c>
      <c r="E225" s="59" t="s">
        <v>443</v>
      </c>
      <c r="F225" s="60">
        <v>84000000</v>
      </c>
      <c r="G225" s="60">
        <v>1991</v>
      </c>
      <c r="H225" s="58" t="s">
        <v>241</v>
      </c>
      <c r="I225" s="58" t="s">
        <v>295</v>
      </c>
      <c r="J225" s="58" t="s">
        <v>1246</v>
      </c>
      <c r="K225" s="58"/>
      <c r="L225" s="58" t="s">
        <v>432</v>
      </c>
      <c r="M225" s="58"/>
      <c r="N225" s="58" t="s">
        <v>295</v>
      </c>
      <c r="O225" s="58"/>
      <c r="P225" s="63"/>
      <c r="Q225" s="63"/>
    </row>
    <row r="226" spans="2:17" ht="20.25" customHeight="1" x14ac:dyDescent="0.3">
      <c r="B226" s="59" t="s">
        <v>12</v>
      </c>
      <c r="C226" s="59" t="s">
        <v>59</v>
      </c>
      <c r="D226" s="62" t="str">
        <f t="shared" si="5"/>
        <v>BenzGLC</v>
      </c>
      <c r="E226" s="59" t="s">
        <v>444</v>
      </c>
      <c r="F226" s="60">
        <v>78500000</v>
      </c>
      <c r="G226" s="60">
        <v>1991</v>
      </c>
      <c r="H226" s="58" t="s">
        <v>241</v>
      </c>
      <c r="I226" s="58" t="s">
        <v>295</v>
      </c>
      <c r="J226" s="58" t="s">
        <v>1246</v>
      </c>
      <c r="K226" s="58"/>
      <c r="L226" s="58" t="s">
        <v>432</v>
      </c>
      <c r="M226" s="58"/>
      <c r="N226" s="58" t="s">
        <v>295</v>
      </c>
      <c r="O226" s="58"/>
      <c r="P226" s="63"/>
      <c r="Q226" s="63"/>
    </row>
    <row r="227" spans="2:17" ht="20.25" customHeight="1" x14ac:dyDescent="0.3">
      <c r="B227" s="59" t="s">
        <v>12</v>
      </c>
      <c r="C227" s="59" t="s">
        <v>59</v>
      </c>
      <c r="D227" s="62" t="str">
        <f t="shared" si="5"/>
        <v>BenzGLC</v>
      </c>
      <c r="E227" s="59" t="s">
        <v>445</v>
      </c>
      <c r="F227" s="60">
        <v>69600000</v>
      </c>
      <c r="G227" s="60">
        <v>1993</v>
      </c>
      <c r="H227" s="58" t="s">
        <v>250</v>
      </c>
      <c r="I227" s="58" t="s">
        <v>295</v>
      </c>
      <c r="J227" s="58" t="s">
        <v>1246</v>
      </c>
      <c r="K227" s="58"/>
      <c r="L227" s="58" t="s">
        <v>432</v>
      </c>
      <c r="M227" s="58"/>
      <c r="N227" s="58" t="s">
        <v>295</v>
      </c>
      <c r="O227" s="58"/>
      <c r="P227" s="63"/>
      <c r="Q227" s="63"/>
    </row>
    <row r="228" spans="2:17" ht="20.25" customHeight="1" x14ac:dyDescent="0.3">
      <c r="B228" s="59" t="s">
        <v>12</v>
      </c>
      <c r="C228" s="59" t="s">
        <v>59</v>
      </c>
      <c r="D228" s="62" t="str">
        <f t="shared" si="5"/>
        <v>BenzGLC</v>
      </c>
      <c r="E228" s="59" t="s">
        <v>446</v>
      </c>
      <c r="F228" s="60">
        <v>69000000</v>
      </c>
      <c r="G228" s="60">
        <v>2143</v>
      </c>
      <c r="H228" s="58" t="s">
        <v>250</v>
      </c>
      <c r="I228" s="58" t="s">
        <v>295</v>
      </c>
      <c r="J228" s="58" t="s">
        <v>1246</v>
      </c>
      <c r="K228" s="58"/>
      <c r="L228" s="58" t="s">
        <v>432</v>
      </c>
      <c r="M228" s="58"/>
      <c r="N228" s="58" t="s">
        <v>295</v>
      </c>
      <c r="O228" s="58"/>
      <c r="P228" s="63"/>
      <c r="Q228" s="63"/>
    </row>
    <row r="229" spans="2:17" ht="20.25" customHeight="1" x14ac:dyDescent="0.3">
      <c r="B229" s="59" t="s">
        <v>12</v>
      </c>
      <c r="C229" s="59" t="s">
        <v>59</v>
      </c>
      <c r="D229" s="62" t="str">
        <f t="shared" si="5"/>
        <v>BenzGLC</v>
      </c>
      <c r="E229" s="59" t="s">
        <v>447</v>
      </c>
      <c r="F229" s="60">
        <v>74700000</v>
      </c>
      <c r="G229" s="60">
        <v>1950</v>
      </c>
      <c r="H229" s="58" t="s">
        <v>250</v>
      </c>
      <c r="I229" s="58" t="s">
        <v>295</v>
      </c>
      <c r="J229" s="58" t="s">
        <v>1246</v>
      </c>
      <c r="K229" s="58"/>
      <c r="L229" s="58" t="s">
        <v>432</v>
      </c>
      <c r="M229" s="58"/>
      <c r="N229" s="58" t="s">
        <v>295</v>
      </c>
      <c r="O229" s="58"/>
      <c r="P229" s="63"/>
      <c r="Q229" s="63"/>
    </row>
    <row r="230" spans="2:17" ht="20.25" customHeight="1" x14ac:dyDescent="0.3">
      <c r="B230" s="59" t="s">
        <v>12</v>
      </c>
      <c r="C230" s="59" t="s">
        <v>59</v>
      </c>
      <c r="D230" s="62" t="str">
        <f t="shared" si="5"/>
        <v>BenzGLC</v>
      </c>
      <c r="E230" s="59" t="s">
        <v>448</v>
      </c>
      <c r="F230" s="60">
        <v>72600000</v>
      </c>
      <c r="G230" s="60">
        <v>2143</v>
      </c>
      <c r="H230" s="58" t="s">
        <v>250</v>
      </c>
      <c r="I230" s="58" t="s">
        <v>295</v>
      </c>
      <c r="J230" s="58" t="s">
        <v>1246</v>
      </c>
      <c r="K230" s="58"/>
      <c r="L230" s="58" t="s">
        <v>432</v>
      </c>
      <c r="M230" s="58"/>
      <c r="N230" s="58" t="s">
        <v>295</v>
      </c>
      <c r="O230" s="58"/>
      <c r="P230" s="63"/>
      <c r="Q230" s="63"/>
    </row>
    <row r="231" spans="2:17" ht="20.25" customHeight="1" x14ac:dyDescent="0.3">
      <c r="B231" s="59" t="s">
        <v>12</v>
      </c>
      <c r="C231" s="59" t="s">
        <v>59</v>
      </c>
      <c r="D231" s="62" t="str">
        <f t="shared" si="5"/>
        <v>BenzGLC</v>
      </c>
      <c r="E231" s="59" t="s">
        <v>449</v>
      </c>
      <c r="F231" s="60">
        <v>76200000</v>
      </c>
      <c r="G231" s="60">
        <v>2143</v>
      </c>
      <c r="H231" s="58" t="s">
        <v>250</v>
      </c>
      <c r="I231" s="58" t="s">
        <v>295</v>
      </c>
      <c r="J231" s="58" t="s">
        <v>1246</v>
      </c>
      <c r="K231" s="58"/>
      <c r="L231" s="58" t="s">
        <v>432</v>
      </c>
      <c r="M231" s="58"/>
      <c r="N231" s="58" t="s">
        <v>295</v>
      </c>
      <c r="O231" s="58"/>
      <c r="P231" s="63"/>
      <c r="Q231" s="63"/>
    </row>
    <row r="232" spans="2:17" ht="20.25" customHeight="1" x14ac:dyDescent="0.3">
      <c r="B232" s="59" t="s">
        <v>12</v>
      </c>
      <c r="C232" s="59" t="s">
        <v>59</v>
      </c>
      <c r="D232" s="62" t="str">
        <f t="shared" si="5"/>
        <v>BenzGLC</v>
      </c>
      <c r="E232" s="59" t="s">
        <v>450</v>
      </c>
      <c r="F232" s="60">
        <v>75000000</v>
      </c>
      <c r="G232" s="60">
        <v>2143</v>
      </c>
      <c r="H232" s="58" t="s">
        <v>250</v>
      </c>
      <c r="I232" s="58" t="s">
        <v>295</v>
      </c>
      <c r="J232" s="58" t="s">
        <v>1246</v>
      </c>
      <c r="K232" s="58"/>
      <c r="L232" s="58" t="s">
        <v>432</v>
      </c>
      <c r="M232" s="58"/>
      <c r="N232" s="58" t="s">
        <v>295</v>
      </c>
      <c r="O232" s="58"/>
      <c r="P232" s="63"/>
      <c r="Q232" s="63"/>
    </row>
    <row r="233" spans="2:17" ht="20.25" customHeight="1" x14ac:dyDescent="0.3">
      <c r="B233" s="59" t="s">
        <v>12</v>
      </c>
      <c r="C233" s="59" t="s">
        <v>59</v>
      </c>
      <c r="D233" s="62" t="str">
        <f t="shared" si="5"/>
        <v>BenzGLC</v>
      </c>
      <c r="E233" s="59" t="s">
        <v>451</v>
      </c>
      <c r="F233" s="60">
        <v>79500000</v>
      </c>
      <c r="G233" s="60">
        <v>2143</v>
      </c>
      <c r="H233" s="58" t="s">
        <v>250</v>
      </c>
      <c r="I233" s="58" t="s">
        <v>295</v>
      </c>
      <c r="J233" s="58" t="s">
        <v>1246</v>
      </c>
      <c r="K233" s="58"/>
      <c r="L233" s="58" t="s">
        <v>432</v>
      </c>
      <c r="M233" s="58"/>
      <c r="N233" s="58" t="s">
        <v>295</v>
      </c>
      <c r="O233" s="58"/>
      <c r="P233" s="63"/>
      <c r="Q233" s="63"/>
    </row>
    <row r="234" spans="2:17" ht="20.25" customHeight="1" x14ac:dyDescent="0.3">
      <c r="B234" s="59" t="s">
        <v>12</v>
      </c>
      <c r="C234" s="59" t="s">
        <v>59</v>
      </c>
      <c r="D234" s="62" t="str">
        <f t="shared" si="5"/>
        <v>BenzGLC</v>
      </c>
      <c r="E234" s="59" t="s">
        <v>1594</v>
      </c>
      <c r="F234" s="60">
        <v>82000000</v>
      </c>
      <c r="G234" s="60">
        <v>1991</v>
      </c>
      <c r="H234" s="58" t="s">
        <v>241</v>
      </c>
      <c r="I234" s="58" t="s">
        <v>295</v>
      </c>
      <c r="J234" s="58" t="s">
        <v>1246</v>
      </c>
      <c r="K234" s="58" t="s">
        <v>1786</v>
      </c>
      <c r="L234" s="58" t="s">
        <v>432</v>
      </c>
      <c r="M234" s="58"/>
      <c r="N234" s="58" t="s">
        <v>295</v>
      </c>
      <c r="O234" s="58"/>
      <c r="P234" s="63">
        <v>0.01</v>
      </c>
      <c r="Q234" s="63">
        <v>0.01</v>
      </c>
    </row>
    <row r="235" spans="2:17" ht="20.25" customHeight="1" x14ac:dyDescent="0.3">
      <c r="B235" s="59" t="s">
        <v>12</v>
      </c>
      <c r="C235" s="59" t="s">
        <v>59</v>
      </c>
      <c r="D235" s="62" t="str">
        <f t="shared" si="5"/>
        <v>BenzGLC</v>
      </c>
      <c r="E235" s="59" t="s">
        <v>1595</v>
      </c>
      <c r="F235" s="60">
        <v>84000000</v>
      </c>
      <c r="G235" s="60">
        <v>1991</v>
      </c>
      <c r="H235" s="58" t="s">
        <v>241</v>
      </c>
      <c r="I235" s="58" t="s">
        <v>295</v>
      </c>
      <c r="J235" s="58" t="s">
        <v>1246</v>
      </c>
      <c r="K235" s="58" t="s">
        <v>1786</v>
      </c>
      <c r="L235" s="58" t="s">
        <v>432</v>
      </c>
      <c r="M235" s="58"/>
      <c r="N235" s="58" t="s">
        <v>295</v>
      </c>
      <c r="O235" s="58"/>
      <c r="P235" s="63">
        <v>0.01</v>
      </c>
      <c r="Q235" s="63">
        <v>0.01</v>
      </c>
    </row>
    <row r="236" spans="2:17" ht="20.25" customHeight="1" x14ac:dyDescent="0.3">
      <c r="B236" s="59" t="s">
        <v>12</v>
      </c>
      <c r="C236" s="59" t="s">
        <v>59</v>
      </c>
      <c r="D236" s="62" t="str">
        <f t="shared" si="5"/>
        <v>BenzGLC</v>
      </c>
      <c r="E236" s="59" t="s">
        <v>1596</v>
      </c>
      <c r="F236" s="60">
        <v>84000000</v>
      </c>
      <c r="G236" s="60">
        <v>1991</v>
      </c>
      <c r="H236" s="58" t="s">
        <v>241</v>
      </c>
      <c r="I236" s="58" t="s">
        <v>295</v>
      </c>
      <c r="J236" s="58" t="s">
        <v>1246</v>
      </c>
      <c r="K236" s="58" t="s">
        <v>1786</v>
      </c>
      <c r="L236" s="58" t="s">
        <v>432</v>
      </c>
      <c r="M236" s="58"/>
      <c r="N236" s="58" t="s">
        <v>295</v>
      </c>
      <c r="O236" s="58"/>
      <c r="P236" s="63">
        <v>0.01</v>
      </c>
      <c r="Q236" s="63">
        <v>0.01</v>
      </c>
    </row>
    <row r="237" spans="2:17" ht="20.25" customHeight="1" x14ac:dyDescent="0.3">
      <c r="B237" s="59" t="s">
        <v>12</v>
      </c>
      <c r="C237" s="59" t="s">
        <v>59</v>
      </c>
      <c r="D237" s="62" t="str">
        <f t="shared" si="5"/>
        <v>BenzGLC</v>
      </c>
      <c r="E237" s="59" t="s">
        <v>1597</v>
      </c>
      <c r="F237" s="60">
        <v>84000000</v>
      </c>
      <c r="G237" s="60">
        <v>1991</v>
      </c>
      <c r="H237" s="58" t="s">
        <v>241</v>
      </c>
      <c r="I237" s="58" t="s">
        <v>295</v>
      </c>
      <c r="J237" s="58" t="s">
        <v>1246</v>
      </c>
      <c r="K237" s="58" t="s">
        <v>1786</v>
      </c>
      <c r="L237" s="58" t="s">
        <v>432</v>
      </c>
      <c r="M237" s="58"/>
      <c r="N237" s="58" t="s">
        <v>295</v>
      </c>
      <c r="O237" s="58"/>
      <c r="P237" s="63">
        <v>0.01</v>
      </c>
      <c r="Q237" s="63">
        <v>0.01</v>
      </c>
    </row>
    <row r="238" spans="2:17" ht="20.25" customHeight="1" x14ac:dyDescent="0.3">
      <c r="B238" s="59" t="s">
        <v>12</v>
      </c>
      <c r="C238" s="59" t="s">
        <v>59</v>
      </c>
      <c r="D238" s="62" t="str">
        <f t="shared" si="5"/>
        <v>BenzGLC</v>
      </c>
      <c r="E238" s="59" t="s">
        <v>1598</v>
      </c>
      <c r="F238" s="60">
        <v>69600000</v>
      </c>
      <c r="G238" s="60">
        <v>1993</v>
      </c>
      <c r="H238" s="58" t="s">
        <v>250</v>
      </c>
      <c r="I238" s="58" t="s">
        <v>295</v>
      </c>
      <c r="J238" s="58" t="s">
        <v>1246</v>
      </c>
      <c r="K238" s="58" t="s">
        <v>1786</v>
      </c>
      <c r="L238" s="58" t="s">
        <v>432</v>
      </c>
      <c r="M238" s="58"/>
      <c r="N238" s="58" t="s">
        <v>295</v>
      </c>
      <c r="O238" s="58"/>
      <c r="P238" s="63">
        <v>0.01</v>
      </c>
      <c r="Q238" s="63">
        <v>0.01</v>
      </c>
    </row>
    <row r="239" spans="2:17" ht="20.25" customHeight="1" x14ac:dyDescent="0.3">
      <c r="B239" s="59" t="s">
        <v>12</v>
      </c>
      <c r="C239" s="59" t="s">
        <v>59</v>
      </c>
      <c r="D239" s="62" t="str">
        <f t="shared" si="5"/>
        <v>BenzGLC</v>
      </c>
      <c r="E239" s="59" t="s">
        <v>452</v>
      </c>
      <c r="F239" s="60">
        <v>98300000</v>
      </c>
      <c r="G239" s="60">
        <v>2996</v>
      </c>
      <c r="H239" s="58" t="s">
        <v>241</v>
      </c>
      <c r="I239" s="58" t="s">
        <v>295</v>
      </c>
      <c r="J239" s="58" t="s">
        <v>1613</v>
      </c>
      <c r="K239" s="58" t="s">
        <v>86</v>
      </c>
      <c r="L239" s="58"/>
      <c r="M239" s="58"/>
      <c r="N239" s="58" t="s">
        <v>295</v>
      </c>
      <c r="O239" s="58"/>
      <c r="P239" s="63"/>
      <c r="Q239" s="63"/>
    </row>
    <row r="240" spans="2:17" ht="20.25" customHeight="1" x14ac:dyDescent="0.3">
      <c r="B240" s="59" t="s">
        <v>12</v>
      </c>
      <c r="C240" s="59" t="s">
        <v>59</v>
      </c>
      <c r="D240" s="62" t="str">
        <f t="shared" si="5"/>
        <v>BenzGLC</v>
      </c>
      <c r="E240" s="59" t="s">
        <v>453</v>
      </c>
      <c r="F240" s="60">
        <v>99600000</v>
      </c>
      <c r="G240" s="60">
        <v>2996</v>
      </c>
      <c r="H240" s="58" t="s">
        <v>241</v>
      </c>
      <c r="I240" s="58" t="s">
        <v>295</v>
      </c>
      <c r="J240" s="58" t="s">
        <v>1613</v>
      </c>
      <c r="K240" s="58" t="s">
        <v>86</v>
      </c>
      <c r="L240" s="58"/>
      <c r="M240" s="58"/>
      <c r="N240" s="58" t="s">
        <v>295</v>
      </c>
      <c r="O240" s="58"/>
      <c r="P240" s="63"/>
      <c r="Q240" s="63"/>
    </row>
    <row r="241" spans="2:17" ht="20.25" customHeight="1" x14ac:dyDescent="0.3">
      <c r="B241" s="59" t="s">
        <v>12</v>
      </c>
      <c r="C241" s="59" t="s">
        <v>59</v>
      </c>
      <c r="D241" s="62" t="str">
        <f t="shared" si="5"/>
        <v>BenzGLC</v>
      </c>
      <c r="E241" s="59" t="s">
        <v>454</v>
      </c>
      <c r="F241" s="60">
        <v>118000000</v>
      </c>
      <c r="G241" s="60">
        <v>3982</v>
      </c>
      <c r="H241" s="58" t="s">
        <v>241</v>
      </c>
      <c r="I241" s="58" t="s">
        <v>295</v>
      </c>
      <c r="J241" s="58" t="s">
        <v>1613</v>
      </c>
      <c r="K241" s="58" t="s">
        <v>86</v>
      </c>
      <c r="L241" s="58"/>
      <c r="M241" s="58"/>
      <c r="N241" s="58" t="s">
        <v>295</v>
      </c>
      <c r="O241" s="58"/>
      <c r="P241" s="63"/>
      <c r="Q241" s="63"/>
    </row>
    <row r="242" spans="2:17" ht="20.25" customHeight="1" x14ac:dyDescent="0.3">
      <c r="B242" s="59" t="s">
        <v>12</v>
      </c>
      <c r="C242" s="59" t="s">
        <v>59</v>
      </c>
      <c r="D242" s="62" t="str">
        <f t="shared" si="5"/>
        <v>BenzGLC</v>
      </c>
      <c r="E242" s="59" t="s">
        <v>455</v>
      </c>
      <c r="F242" s="60">
        <v>132600000</v>
      </c>
      <c r="G242" s="60">
        <v>3982</v>
      </c>
      <c r="H242" s="58" t="s">
        <v>241</v>
      </c>
      <c r="I242" s="58" t="s">
        <v>295</v>
      </c>
      <c r="J242" s="58" t="s">
        <v>1613</v>
      </c>
      <c r="K242" s="58" t="s">
        <v>86</v>
      </c>
      <c r="L242" s="58"/>
      <c r="M242" s="58"/>
      <c r="N242" s="58" t="s">
        <v>295</v>
      </c>
      <c r="O242" s="58"/>
      <c r="P242" s="63"/>
      <c r="Q242" s="63"/>
    </row>
    <row r="243" spans="2:17" ht="20.25" customHeight="1" x14ac:dyDescent="0.3">
      <c r="B243" s="59" t="s">
        <v>12</v>
      </c>
      <c r="C243" s="59" t="s">
        <v>60</v>
      </c>
      <c r="D243" s="62" t="str">
        <f t="shared" si="5"/>
        <v>BenzGLE</v>
      </c>
      <c r="E243" s="407" t="s">
        <v>1802</v>
      </c>
      <c r="F243" s="60">
        <v>116000000</v>
      </c>
      <c r="G243" s="60">
        <v>1993</v>
      </c>
      <c r="H243" s="58" t="s">
        <v>250</v>
      </c>
      <c r="I243" s="58" t="s">
        <v>295</v>
      </c>
      <c r="J243" s="58" t="s">
        <v>1610</v>
      </c>
      <c r="K243" s="58" t="s">
        <v>1786</v>
      </c>
      <c r="L243" s="58" t="s">
        <v>432</v>
      </c>
      <c r="M243" s="58"/>
      <c r="N243" s="58" t="s">
        <v>295</v>
      </c>
      <c r="O243" s="58"/>
      <c r="P243" s="63">
        <v>0.01</v>
      </c>
      <c r="Q243" s="63">
        <v>0.01</v>
      </c>
    </row>
    <row r="244" spans="2:17" ht="20.25" customHeight="1" x14ac:dyDescent="0.3">
      <c r="B244" s="59" t="s">
        <v>12</v>
      </c>
      <c r="C244" s="59" t="s">
        <v>60</v>
      </c>
      <c r="D244" s="62" t="str">
        <f t="shared" ref="D244" si="6">+B244&amp;C244</f>
        <v>BenzGLE</v>
      </c>
      <c r="E244" s="407" t="s">
        <v>1803</v>
      </c>
      <c r="F244" s="60">
        <v>116600000</v>
      </c>
      <c r="G244" s="60">
        <v>1999</v>
      </c>
      <c r="H244" s="58" t="s">
        <v>241</v>
      </c>
      <c r="I244" s="58" t="s">
        <v>295</v>
      </c>
      <c r="J244" s="58" t="s">
        <v>1610</v>
      </c>
      <c r="K244" s="58" t="s">
        <v>1786</v>
      </c>
      <c r="L244" s="58" t="s">
        <v>432</v>
      </c>
      <c r="M244" s="58"/>
      <c r="N244" s="58" t="s">
        <v>295</v>
      </c>
      <c r="O244" s="58"/>
      <c r="P244" s="63">
        <v>0.01</v>
      </c>
      <c r="Q244" s="63">
        <v>0.01</v>
      </c>
    </row>
    <row r="245" spans="2:17" ht="20.25" customHeight="1" x14ac:dyDescent="0.3">
      <c r="B245" s="59" t="s">
        <v>12</v>
      </c>
      <c r="C245" s="59" t="s">
        <v>60</v>
      </c>
      <c r="D245" s="62" t="str">
        <f t="shared" si="5"/>
        <v>BenzGLE</v>
      </c>
      <c r="E245" s="59" t="s">
        <v>456</v>
      </c>
      <c r="F245" s="60">
        <v>94900000</v>
      </c>
      <c r="G245" s="60">
        <v>2987</v>
      </c>
      <c r="H245" s="58" t="s">
        <v>250</v>
      </c>
      <c r="I245" s="58" t="s">
        <v>295</v>
      </c>
      <c r="J245" s="58" t="s">
        <v>1610</v>
      </c>
      <c r="K245" s="58"/>
      <c r="L245" s="58" t="s">
        <v>432</v>
      </c>
      <c r="M245" s="58"/>
      <c r="N245" s="58" t="s">
        <v>295</v>
      </c>
      <c r="O245" s="58"/>
      <c r="P245" s="63"/>
      <c r="Q245" s="63"/>
    </row>
    <row r="246" spans="2:17" ht="20.25" customHeight="1" x14ac:dyDescent="0.3">
      <c r="B246" s="59" t="s">
        <v>12</v>
      </c>
      <c r="C246" s="59" t="s">
        <v>60</v>
      </c>
      <c r="D246" s="62" t="str">
        <f t="shared" si="5"/>
        <v>BenzGLE</v>
      </c>
      <c r="E246" s="59" t="s">
        <v>457</v>
      </c>
      <c r="F246" s="60">
        <v>102800000</v>
      </c>
      <c r="G246" s="60">
        <v>2987</v>
      </c>
      <c r="H246" s="58" t="s">
        <v>250</v>
      </c>
      <c r="I246" s="58" t="s">
        <v>295</v>
      </c>
      <c r="J246" s="58" t="s">
        <v>1610</v>
      </c>
      <c r="K246" s="58"/>
      <c r="L246" s="58" t="s">
        <v>432</v>
      </c>
      <c r="M246" s="58"/>
      <c r="N246" s="58" t="s">
        <v>295</v>
      </c>
      <c r="O246" s="58"/>
      <c r="P246" s="63"/>
      <c r="Q246" s="63"/>
    </row>
    <row r="247" spans="2:17" ht="20.25" customHeight="1" x14ac:dyDescent="0.3">
      <c r="B247" s="59" t="s">
        <v>12</v>
      </c>
      <c r="C247" s="59" t="s">
        <v>60</v>
      </c>
      <c r="D247" s="62" t="str">
        <f t="shared" si="5"/>
        <v>BenzGLE</v>
      </c>
      <c r="E247" s="59" t="s">
        <v>458</v>
      </c>
      <c r="F247" s="60">
        <v>105800000</v>
      </c>
      <c r="G247" s="60">
        <v>2987</v>
      </c>
      <c r="H247" s="58" t="s">
        <v>250</v>
      </c>
      <c r="I247" s="58" t="s">
        <v>295</v>
      </c>
      <c r="J247" s="58" t="s">
        <v>1610</v>
      </c>
      <c r="K247" s="58"/>
      <c r="L247" s="58" t="s">
        <v>432</v>
      </c>
      <c r="M247" s="58"/>
      <c r="N247" s="58" t="s">
        <v>295</v>
      </c>
      <c r="O247" s="58"/>
      <c r="P247" s="63"/>
      <c r="Q247" s="63"/>
    </row>
    <row r="248" spans="2:17" ht="20.25" customHeight="1" x14ac:dyDescent="0.3">
      <c r="B248" s="59" t="s">
        <v>12</v>
      </c>
      <c r="C248" s="59" t="s">
        <v>60</v>
      </c>
      <c r="D248" s="62" t="str">
        <f t="shared" si="5"/>
        <v>BenzGLE</v>
      </c>
      <c r="E248" s="59" t="s">
        <v>459</v>
      </c>
      <c r="F248" s="60">
        <v>115600000</v>
      </c>
      <c r="G248" s="60">
        <v>1991</v>
      </c>
      <c r="H248" s="58" t="s">
        <v>241</v>
      </c>
      <c r="I248" s="58" t="s">
        <v>295</v>
      </c>
      <c r="J248" s="58" t="s">
        <v>1611</v>
      </c>
      <c r="K248" s="58"/>
      <c r="L248" s="58" t="s">
        <v>432</v>
      </c>
      <c r="M248" s="58"/>
      <c r="N248" s="58" t="s">
        <v>295</v>
      </c>
      <c r="O248" s="58"/>
      <c r="P248" s="63"/>
      <c r="Q248" s="63"/>
    </row>
    <row r="249" spans="2:17" ht="20.25" customHeight="1" x14ac:dyDescent="0.3">
      <c r="B249" s="59" t="s">
        <v>12</v>
      </c>
      <c r="C249" s="59" t="s">
        <v>60</v>
      </c>
      <c r="D249" s="62" t="str">
        <f t="shared" si="5"/>
        <v>BenzGLE</v>
      </c>
      <c r="E249" s="59" t="s">
        <v>460</v>
      </c>
      <c r="F249" s="60">
        <v>118600000</v>
      </c>
      <c r="G249" s="60">
        <v>1991</v>
      </c>
      <c r="H249" s="58" t="s">
        <v>241</v>
      </c>
      <c r="I249" s="58" t="s">
        <v>295</v>
      </c>
      <c r="J249" s="58" t="s">
        <v>1611</v>
      </c>
      <c r="K249" s="58"/>
      <c r="L249" s="58" t="s">
        <v>432</v>
      </c>
      <c r="M249" s="58"/>
      <c r="N249" s="58" t="s">
        <v>295</v>
      </c>
      <c r="O249" s="58"/>
      <c r="P249" s="63"/>
      <c r="Q249" s="63"/>
    </row>
    <row r="250" spans="2:17" ht="20.25" customHeight="1" x14ac:dyDescent="0.3">
      <c r="B250" s="59" t="s">
        <v>12</v>
      </c>
      <c r="C250" s="59" t="s">
        <v>60</v>
      </c>
      <c r="D250" s="62" t="str">
        <f t="shared" si="5"/>
        <v>BenzGLE</v>
      </c>
      <c r="E250" s="59" t="s">
        <v>461</v>
      </c>
      <c r="F250" s="60">
        <v>132000000</v>
      </c>
      <c r="G250" s="60">
        <v>1999</v>
      </c>
      <c r="H250" s="58" t="s">
        <v>241</v>
      </c>
      <c r="I250" s="58" t="s">
        <v>295</v>
      </c>
      <c r="J250" s="58" t="s">
        <v>1611</v>
      </c>
      <c r="K250" s="58"/>
      <c r="L250" s="58" t="s">
        <v>432</v>
      </c>
      <c r="M250" s="58"/>
      <c r="N250" s="58" t="s">
        <v>295</v>
      </c>
      <c r="O250" s="58"/>
      <c r="P250" s="63"/>
      <c r="Q250" s="63"/>
    </row>
    <row r="251" spans="2:17" ht="20.25" customHeight="1" x14ac:dyDescent="0.3">
      <c r="B251" s="59" t="s">
        <v>12</v>
      </c>
      <c r="C251" s="59" t="s">
        <v>60</v>
      </c>
      <c r="D251" s="62" t="str">
        <f t="shared" si="5"/>
        <v>BenzGLE</v>
      </c>
      <c r="E251" s="59" t="s">
        <v>462</v>
      </c>
      <c r="F251" s="60">
        <v>126600000</v>
      </c>
      <c r="G251" s="60">
        <v>2925</v>
      </c>
      <c r="H251" s="58" t="s">
        <v>250</v>
      </c>
      <c r="I251" s="58" t="s">
        <v>295</v>
      </c>
      <c r="J251" s="58" t="s">
        <v>1610</v>
      </c>
      <c r="K251" s="58"/>
      <c r="L251" s="58" t="s">
        <v>432</v>
      </c>
      <c r="M251" s="58"/>
      <c r="N251" s="58" t="s">
        <v>295</v>
      </c>
      <c r="O251" s="58"/>
      <c r="P251" s="63"/>
      <c r="Q251" s="63"/>
    </row>
    <row r="252" spans="2:17" ht="20.25" customHeight="1" x14ac:dyDescent="0.3">
      <c r="B252" s="59" t="s">
        <v>12</v>
      </c>
      <c r="C252" s="59" t="s">
        <v>60</v>
      </c>
      <c r="D252" s="62" t="str">
        <f t="shared" si="5"/>
        <v>BenzGLE</v>
      </c>
      <c r="E252" s="59" t="s">
        <v>463</v>
      </c>
      <c r="F252" s="60">
        <v>123600000</v>
      </c>
      <c r="G252" s="60">
        <v>2999</v>
      </c>
      <c r="H252" s="58" t="s">
        <v>241</v>
      </c>
      <c r="I252" s="58" t="s">
        <v>295</v>
      </c>
      <c r="J252" s="58" t="s">
        <v>1610</v>
      </c>
      <c r="K252" s="58" t="s">
        <v>1786</v>
      </c>
      <c r="L252" s="58" t="s">
        <v>432</v>
      </c>
      <c r="M252" s="58"/>
      <c r="N252" s="58" t="s">
        <v>295</v>
      </c>
      <c r="O252" s="58"/>
      <c r="P252" s="63">
        <v>0.01</v>
      </c>
      <c r="Q252" s="63">
        <v>0.01</v>
      </c>
    </row>
    <row r="253" spans="2:17" ht="20.25" customHeight="1" x14ac:dyDescent="0.3">
      <c r="B253" s="59" t="s">
        <v>12</v>
      </c>
      <c r="C253" s="59" t="s">
        <v>60</v>
      </c>
      <c r="D253" s="62" t="str">
        <f t="shared" si="5"/>
        <v>BenzGLE</v>
      </c>
      <c r="E253" s="59" t="s">
        <v>464</v>
      </c>
      <c r="F253" s="60">
        <v>140000000</v>
      </c>
      <c r="G253" s="60">
        <v>2999</v>
      </c>
      <c r="H253" s="58" t="s">
        <v>241</v>
      </c>
      <c r="I253" s="58" t="s">
        <v>295</v>
      </c>
      <c r="J253" s="58" t="s">
        <v>1610</v>
      </c>
      <c r="K253" s="58" t="s">
        <v>1786</v>
      </c>
      <c r="L253" s="58" t="s">
        <v>432</v>
      </c>
      <c r="M253" s="58"/>
      <c r="N253" s="58" t="s">
        <v>295</v>
      </c>
      <c r="O253" s="58"/>
      <c r="P253" s="63">
        <v>0.01</v>
      </c>
      <c r="Q253" s="63">
        <v>0.01</v>
      </c>
    </row>
    <row r="254" spans="2:17" ht="20.25" customHeight="1" x14ac:dyDescent="0.3">
      <c r="B254" s="59" t="s">
        <v>12</v>
      </c>
      <c r="C254" s="59" t="s">
        <v>60</v>
      </c>
      <c r="D254" s="62" t="str">
        <f t="shared" si="5"/>
        <v>BenzGLE</v>
      </c>
      <c r="E254" s="59" t="s">
        <v>465</v>
      </c>
      <c r="F254" s="60">
        <v>137000000</v>
      </c>
      <c r="G254" s="60">
        <v>2989</v>
      </c>
      <c r="H254" s="58" t="s">
        <v>250</v>
      </c>
      <c r="I254" s="58" t="s">
        <v>295</v>
      </c>
      <c r="J254" s="58" t="s">
        <v>1610</v>
      </c>
      <c r="K254" s="58"/>
      <c r="L254" s="58" t="s">
        <v>432</v>
      </c>
      <c r="M254" s="58"/>
      <c r="N254" s="58" t="s">
        <v>295</v>
      </c>
      <c r="O254" s="58"/>
      <c r="P254" s="63"/>
      <c r="Q254" s="63"/>
    </row>
    <row r="255" spans="2:17" ht="20.25" customHeight="1" x14ac:dyDescent="0.3">
      <c r="B255" s="59" t="s">
        <v>12</v>
      </c>
      <c r="C255" s="59" t="s">
        <v>60</v>
      </c>
      <c r="D255" s="62" t="str">
        <f t="shared" si="5"/>
        <v>BenzGLE</v>
      </c>
      <c r="E255" s="59" t="s">
        <v>466</v>
      </c>
      <c r="F255" s="60">
        <v>143600000</v>
      </c>
      <c r="G255" s="60">
        <v>2999</v>
      </c>
      <c r="H255" s="58" t="s">
        <v>241</v>
      </c>
      <c r="I255" s="58" t="s">
        <v>295</v>
      </c>
      <c r="J255" s="58" t="s">
        <v>1613</v>
      </c>
      <c r="K255" s="58" t="s">
        <v>86</v>
      </c>
      <c r="L255" s="58"/>
      <c r="M255" s="58"/>
      <c r="N255" s="58" t="s">
        <v>295</v>
      </c>
      <c r="O255" s="58"/>
      <c r="P255" s="63"/>
      <c r="Q255" s="63"/>
    </row>
    <row r="256" spans="2:17" ht="20.25" customHeight="1" x14ac:dyDescent="0.3">
      <c r="B256" s="59" t="s">
        <v>12</v>
      </c>
      <c r="C256" s="59" t="s">
        <v>60</v>
      </c>
      <c r="D256" s="62" t="str">
        <f t="shared" si="5"/>
        <v>BenzGLE</v>
      </c>
      <c r="E256" s="59" t="s">
        <v>467</v>
      </c>
      <c r="F256" s="60">
        <v>147600000</v>
      </c>
      <c r="G256" s="60">
        <v>2999</v>
      </c>
      <c r="H256" s="58" t="s">
        <v>241</v>
      </c>
      <c r="I256" s="58" t="s">
        <v>295</v>
      </c>
      <c r="J256" s="58" t="s">
        <v>1613</v>
      </c>
      <c r="K256" s="58" t="s">
        <v>86</v>
      </c>
      <c r="L256" s="58"/>
      <c r="M256" s="58"/>
      <c r="N256" s="58" t="s">
        <v>295</v>
      </c>
      <c r="O256" s="58"/>
      <c r="P256" s="63"/>
      <c r="Q256" s="63"/>
    </row>
    <row r="257" spans="2:17" ht="20.25" customHeight="1" x14ac:dyDescent="0.3">
      <c r="B257" s="59" t="s">
        <v>12</v>
      </c>
      <c r="C257" s="59" t="s">
        <v>60</v>
      </c>
      <c r="D257" s="62" t="str">
        <f t="shared" si="5"/>
        <v>BenzGLE</v>
      </c>
      <c r="E257" s="59" t="s">
        <v>468</v>
      </c>
      <c r="F257" s="60">
        <v>183600000</v>
      </c>
      <c r="G257" s="60">
        <v>3982</v>
      </c>
      <c r="H257" s="58" t="s">
        <v>241</v>
      </c>
      <c r="I257" s="58" t="s">
        <v>295</v>
      </c>
      <c r="J257" s="58" t="s">
        <v>1613</v>
      </c>
      <c r="K257" s="58" t="s">
        <v>86</v>
      </c>
      <c r="L257" s="58"/>
      <c r="M257" s="58"/>
      <c r="N257" s="58" t="s">
        <v>295</v>
      </c>
      <c r="O257" s="58"/>
      <c r="P257" s="63"/>
      <c r="Q257" s="63"/>
    </row>
    <row r="258" spans="2:17" ht="20.25" customHeight="1" x14ac:dyDescent="0.3">
      <c r="B258" s="59" t="s">
        <v>12</v>
      </c>
      <c r="C258" s="59" t="s">
        <v>61</v>
      </c>
      <c r="D258" s="62" t="str">
        <f t="shared" si="5"/>
        <v>BenzGLS</v>
      </c>
      <c r="E258" s="59" t="s">
        <v>469</v>
      </c>
      <c r="F258" s="60">
        <v>141100000</v>
      </c>
      <c r="G258" s="60">
        <v>2925</v>
      </c>
      <c r="H258" s="58" t="s">
        <v>250</v>
      </c>
      <c r="I258" s="58" t="s">
        <v>322</v>
      </c>
      <c r="J258" s="58" t="s">
        <v>1515</v>
      </c>
      <c r="K258" s="58"/>
      <c r="L258" s="58"/>
      <c r="M258" s="58" t="s">
        <v>471</v>
      </c>
      <c r="N258" s="58" t="s">
        <v>322</v>
      </c>
      <c r="O258" s="58"/>
      <c r="P258" s="63"/>
      <c r="Q258" s="63"/>
    </row>
    <row r="259" spans="2:17" ht="20.25" customHeight="1" x14ac:dyDescent="0.3">
      <c r="B259" s="59" t="s">
        <v>12</v>
      </c>
      <c r="C259" s="59" t="s">
        <v>61</v>
      </c>
      <c r="D259" s="62" t="str">
        <f t="shared" si="5"/>
        <v>BenzGLS</v>
      </c>
      <c r="E259" s="59" t="s">
        <v>472</v>
      </c>
      <c r="F259" s="60">
        <v>161600000</v>
      </c>
      <c r="G259" s="60">
        <v>2989</v>
      </c>
      <c r="H259" s="58" t="s">
        <v>250</v>
      </c>
      <c r="I259" s="58" t="s">
        <v>322</v>
      </c>
      <c r="J259" s="58" t="s">
        <v>1515</v>
      </c>
      <c r="K259" s="58"/>
      <c r="L259" s="58"/>
      <c r="M259" s="58" t="s">
        <v>471</v>
      </c>
      <c r="N259" s="58" t="s">
        <v>322</v>
      </c>
      <c r="O259" s="58"/>
      <c r="P259" s="63"/>
      <c r="Q259" s="63"/>
    </row>
    <row r="260" spans="2:17" ht="20.25" customHeight="1" x14ac:dyDescent="0.3">
      <c r="B260" s="59" t="s">
        <v>12</v>
      </c>
      <c r="C260" s="59" t="s">
        <v>61</v>
      </c>
      <c r="D260" s="62" t="str">
        <f t="shared" si="5"/>
        <v>BenzGLS</v>
      </c>
      <c r="E260" s="59" t="s">
        <v>473</v>
      </c>
      <c r="F260" s="60">
        <v>155000000</v>
      </c>
      <c r="G260" s="60">
        <v>2998</v>
      </c>
      <c r="H260" s="58" t="s">
        <v>241</v>
      </c>
      <c r="I260" s="58" t="s">
        <v>322</v>
      </c>
      <c r="J260" s="58" t="s">
        <v>1515</v>
      </c>
      <c r="K260" s="58"/>
      <c r="L260" s="58"/>
      <c r="M260" s="58" t="s">
        <v>471</v>
      </c>
      <c r="N260" s="58" t="s">
        <v>322</v>
      </c>
      <c r="O260" s="58"/>
      <c r="P260" s="63"/>
      <c r="Q260" s="63"/>
    </row>
    <row r="261" spans="2:17" ht="20.25" customHeight="1" x14ac:dyDescent="0.3">
      <c r="B261" s="59" t="s">
        <v>12</v>
      </c>
      <c r="C261" s="59" t="s">
        <v>61</v>
      </c>
      <c r="D261" s="62" t="str">
        <f t="shared" si="5"/>
        <v>BenzGLS</v>
      </c>
      <c r="E261" s="59" t="s">
        <v>474</v>
      </c>
      <c r="F261" s="60">
        <v>167600000</v>
      </c>
      <c r="G261" s="60">
        <v>3982</v>
      </c>
      <c r="H261" s="58" t="s">
        <v>241</v>
      </c>
      <c r="I261" s="58" t="s">
        <v>322</v>
      </c>
      <c r="J261" s="58" t="s">
        <v>1515</v>
      </c>
      <c r="K261" s="58"/>
      <c r="L261" s="58"/>
      <c r="M261" s="58" t="s">
        <v>471</v>
      </c>
      <c r="N261" s="58" t="s">
        <v>322</v>
      </c>
      <c r="O261" s="58"/>
      <c r="P261" s="63"/>
      <c r="Q261" s="63"/>
    </row>
    <row r="262" spans="2:17" ht="20.25" customHeight="1" x14ac:dyDescent="0.3">
      <c r="B262" s="59" t="s">
        <v>12</v>
      </c>
      <c r="C262" s="59" t="s">
        <v>61</v>
      </c>
      <c r="D262" s="62" t="str">
        <f t="shared" si="5"/>
        <v>BenzGLS</v>
      </c>
      <c r="E262" s="59" t="s">
        <v>475</v>
      </c>
      <c r="F262" s="60">
        <v>260600000</v>
      </c>
      <c r="G262" s="60">
        <v>3982</v>
      </c>
      <c r="H262" s="58" t="s">
        <v>241</v>
      </c>
      <c r="I262" s="58" t="s">
        <v>322</v>
      </c>
      <c r="J262" s="58" t="s">
        <v>1515</v>
      </c>
      <c r="K262" s="58"/>
      <c r="L262" s="58"/>
      <c r="M262" s="58" t="s">
        <v>476</v>
      </c>
      <c r="N262" s="58" t="s">
        <v>322</v>
      </c>
      <c r="O262" s="58"/>
      <c r="P262" s="63"/>
      <c r="Q262" s="63"/>
    </row>
    <row r="263" spans="2:17" ht="20.25" customHeight="1" x14ac:dyDescent="0.3">
      <c r="B263" s="59" t="s">
        <v>12</v>
      </c>
      <c r="C263" s="59" t="s">
        <v>62</v>
      </c>
      <c r="D263" s="62" t="str">
        <f t="shared" si="5"/>
        <v>BenzG</v>
      </c>
      <c r="E263" s="59" t="s">
        <v>477</v>
      </c>
      <c r="F263" s="60">
        <v>236600000</v>
      </c>
      <c r="G263" s="60">
        <v>3982</v>
      </c>
      <c r="H263" s="58" t="s">
        <v>241</v>
      </c>
      <c r="I263" s="58" t="s">
        <v>295</v>
      </c>
      <c r="J263" s="58" t="s">
        <v>1246</v>
      </c>
      <c r="K263" s="58"/>
      <c r="L263" s="58"/>
      <c r="M263" s="58" t="s">
        <v>471</v>
      </c>
      <c r="N263" s="58" t="s">
        <v>295</v>
      </c>
      <c r="O263" s="58"/>
      <c r="P263" s="63"/>
      <c r="Q263" s="63"/>
    </row>
    <row r="264" spans="2:17" ht="20.25" customHeight="1" x14ac:dyDescent="0.3">
      <c r="B264" s="59" t="s">
        <v>12</v>
      </c>
      <c r="C264" s="59" t="s">
        <v>62</v>
      </c>
      <c r="D264" s="62" t="str">
        <f t="shared" si="5"/>
        <v>BenzG</v>
      </c>
      <c r="E264" s="59" t="s">
        <v>478</v>
      </c>
      <c r="F264" s="60">
        <v>257600000</v>
      </c>
      <c r="G264" s="60">
        <v>3982</v>
      </c>
      <c r="H264" s="58" t="s">
        <v>241</v>
      </c>
      <c r="I264" s="58" t="s">
        <v>295</v>
      </c>
      <c r="J264" s="58" t="s">
        <v>1246</v>
      </c>
      <c r="K264" s="58"/>
      <c r="L264" s="58"/>
      <c r="M264" s="58" t="s">
        <v>471</v>
      </c>
      <c r="N264" s="58" t="s">
        <v>295</v>
      </c>
      <c r="O264" s="58"/>
      <c r="P264" s="63"/>
      <c r="Q264" s="63"/>
    </row>
    <row r="265" spans="2:17" ht="20.25" customHeight="1" x14ac:dyDescent="0.3">
      <c r="B265" s="59" t="s">
        <v>12</v>
      </c>
      <c r="C265" s="59" t="s">
        <v>62</v>
      </c>
      <c r="D265" s="62" t="str">
        <f t="shared" si="5"/>
        <v>BenzG</v>
      </c>
      <c r="E265" s="59" t="s">
        <v>479</v>
      </c>
      <c r="F265" s="60">
        <v>185000000</v>
      </c>
      <c r="G265" s="60">
        <v>2989</v>
      </c>
      <c r="H265" s="58" t="s">
        <v>250</v>
      </c>
      <c r="I265" s="58" t="s">
        <v>295</v>
      </c>
      <c r="J265" s="58" t="s">
        <v>1246</v>
      </c>
      <c r="K265" s="58"/>
      <c r="L265" s="58"/>
      <c r="M265" s="58" t="s">
        <v>471</v>
      </c>
      <c r="N265" s="58" t="s">
        <v>295</v>
      </c>
      <c r="O265" s="58"/>
      <c r="P265" s="63"/>
      <c r="Q265" s="63"/>
    </row>
    <row r="266" spans="2:17" ht="20.25" customHeight="1" x14ac:dyDescent="0.3">
      <c r="B266" s="59" t="s">
        <v>12</v>
      </c>
      <c r="C266" s="59" t="s">
        <v>62</v>
      </c>
      <c r="D266" s="62" t="str">
        <f t="shared" si="5"/>
        <v>BenzG</v>
      </c>
      <c r="E266" s="59" t="s">
        <v>480</v>
      </c>
      <c r="F266" s="60">
        <v>172600000</v>
      </c>
      <c r="G266" s="60">
        <v>2925</v>
      </c>
      <c r="H266" s="58" t="s">
        <v>250</v>
      </c>
      <c r="I266" s="58" t="s">
        <v>295</v>
      </c>
      <c r="J266" s="58" t="s">
        <v>1246</v>
      </c>
      <c r="K266" s="58"/>
      <c r="L266" s="58"/>
      <c r="M266" s="58" t="s">
        <v>471</v>
      </c>
      <c r="N266" s="58" t="s">
        <v>295</v>
      </c>
      <c r="O266" s="58"/>
      <c r="P266" s="63"/>
      <c r="Q266" s="63"/>
    </row>
    <row r="267" spans="2:17" ht="20.25" customHeight="1" x14ac:dyDescent="0.3">
      <c r="B267" s="59" t="s">
        <v>12</v>
      </c>
      <c r="C267" s="59" t="s">
        <v>62</v>
      </c>
      <c r="D267" s="62" t="str">
        <f t="shared" si="5"/>
        <v>BenzG</v>
      </c>
      <c r="E267" s="59" t="s">
        <v>481</v>
      </c>
      <c r="F267" s="60">
        <v>239000000</v>
      </c>
      <c r="G267" s="60">
        <v>0</v>
      </c>
      <c r="H267" s="58" t="s">
        <v>308</v>
      </c>
      <c r="I267" s="58" t="s">
        <v>295</v>
      </c>
      <c r="J267" s="58" t="s">
        <v>1615</v>
      </c>
      <c r="K267" s="58"/>
      <c r="L267" s="58"/>
      <c r="M267" s="58" t="s">
        <v>1502</v>
      </c>
      <c r="N267" s="58" t="s">
        <v>295</v>
      </c>
      <c r="O267" s="58"/>
      <c r="P267" s="63"/>
      <c r="Q267" s="63"/>
    </row>
    <row r="268" spans="2:17" ht="20.25" customHeight="1" x14ac:dyDescent="0.3">
      <c r="B268" s="59" t="s">
        <v>12</v>
      </c>
      <c r="C268" s="59" t="s">
        <v>63</v>
      </c>
      <c r="D268" s="62" t="str">
        <f t="shared" si="5"/>
        <v>BenzGT</v>
      </c>
      <c r="E268" s="59" t="s">
        <v>482</v>
      </c>
      <c r="F268" s="60">
        <v>219600000</v>
      </c>
      <c r="G268" s="60">
        <v>3982</v>
      </c>
      <c r="H268" s="58" t="s">
        <v>241</v>
      </c>
      <c r="I268" s="58" t="s">
        <v>242</v>
      </c>
      <c r="J268" s="58" t="s">
        <v>1613</v>
      </c>
      <c r="K268" s="58" t="s">
        <v>86</v>
      </c>
      <c r="L268" s="58"/>
      <c r="M268" s="58"/>
      <c r="N268" s="58" t="s">
        <v>242</v>
      </c>
      <c r="O268" s="58"/>
      <c r="P268" s="63"/>
      <c r="Q268" s="63"/>
    </row>
    <row r="269" spans="2:17" ht="20.25" customHeight="1" x14ac:dyDescent="0.3">
      <c r="B269" s="59" t="s">
        <v>12</v>
      </c>
      <c r="C269" s="59" t="s">
        <v>63</v>
      </c>
      <c r="D269" s="62" t="str">
        <f t="shared" si="5"/>
        <v>BenzGT</v>
      </c>
      <c r="E269" s="59" t="s">
        <v>483</v>
      </c>
      <c r="F269" s="60">
        <v>253600000</v>
      </c>
      <c r="G269" s="60">
        <v>3982</v>
      </c>
      <c r="H269" s="58" t="s">
        <v>241</v>
      </c>
      <c r="I269" s="58" t="s">
        <v>242</v>
      </c>
      <c r="J269" s="58" t="s">
        <v>1613</v>
      </c>
      <c r="K269" s="58" t="s">
        <v>86</v>
      </c>
      <c r="L269" s="58"/>
      <c r="M269" s="58"/>
      <c r="N269" s="58" t="s">
        <v>242</v>
      </c>
      <c r="O269" s="58"/>
      <c r="P269" s="63"/>
      <c r="Q269" s="63"/>
    </row>
    <row r="270" spans="2:17" ht="20.25" customHeight="1" x14ac:dyDescent="0.3">
      <c r="B270" s="59" t="s">
        <v>12</v>
      </c>
      <c r="C270" s="59" t="s">
        <v>63</v>
      </c>
      <c r="D270" s="62" t="str">
        <f t="shared" si="5"/>
        <v>BenzGT</v>
      </c>
      <c r="E270" s="59" t="s">
        <v>484</v>
      </c>
      <c r="F270" s="60">
        <v>182600000</v>
      </c>
      <c r="G270" s="60">
        <v>3982</v>
      </c>
      <c r="H270" s="58" t="s">
        <v>241</v>
      </c>
      <c r="I270" s="58" t="s">
        <v>242</v>
      </c>
      <c r="J270" s="58" t="s">
        <v>1613</v>
      </c>
      <c r="K270" s="58" t="s">
        <v>86</v>
      </c>
      <c r="L270" s="58"/>
      <c r="M270" s="58"/>
      <c r="N270" s="58" t="s">
        <v>242</v>
      </c>
      <c r="O270" s="58"/>
      <c r="P270" s="63"/>
      <c r="Q270" s="63"/>
    </row>
    <row r="271" spans="2:17" ht="20.25" customHeight="1" x14ac:dyDescent="0.3">
      <c r="B271" s="59" t="s">
        <v>12</v>
      </c>
      <c r="C271" s="59" t="s">
        <v>63</v>
      </c>
      <c r="D271" s="62" t="str">
        <f t="shared" si="5"/>
        <v>BenzGT</v>
      </c>
      <c r="E271" s="59" t="s">
        <v>485</v>
      </c>
      <c r="F271" s="60">
        <v>154200000</v>
      </c>
      <c r="G271" s="60">
        <v>2999</v>
      </c>
      <c r="H271" s="58" t="s">
        <v>241</v>
      </c>
      <c r="I271" s="58" t="s">
        <v>242</v>
      </c>
      <c r="J271" s="58" t="s">
        <v>1613</v>
      </c>
      <c r="K271" s="58" t="s">
        <v>86</v>
      </c>
      <c r="L271" s="58"/>
      <c r="M271" s="58"/>
      <c r="N271" s="58" t="s">
        <v>242</v>
      </c>
      <c r="O271" s="58"/>
      <c r="P271" s="63"/>
      <c r="Q271" s="63"/>
    </row>
    <row r="272" spans="2:17" ht="20.25" customHeight="1" x14ac:dyDescent="0.3">
      <c r="B272" s="59" t="s">
        <v>12</v>
      </c>
      <c r="C272" s="59" t="s">
        <v>63</v>
      </c>
      <c r="D272" s="62" t="str">
        <f t="shared" si="5"/>
        <v>BenzGT</v>
      </c>
      <c r="E272" s="59" t="s">
        <v>486</v>
      </c>
      <c r="F272" s="60">
        <v>246000000</v>
      </c>
      <c r="G272" s="60">
        <v>3982</v>
      </c>
      <c r="H272" s="58" t="s">
        <v>241</v>
      </c>
      <c r="I272" s="58" t="s">
        <v>242</v>
      </c>
      <c r="J272" s="58" t="s">
        <v>1613</v>
      </c>
      <c r="K272" s="58" t="s">
        <v>86</v>
      </c>
      <c r="L272" s="58"/>
      <c r="M272" s="58"/>
      <c r="N272" s="58" t="s">
        <v>242</v>
      </c>
      <c r="O272" s="58"/>
      <c r="P272" s="63"/>
      <c r="Q272" s="63"/>
    </row>
    <row r="273" spans="2:17" ht="20.25" customHeight="1" x14ac:dyDescent="0.3">
      <c r="B273" s="59" t="s">
        <v>12</v>
      </c>
      <c r="C273" s="59" t="s">
        <v>53</v>
      </c>
      <c r="D273" s="62" t="str">
        <f t="shared" si="5"/>
        <v>BenzS_class</v>
      </c>
      <c r="E273" s="59" t="s">
        <v>487</v>
      </c>
      <c r="F273" s="60">
        <v>146400000</v>
      </c>
      <c r="G273" s="60">
        <v>2925</v>
      </c>
      <c r="H273" s="58" t="s">
        <v>250</v>
      </c>
      <c r="I273" s="58" t="s">
        <v>242</v>
      </c>
      <c r="J273" s="58" t="s">
        <v>1246</v>
      </c>
      <c r="K273" s="58"/>
      <c r="L273" s="58" t="s">
        <v>379</v>
      </c>
      <c r="M273" s="58"/>
      <c r="N273" s="58" t="s">
        <v>242</v>
      </c>
      <c r="O273" s="58"/>
      <c r="P273" s="63"/>
      <c r="Q273" s="63"/>
    </row>
    <row r="274" spans="2:17" ht="20.25" customHeight="1" x14ac:dyDescent="0.3">
      <c r="B274" s="59" t="s">
        <v>12</v>
      </c>
      <c r="C274" s="59" t="s">
        <v>53</v>
      </c>
      <c r="D274" s="62" t="str">
        <f t="shared" si="5"/>
        <v>BenzS_class</v>
      </c>
      <c r="E274" s="59" t="s">
        <v>488</v>
      </c>
      <c r="F274" s="60">
        <v>171500000</v>
      </c>
      <c r="G274" s="60">
        <v>2925</v>
      </c>
      <c r="H274" s="58" t="s">
        <v>250</v>
      </c>
      <c r="I274" s="58" t="s">
        <v>242</v>
      </c>
      <c r="J274" s="58" t="s">
        <v>1246</v>
      </c>
      <c r="K274" s="58"/>
      <c r="L274" s="58" t="s">
        <v>379</v>
      </c>
      <c r="M274" s="58"/>
      <c r="N274" s="58" t="s">
        <v>242</v>
      </c>
      <c r="O274" s="58"/>
      <c r="P274" s="63"/>
      <c r="Q274" s="63"/>
    </row>
    <row r="275" spans="2:17" ht="20.25" customHeight="1" x14ac:dyDescent="0.3">
      <c r="B275" s="59" t="s">
        <v>12</v>
      </c>
      <c r="C275" s="59" t="s">
        <v>53</v>
      </c>
      <c r="D275" s="62" t="str">
        <f t="shared" si="5"/>
        <v>BenzS_class</v>
      </c>
      <c r="E275" s="59" t="s">
        <v>489</v>
      </c>
      <c r="F275" s="60">
        <v>159500000</v>
      </c>
      <c r="G275" s="60">
        <v>2989</v>
      </c>
      <c r="H275" s="58" t="s">
        <v>250</v>
      </c>
      <c r="I275" s="58" t="s">
        <v>242</v>
      </c>
      <c r="J275" s="58" t="s">
        <v>1611</v>
      </c>
      <c r="K275" s="58"/>
      <c r="L275" s="58" t="s">
        <v>379</v>
      </c>
      <c r="M275" s="58"/>
      <c r="N275" s="58" t="s">
        <v>242</v>
      </c>
      <c r="O275" s="58"/>
      <c r="P275" s="63"/>
      <c r="Q275" s="63"/>
    </row>
    <row r="276" spans="2:17" ht="20.25" customHeight="1" x14ac:dyDescent="0.3">
      <c r="B276" s="59" t="s">
        <v>12</v>
      </c>
      <c r="C276" s="59" t="s">
        <v>53</v>
      </c>
      <c r="D276" s="62" t="str">
        <f t="shared" si="5"/>
        <v>BenzS_class</v>
      </c>
      <c r="E276" s="59" t="s">
        <v>490</v>
      </c>
      <c r="F276" s="60">
        <v>178500000</v>
      </c>
      <c r="G276" s="60">
        <v>2989</v>
      </c>
      <c r="H276" s="58" t="s">
        <v>250</v>
      </c>
      <c r="I276" s="58" t="s">
        <v>242</v>
      </c>
      <c r="J276" s="58" t="s">
        <v>1611</v>
      </c>
      <c r="K276" s="58"/>
      <c r="L276" s="58" t="s">
        <v>379</v>
      </c>
      <c r="M276" s="58"/>
      <c r="N276" s="58" t="s">
        <v>242</v>
      </c>
      <c r="O276" s="58"/>
      <c r="P276" s="63"/>
      <c r="Q276" s="63"/>
    </row>
    <row r="277" spans="2:17" ht="20.25" customHeight="1" x14ac:dyDescent="0.3">
      <c r="B277" s="59" t="s">
        <v>12</v>
      </c>
      <c r="C277" s="59" t="s">
        <v>53</v>
      </c>
      <c r="D277" s="62" t="str">
        <f t="shared" si="5"/>
        <v>BenzS_class</v>
      </c>
      <c r="E277" s="59" t="s">
        <v>491</v>
      </c>
      <c r="F277" s="60">
        <v>177900000</v>
      </c>
      <c r="G277" s="60">
        <v>2999</v>
      </c>
      <c r="H277" s="58" t="s">
        <v>241</v>
      </c>
      <c r="I277" s="58" t="s">
        <v>242</v>
      </c>
      <c r="J277" s="58" t="s">
        <v>1611</v>
      </c>
      <c r="K277" s="58"/>
      <c r="L277" s="58" t="s">
        <v>379</v>
      </c>
      <c r="M277" s="58"/>
      <c r="N277" s="58" t="s">
        <v>242</v>
      </c>
      <c r="O277" s="58"/>
      <c r="P277" s="63"/>
      <c r="Q277" s="63"/>
    </row>
    <row r="278" spans="2:17" ht="20.25" customHeight="1" x14ac:dyDescent="0.3">
      <c r="B278" s="59" t="s">
        <v>12</v>
      </c>
      <c r="C278" s="59" t="s">
        <v>53</v>
      </c>
      <c r="D278" s="62" t="str">
        <f t="shared" si="5"/>
        <v>BenzS_class</v>
      </c>
      <c r="E278" s="59" t="s">
        <v>492</v>
      </c>
      <c r="F278" s="60">
        <v>199100000</v>
      </c>
      <c r="G278" s="60">
        <v>2999</v>
      </c>
      <c r="H278" s="58" t="s">
        <v>241</v>
      </c>
      <c r="I278" s="58" t="s">
        <v>242</v>
      </c>
      <c r="J278" s="58" t="s">
        <v>1612</v>
      </c>
      <c r="K278" s="58"/>
      <c r="L278" s="58" t="s">
        <v>355</v>
      </c>
      <c r="M278" s="58"/>
      <c r="N278" s="58" t="s">
        <v>242</v>
      </c>
      <c r="O278" s="58"/>
      <c r="P278" s="63"/>
      <c r="Q278" s="63"/>
    </row>
    <row r="279" spans="2:17" ht="20.25" customHeight="1" x14ac:dyDescent="0.3">
      <c r="B279" s="59" t="s">
        <v>12</v>
      </c>
      <c r="C279" s="59" t="s">
        <v>53</v>
      </c>
      <c r="D279" s="62" t="str">
        <f t="shared" si="5"/>
        <v>BenzS_class</v>
      </c>
      <c r="E279" s="59" t="s">
        <v>493</v>
      </c>
      <c r="F279" s="60">
        <v>241700000</v>
      </c>
      <c r="G279" s="60">
        <v>3982</v>
      </c>
      <c r="H279" s="58" t="s">
        <v>241</v>
      </c>
      <c r="I279" s="58" t="s">
        <v>242</v>
      </c>
      <c r="J279" s="58" t="s">
        <v>1612</v>
      </c>
      <c r="K279" s="58"/>
      <c r="L279" s="58" t="s">
        <v>355</v>
      </c>
      <c r="M279" s="58"/>
      <c r="N279" s="58" t="s">
        <v>242</v>
      </c>
      <c r="O279" s="58"/>
      <c r="P279" s="63"/>
      <c r="Q279" s="63"/>
    </row>
    <row r="280" spans="2:17" ht="20.25" customHeight="1" x14ac:dyDescent="0.3">
      <c r="B280" s="59" t="s">
        <v>12</v>
      </c>
      <c r="C280" s="59" t="s">
        <v>53</v>
      </c>
      <c r="D280" s="62" t="str">
        <f t="shared" si="5"/>
        <v>BenzS_class</v>
      </c>
      <c r="E280" s="59" t="s">
        <v>494</v>
      </c>
      <c r="F280" s="60">
        <v>151600000</v>
      </c>
      <c r="G280" s="60">
        <v>2996</v>
      </c>
      <c r="H280" s="58" t="s">
        <v>241</v>
      </c>
      <c r="I280" s="58" t="s">
        <v>242</v>
      </c>
      <c r="J280" s="58" t="s">
        <v>1246</v>
      </c>
      <c r="K280" s="58"/>
      <c r="L280" s="58" t="s">
        <v>379</v>
      </c>
      <c r="M280" s="58"/>
      <c r="N280" s="58" t="s">
        <v>242</v>
      </c>
      <c r="O280" s="58"/>
      <c r="P280" s="63"/>
      <c r="Q280" s="63"/>
    </row>
    <row r="281" spans="2:17" ht="20.25" customHeight="1" x14ac:dyDescent="0.3">
      <c r="B281" s="59" t="s">
        <v>12</v>
      </c>
      <c r="C281" s="59" t="s">
        <v>53</v>
      </c>
      <c r="D281" s="62" t="str">
        <f t="shared" si="5"/>
        <v>BenzS_class</v>
      </c>
      <c r="E281" s="59" t="s">
        <v>495</v>
      </c>
      <c r="F281" s="60">
        <v>134600000</v>
      </c>
      <c r="G281" s="60">
        <v>2925</v>
      </c>
      <c r="H281" s="58" t="s">
        <v>250</v>
      </c>
      <c r="I281" s="58" t="s">
        <v>242</v>
      </c>
      <c r="J281" s="58" t="s">
        <v>1246</v>
      </c>
      <c r="K281" s="58"/>
      <c r="L281" s="58" t="s">
        <v>379</v>
      </c>
      <c r="M281" s="58"/>
      <c r="N281" s="58" t="s">
        <v>242</v>
      </c>
      <c r="O281" s="58"/>
      <c r="P281" s="63"/>
      <c r="Q281" s="63"/>
    </row>
    <row r="282" spans="2:17" ht="20.25" customHeight="1" x14ac:dyDescent="0.3">
      <c r="B282" s="59" t="s">
        <v>12</v>
      </c>
      <c r="C282" s="59" t="s">
        <v>53</v>
      </c>
      <c r="D282" s="62" t="str">
        <f t="shared" si="5"/>
        <v>BenzS_class</v>
      </c>
      <c r="E282" s="59" t="s">
        <v>496</v>
      </c>
      <c r="F282" s="60">
        <v>155600000</v>
      </c>
      <c r="G282" s="60">
        <v>2996</v>
      </c>
      <c r="H282" s="58" t="s">
        <v>241</v>
      </c>
      <c r="I282" s="58" t="s">
        <v>242</v>
      </c>
      <c r="J282" s="58" t="s">
        <v>1611</v>
      </c>
      <c r="K282" s="58"/>
      <c r="L282" s="58" t="s">
        <v>379</v>
      </c>
      <c r="M282" s="58"/>
      <c r="N282" s="58" t="s">
        <v>242</v>
      </c>
      <c r="O282" s="58"/>
      <c r="P282" s="63"/>
      <c r="Q282" s="63"/>
    </row>
    <row r="283" spans="2:17" ht="20.25" customHeight="1" x14ac:dyDescent="0.3">
      <c r="B283" s="59" t="s">
        <v>12</v>
      </c>
      <c r="C283" s="59" t="s">
        <v>53</v>
      </c>
      <c r="D283" s="62" t="str">
        <f t="shared" si="5"/>
        <v>BenzS_class</v>
      </c>
      <c r="E283" s="59" t="s">
        <v>497</v>
      </c>
      <c r="F283" s="60">
        <v>240600000</v>
      </c>
      <c r="G283" s="60">
        <v>2996</v>
      </c>
      <c r="H283" s="58" t="s">
        <v>241</v>
      </c>
      <c r="I283" s="58" t="s">
        <v>242</v>
      </c>
      <c r="J283" s="58" t="s">
        <v>1614</v>
      </c>
      <c r="K283" s="58"/>
      <c r="L283" s="58" t="s">
        <v>246</v>
      </c>
      <c r="M283" s="58"/>
      <c r="N283" s="58" t="s">
        <v>242</v>
      </c>
      <c r="O283" s="58"/>
      <c r="P283" s="63"/>
      <c r="Q283" s="63"/>
    </row>
    <row r="284" spans="2:17" ht="20.25" customHeight="1" x14ac:dyDescent="0.3">
      <c r="B284" s="59" t="s">
        <v>12</v>
      </c>
      <c r="C284" s="59" t="s">
        <v>53</v>
      </c>
      <c r="D284" s="62" t="str">
        <f t="shared" si="5"/>
        <v>BenzS_class</v>
      </c>
      <c r="E284" s="59" t="s">
        <v>498</v>
      </c>
      <c r="F284" s="60">
        <v>209600000</v>
      </c>
      <c r="G284" s="60">
        <v>3982</v>
      </c>
      <c r="H284" s="58" t="s">
        <v>241</v>
      </c>
      <c r="I284" s="58" t="s">
        <v>242</v>
      </c>
      <c r="J284" s="58" t="s">
        <v>1612</v>
      </c>
      <c r="K284" s="58"/>
      <c r="L284" s="58" t="s">
        <v>355</v>
      </c>
      <c r="M284" s="58"/>
      <c r="N284" s="58" t="s">
        <v>242</v>
      </c>
      <c r="O284" s="58"/>
      <c r="P284" s="63"/>
      <c r="Q284" s="63"/>
    </row>
    <row r="285" spans="2:17" ht="20.25" customHeight="1" x14ac:dyDescent="0.3">
      <c r="B285" s="59" t="s">
        <v>12</v>
      </c>
      <c r="C285" s="59" t="s">
        <v>53</v>
      </c>
      <c r="D285" s="62" t="str">
        <f t="shared" si="5"/>
        <v>BenzS_class</v>
      </c>
      <c r="E285" s="59" t="s">
        <v>499</v>
      </c>
      <c r="F285" s="60">
        <v>293600000</v>
      </c>
      <c r="G285" s="60">
        <v>3982</v>
      </c>
      <c r="H285" s="58" t="s">
        <v>241</v>
      </c>
      <c r="I285" s="58" t="s">
        <v>242</v>
      </c>
      <c r="J285" s="58" t="s">
        <v>1515</v>
      </c>
      <c r="K285" s="58" t="s">
        <v>284</v>
      </c>
      <c r="L285" s="58"/>
      <c r="M285" s="58"/>
      <c r="N285" s="58" t="s">
        <v>242</v>
      </c>
      <c r="O285" s="58"/>
      <c r="P285" s="63"/>
      <c r="Q285" s="63"/>
    </row>
    <row r="286" spans="2:17" ht="20.25" customHeight="1" x14ac:dyDescent="0.3">
      <c r="B286" s="59" t="s">
        <v>12</v>
      </c>
      <c r="C286" s="59" t="s">
        <v>53</v>
      </c>
      <c r="D286" s="62" t="str">
        <f t="shared" si="5"/>
        <v>BenzS_class</v>
      </c>
      <c r="E286" s="59" t="s">
        <v>500</v>
      </c>
      <c r="F286" s="60">
        <v>320600000</v>
      </c>
      <c r="G286" s="60">
        <v>5980</v>
      </c>
      <c r="H286" s="58" t="s">
        <v>241</v>
      </c>
      <c r="I286" s="58" t="s">
        <v>242</v>
      </c>
      <c r="J286" s="58" t="s">
        <v>1515</v>
      </c>
      <c r="K286" s="58" t="s">
        <v>284</v>
      </c>
      <c r="L286" s="58"/>
      <c r="M286" s="58"/>
      <c r="N286" s="58" t="s">
        <v>242</v>
      </c>
      <c r="O286" s="58"/>
      <c r="P286" s="63"/>
      <c r="Q286" s="63"/>
    </row>
    <row r="287" spans="2:17" ht="20.25" customHeight="1" x14ac:dyDescent="0.3">
      <c r="B287" s="59" t="s">
        <v>12</v>
      </c>
      <c r="C287" s="59" t="s">
        <v>53</v>
      </c>
      <c r="D287" s="62" t="str">
        <f t="shared" si="5"/>
        <v>BenzS_class</v>
      </c>
      <c r="E287" s="59" t="s">
        <v>501</v>
      </c>
      <c r="F287" s="60">
        <v>373600000</v>
      </c>
      <c r="G287" s="60">
        <v>5980</v>
      </c>
      <c r="H287" s="58" t="s">
        <v>241</v>
      </c>
      <c r="I287" s="58" t="s">
        <v>242</v>
      </c>
      <c r="J287" s="58" t="s">
        <v>1515</v>
      </c>
      <c r="K287" s="58" t="s">
        <v>284</v>
      </c>
      <c r="L287" s="58"/>
      <c r="M287" s="58"/>
      <c r="N287" s="58" t="s">
        <v>242</v>
      </c>
      <c r="O287" s="58"/>
      <c r="P287" s="63"/>
      <c r="Q287" s="63"/>
    </row>
    <row r="288" spans="2:17" ht="20.25" customHeight="1" x14ac:dyDescent="0.3">
      <c r="B288" s="59" t="s">
        <v>12</v>
      </c>
      <c r="C288" s="59" t="s">
        <v>53</v>
      </c>
      <c r="D288" s="62" t="str">
        <f t="shared" si="5"/>
        <v>BenzS_class</v>
      </c>
      <c r="E288" s="59" t="s">
        <v>502</v>
      </c>
      <c r="F288" s="60">
        <v>935600000</v>
      </c>
      <c r="G288" s="60">
        <v>5980</v>
      </c>
      <c r="H288" s="58" t="s">
        <v>241</v>
      </c>
      <c r="I288" s="58" t="s">
        <v>242</v>
      </c>
      <c r="J288" s="58"/>
      <c r="K288" s="58"/>
      <c r="L288" s="58"/>
      <c r="M288" s="58"/>
      <c r="N288" s="58" t="s">
        <v>242</v>
      </c>
      <c r="O288" s="58" t="s">
        <v>1503</v>
      </c>
      <c r="P288" s="63"/>
      <c r="Q288" s="63"/>
    </row>
    <row r="289" spans="2:17" ht="20.25" customHeight="1" x14ac:dyDescent="0.3">
      <c r="B289" s="59" t="s">
        <v>12</v>
      </c>
      <c r="C289" s="59" t="s">
        <v>53</v>
      </c>
      <c r="D289" s="62" t="str">
        <f t="shared" si="5"/>
        <v>BenzS_class</v>
      </c>
      <c r="E289" s="59" t="s">
        <v>503</v>
      </c>
      <c r="F289" s="60">
        <v>246600000</v>
      </c>
      <c r="G289" s="60">
        <v>3982</v>
      </c>
      <c r="H289" s="58" t="s">
        <v>241</v>
      </c>
      <c r="I289" s="58" t="s">
        <v>242</v>
      </c>
      <c r="J289" s="58" t="s">
        <v>1613</v>
      </c>
      <c r="K289" s="58" t="s">
        <v>504</v>
      </c>
      <c r="L289" s="58"/>
      <c r="M289" s="58"/>
      <c r="N289" s="58" t="s">
        <v>242</v>
      </c>
      <c r="O289" s="58"/>
      <c r="P289" s="63"/>
      <c r="Q289" s="63"/>
    </row>
    <row r="290" spans="2:17" ht="20.25" customHeight="1" x14ac:dyDescent="0.3">
      <c r="B290" s="59" t="s">
        <v>12</v>
      </c>
      <c r="C290" s="59" t="s">
        <v>53</v>
      </c>
      <c r="D290" s="62" t="str">
        <f t="shared" si="5"/>
        <v>BenzS_class</v>
      </c>
      <c r="E290" s="59" t="s">
        <v>505</v>
      </c>
      <c r="F290" s="60">
        <v>227600000</v>
      </c>
      <c r="G290" s="60">
        <v>3982</v>
      </c>
      <c r="H290" s="58" t="s">
        <v>241</v>
      </c>
      <c r="I290" s="58" t="s">
        <v>242</v>
      </c>
      <c r="J290" s="58" t="s">
        <v>1613</v>
      </c>
      <c r="K290" s="58" t="s">
        <v>504</v>
      </c>
      <c r="L290" s="58"/>
      <c r="M290" s="58"/>
      <c r="N290" s="58" t="s">
        <v>242</v>
      </c>
      <c r="O290" s="58"/>
      <c r="P290" s="63"/>
      <c r="Q290" s="63"/>
    </row>
    <row r="291" spans="2:17" ht="20.25" customHeight="1" x14ac:dyDescent="0.3">
      <c r="B291" s="59" t="s">
        <v>12</v>
      </c>
      <c r="C291" s="59" t="s">
        <v>53</v>
      </c>
      <c r="D291" s="62" t="str">
        <f t="shared" si="5"/>
        <v>BenzS_class</v>
      </c>
      <c r="E291" s="59" t="s">
        <v>506</v>
      </c>
      <c r="F291" s="60">
        <v>243800000</v>
      </c>
      <c r="G291" s="60">
        <v>3982</v>
      </c>
      <c r="H291" s="58" t="s">
        <v>241</v>
      </c>
      <c r="I291" s="58" t="s">
        <v>242</v>
      </c>
      <c r="J291" s="58" t="s">
        <v>1613</v>
      </c>
      <c r="K291" s="58" t="s">
        <v>504</v>
      </c>
      <c r="L291" s="58"/>
      <c r="M291" s="58"/>
      <c r="N291" s="58" t="s">
        <v>242</v>
      </c>
      <c r="O291" s="58"/>
      <c r="P291" s="63"/>
      <c r="Q291" s="63"/>
    </row>
    <row r="292" spans="2:17" ht="20.25" customHeight="1" x14ac:dyDescent="0.3">
      <c r="B292" s="59" t="s">
        <v>12</v>
      </c>
      <c r="C292" s="59" t="s">
        <v>64</v>
      </c>
      <c r="D292" s="62" t="str">
        <f t="shared" si="5"/>
        <v>BenzEQA</v>
      </c>
      <c r="E292" s="59" t="s">
        <v>507</v>
      </c>
      <c r="F292" s="60">
        <v>67900000</v>
      </c>
      <c r="G292" s="60">
        <v>0</v>
      </c>
      <c r="H292" s="58" t="s">
        <v>308</v>
      </c>
      <c r="I292" s="58" t="s">
        <v>308</v>
      </c>
      <c r="J292" s="58" t="s">
        <v>1614</v>
      </c>
      <c r="K292" s="58"/>
      <c r="L292" s="58" t="s">
        <v>279</v>
      </c>
      <c r="M292" s="58"/>
      <c r="N292" s="58" t="s">
        <v>295</v>
      </c>
      <c r="O292" s="58"/>
      <c r="P292" s="63"/>
      <c r="Q292" s="63"/>
    </row>
    <row r="293" spans="2:17" ht="20.25" customHeight="1" x14ac:dyDescent="0.3">
      <c r="B293" s="59" t="s">
        <v>12</v>
      </c>
      <c r="C293" s="59" t="s">
        <v>64</v>
      </c>
      <c r="D293" s="62" t="str">
        <f t="shared" si="5"/>
        <v>BenzEQA</v>
      </c>
      <c r="E293" s="59" t="s">
        <v>508</v>
      </c>
      <c r="F293" s="60">
        <v>73600000</v>
      </c>
      <c r="G293" s="60">
        <v>0</v>
      </c>
      <c r="H293" s="58" t="s">
        <v>308</v>
      </c>
      <c r="I293" s="58" t="s">
        <v>308</v>
      </c>
      <c r="J293" s="58" t="s">
        <v>1614</v>
      </c>
      <c r="K293" s="58"/>
      <c r="L293" s="58" t="s">
        <v>279</v>
      </c>
      <c r="M293" s="58"/>
      <c r="N293" s="58" t="s">
        <v>295</v>
      </c>
      <c r="O293" s="58"/>
      <c r="P293" s="63"/>
      <c r="Q293" s="63"/>
    </row>
    <row r="294" spans="2:17" ht="20.25" customHeight="1" x14ac:dyDescent="0.3">
      <c r="B294" s="59" t="s">
        <v>12</v>
      </c>
      <c r="C294" s="59" t="s">
        <v>64</v>
      </c>
      <c r="D294" s="62" t="str">
        <f t="shared" si="5"/>
        <v>BenzEQA</v>
      </c>
      <c r="E294" s="59" t="s">
        <v>509</v>
      </c>
      <c r="F294" s="60">
        <v>67900000</v>
      </c>
      <c r="G294" s="60">
        <v>0</v>
      </c>
      <c r="H294" s="58" t="s">
        <v>308</v>
      </c>
      <c r="I294" s="58" t="s">
        <v>308</v>
      </c>
      <c r="J294" s="58" t="s">
        <v>1614</v>
      </c>
      <c r="K294" s="58"/>
      <c r="L294" s="58" t="s">
        <v>279</v>
      </c>
      <c r="M294" s="58"/>
      <c r="N294" s="58" t="s">
        <v>295</v>
      </c>
      <c r="O294" s="58"/>
      <c r="P294" s="63"/>
      <c r="Q294" s="63"/>
    </row>
    <row r="295" spans="2:17" ht="20.25" customHeight="1" x14ac:dyDescent="0.3">
      <c r="B295" s="59" t="s">
        <v>12</v>
      </c>
      <c r="C295" s="59" t="s">
        <v>65</v>
      </c>
      <c r="D295" s="62" t="str">
        <f t="shared" ref="D295:D360" si="7">+B295&amp;C295</f>
        <v>BenzEQB</v>
      </c>
      <c r="E295" s="59" t="s">
        <v>510</v>
      </c>
      <c r="F295" s="60">
        <v>76000000</v>
      </c>
      <c r="G295" s="60">
        <v>0</v>
      </c>
      <c r="H295" s="58" t="s">
        <v>308</v>
      </c>
      <c r="I295" s="58" t="s">
        <v>308</v>
      </c>
      <c r="J295" s="58" t="s">
        <v>1614</v>
      </c>
      <c r="K295" s="58"/>
      <c r="L295" s="58" t="s">
        <v>279</v>
      </c>
      <c r="M295" s="58"/>
      <c r="N295" s="58" t="s">
        <v>295</v>
      </c>
      <c r="O295" s="58"/>
      <c r="P295" s="63"/>
      <c r="Q295" s="63"/>
    </row>
    <row r="296" spans="2:17" ht="20.25" customHeight="1" x14ac:dyDescent="0.3">
      <c r="B296" s="59" t="s">
        <v>12</v>
      </c>
      <c r="C296" s="59" t="s">
        <v>65</v>
      </c>
      <c r="D296" s="62" t="str">
        <f t="shared" si="7"/>
        <v>BenzEQB</v>
      </c>
      <c r="E296" s="59" t="s">
        <v>511</v>
      </c>
      <c r="F296" s="60">
        <v>81900000</v>
      </c>
      <c r="G296" s="60">
        <v>0</v>
      </c>
      <c r="H296" s="58" t="s">
        <v>308</v>
      </c>
      <c r="I296" s="58" t="s">
        <v>308</v>
      </c>
      <c r="J296" s="58" t="s">
        <v>1614</v>
      </c>
      <c r="K296" s="58"/>
      <c r="L296" s="58" t="s">
        <v>279</v>
      </c>
      <c r="M296" s="58"/>
      <c r="N296" s="58" t="s">
        <v>295</v>
      </c>
      <c r="O296" s="58"/>
      <c r="P296" s="63"/>
      <c r="Q296" s="63"/>
    </row>
    <row r="297" spans="2:17" ht="20.25" customHeight="1" x14ac:dyDescent="0.3">
      <c r="B297" s="59" t="s">
        <v>12</v>
      </c>
      <c r="C297" s="59" t="s">
        <v>66</v>
      </c>
      <c r="D297" s="62" t="str">
        <f t="shared" si="7"/>
        <v>BenzEQC</v>
      </c>
      <c r="E297" s="59" t="s">
        <v>512</v>
      </c>
      <c r="F297" s="60">
        <v>95600000</v>
      </c>
      <c r="G297" s="60">
        <v>0</v>
      </c>
      <c r="H297" s="58" t="s">
        <v>308</v>
      </c>
      <c r="I297" s="58" t="s">
        <v>295</v>
      </c>
      <c r="J297" s="58" t="s">
        <v>1614</v>
      </c>
      <c r="K297" s="58"/>
      <c r="L297" s="58" t="s">
        <v>279</v>
      </c>
      <c r="M297" s="58"/>
      <c r="N297" s="58" t="s">
        <v>295</v>
      </c>
      <c r="O297" s="58"/>
      <c r="P297" s="63"/>
      <c r="Q297" s="63"/>
    </row>
    <row r="298" spans="2:17" ht="20.25" customHeight="1" x14ac:dyDescent="0.3">
      <c r="B298" s="59" t="s">
        <v>12</v>
      </c>
      <c r="C298" s="59" t="s">
        <v>66</v>
      </c>
      <c r="D298" s="62" t="str">
        <f t="shared" si="7"/>
        <v>BenzEQC</v>
      </c>
      <c r="E298" s="59" t="s">
        <v>513</v>
      </c>
      <c r="F298" s="60">
        <v>101600000</v>
      </c>
      <c r="G298" s="60">
        <v>0</v>
      </c>
      <c r="H298" s="58" t="s">
        <v>308</v>
      </c>
      <c r="I298" s="58" t="s">
        <v>295</v>
      </c>
      <c r="J298" s="58" t="s">
        <v>1614</v>
      </c>
      <c r="K298" s="58"/>
      <c r="L298" s="58" t="s">
        <v>279</v>
      </c>
      <c r="M298" s="58"/>
      <c r="N298" s="58" t="s">
        <v>295</v>
      </c>
      <c r="O298" s="58"/>
      <c r="P298" s="63"/>
      <c r="Q298" s="63"/>
    </row>
    <row r="299" spans="2:17" ht="20.25" customHeight="1" x14ac:dyDescent="0.3">
      <c r="B299" s="59" t="s">
        <v>12</v>
      </c>
      <c r="C299" s="59" t="s">
        <v>66</v>
      </c>
      <c r="D299" s="62" t="str">
        <f t="shared" si="7"/>
        <v>BenzEQC</v>
      </c>
      <c r="E299" s="59" t="s">
        <v>514</v>
      </c>
      <c r="F299" s="60">
        <v>101600000</v>
      </c>
      <c r="G299" s="60">
        <v>0</v>
      </c>
      <c r="H299" s="58" t="s">
        <v>308</v>
      </c>
      <c r="I299" s="58" t="s">
        <v>295</v>
      </c>
      <c r="J299" s="58" t="s">
        <v>1614</v>
      </c>
      <c r="K299" s="58"/>
      <c r="L299" s="58" t="s">
        <v>279</v>
      </c>
      <c r="M299" s="58"/>
      <c r="N299" s="58" t="s">
        <v>295</v>
      </c>
      <c r="O299" s="58"/>
      <c r="P299" s="63"/>
      <c r="Q299" s="63"/>
    </row>
    <row r="300" spans="2:17" ht="20.25" customHeight="1" x14ac:dyDescent="0.3">
      <c r="B300" s="59" t="s">
        <v>12</v>
      </c>
      <c r="C300" s="59" t="s">
        <v>67</v>
      </c>
      <c r="D300" s="62" t="str">
        <f t="shared" si="7"/>
        <v>BenzEQE</v>
      </c>
      <c r="E300" s="59" t="s">
        <v>515</v>
      </c>
      <c r="F300" s="60">
        <v>92000000</v>
      </c>
      <c r="G300" s="60">
        <v>0</v>
      </c>
      <c r="H300" s="58" t="s">
        <v>308</v>
      </c>
      <c r="I300" s="58" t="s">
        <v>308</v>
      </c>
      <c r="J300" s="58" t="s">
        <v>1615</v>
      </c>
      <c r="K300" s="58"/>
      <c r="L300" s="58" t="s">
        <v>279</v>
      </c>
      <c r="M300" s="58"/>
      <c r="N300" s="58" t="s">
        <v>242</v>
      </c>
      <c r="O300" s="58"/>
      <c r="P300" s="63"/>
      <c r="Q300" s="63"/>
    </row>
    <row r="301" spans="2:17" ht="20.25" customHeight="1" x14ac:dyDescent="0.3">
      <c r="B301" s="59" t="s">
        <v>12</v>
      </c>
      <c r="C301" s="59" t="s">
        <v>67</v>
      </c>
      <c r="D301" s="62" t="str">
        <f t="shared" si="7"/>
        <v>BenzEQE</v>
      </c>
      <c r="E301" s="59" t="s">
        <v>516</v>
      </c>
      <c r="F301" s="60">
        <v>103000000</v>
      </c>
      <c r="G301" s="60">
        <v>0</v>
      </c>
      <c r="H301" s="58" t="s">
        <v>308</v>
      </c>
      <c r="I301" s="58" t="s">
        <v>308</v>
      </c>
      <c r="J301" s="58" t="s">
        <v>1615</v>
      </c>
      <c r="K301" s="58"/>
      <c r="L301" s="58" t="s">
        <v>279</v>
      </c>
      <c r="M301" s="58"/>
      <c r="N301" s="58" t="s">
        <v>242</v>
      </c>
      <c r="O301" s="58"/>
      <c r="P301" s="63"/>
      <c r="Q301" s="63"/>
    </row>
    <row r="302" spans="2:17" ht="20.25" customHeight="1" x14ac:dyDescent="0.3">
      <c r="B302" s="59" t="s">
        <v>12</v>
      </c>
      <c r="C302" s="59" t="s">
        <v>67</v>
      </c>
      <c r="D302" s="62" t="str">
        <f t="shared" si="7"/>
        <v>BenzEQE</v>
      </c>
      <c r="E302" s="59" t="s">
        <v>517</v>
      </c>
      <c r="F302" s="60">
        <v>105000000</v>
      </c>
      <c r="G302" s="60">
        <v>0</v>
      </c>
      <c r="H302" s="58" t="s">
        <v>308</v>
      </c>
      <c r="I302" s="58" t="s">
        <v>308</v>
      </c>
      <c r="J302" s="58" t="s">
        <v>1615</v>
      </c>
      <c r="K302" s="58"/>
      <c r="L302" s="58" t="s">
        <v>279</v>
      </c>
      <c r="M302" s="58"/>
      <c r="N302" s="58" t="s">
        <v>242</v>
      </c>
      <c r="O302" s="58"/>
      <c r="P302" s="63"/>
      <c r="Q302" s="63"/>
    </row>
    <row r="303" spans="2:17" ht="20.25" customHeight="1" x14ac:dyDescent="0.3">
      <c r="B303" s="59" t="s">
        <v>12</v>
      </c>
      <c r="C303" s="59" t="s">
        <v>67</v>
      </c>
      <c r="D303" s="62" t="str">
        <f t="shared" si="7"/>
        <v>BenzEQE</v>
      </c>
      <c r="E303" s="59" t="s">
        <v>518</v>
      </c>
      <c r="F303" s="60">
        <v>109900000</v>
      </c>
      <c r="G303" s="60">
        <v>0</v>
      </c>
      <c r="H303" s="58" t="s">
        <v>308</v>
      </c>
      <c r="I303" s="58" t="s">
        <v>308</v>
      </c>
      <c r="J303" s="58" t="s">
        <v>1615</v>
      </c>
      <c r="K303" s="58"/>
      <c r="L303" s="58" t="s">
        <v>279</v>
      </c>
      <c r="M303" s="58"/>
      <c r="N303" s="58" t="s">
        <v>242</v>
      </c>
      <c r="O303" s="58"/>
      <c r="P303" s="63"/>
      <c r="Q303" s="63"/>
    </row>
    <row r="304" spans="2:17" ht="20.25" customHeight="1" x14ac:dyDescent="0.3">
      <c r="B304" s="59" t="s">
        <v>12</v>
      </c>
      <c r="C304" s="59" t="s">
        <v>67</v>
      </c>
      <c r="D304" s="62" t="str">
        <f t="shared" si="7"/>
        <v>BenzEQE</v>
      </c>
      <c r="E304" s="59" t="s">
        <v>519</v>
      </c>
      <c r="F304" s="60">
        <v>128000000</v>
      </c>
      <c r="G304" s="60">
        <v>0</v>
      </c>
      <c r="H304" s="58" t="s">
        <v>308</v>
      </c>
      <c r="I304" s="58" t="s">
        <v>308</v>
      </c>
      <c r="J304" s="58" t="s">
        <v>1615</v>
      </c>
      <c r="K304" s="58"/>
      <c r="L304" s="58" t="s">
        <v>279</v>
      </c>
      <c r="M304" s="58"/>
      <c r="N304" s="58" t="s">
        <v>242</v>
      </c>
      <c r="O304" s="58"/>
      <c r="P304" s="63"/>
      <c r="Q304" s="63"/>
    </row>
    <row r="305" spans="2:17" ht="20.25" customHeight="1" x14ac:dyDescent="0.3">
      <c r="B305" s="59" t="s">
        <v>12</v>
      </c>
      <c r="C305" s="59" t="s">
        <v>67</v>
      </c>
      <c r="D305" s="62" t="str">
        <f t="shared" si="7"/>
        <v>BenzEQE</v>
      </c>
      <c r="E305" s="59" t="s">
        <v>520</v>
      </c>
      <c r="F305" s="60">
        <v>143800000</v>
      </c>
      <c r="G305" s="60">
        <v>0</v>
      </c>
      <c r="H305" s="58" t="s">
        <v>308</v>
      </c>
      <c r="I305" s="58" t="s">
        <v>242</v>
      </c>
      <c r="J305" s="58" t="s">
        <v>1615</v>
      </c>
      <c r="K305" s="58" t="s">
        <v>504</v>
      </c>
      <c r="L305" s="58"/>
      <c r="M305" s="58"/>
      <c r="N305" s="58" t="s">
        <v>242</v>
      </c>
      <c r="O305" s="58"/>
      <c r="P305" s="63"/>
      <c r="Q305" s="63"/>
    </row>
    <row r="306" spans="2:17" ht="20.25" customHeight="1" x14ac:dyDescent="0.3">
      <c r="B306" s="59" t="s">
        <v>12</v>
      </c>
      <c r="C306" s="59" t="s">
        <v>68</v>
      </c>
      <c r="D306" s="62" t="str">
        <f t="shared" si="7"/>
        <v>BenzEQS</v>
      </c>
      <c r="E306" s="59" t="s">
        <v>521</v>
      </c>
      <c r="F306" s="60">
        <v>138900000</v>
      </c>
      <c r="G306" s="60">
        <v>0</v>
      </c>
      <c r="H306" s="58" t="s">
        <v>308</v>
      </c>
      <c r="I306" s="58" t="s">
        <v>308</v>
      </c>
      <c r="J306" s="58" t="s">
        <v>1615</v>
      </c>
      <c r="K306" s="58"/>
      <c r="L306" s="58" t="s">
        <v>243</v>
      </c>
      <c r="M306" s="58"/>
      <c r="N306" s="58" t="s">
        <v>242</v>
      </c>
      <c r="O306" s="58"/>
      <c r="P306" s="63"/>
      <c r="Q306" s="63"/>
    </row>
    <row r="307" spans="2:17" ht="20.25" customHeight="1" x14ac:dyDescent="0.3">
      <c r="B307" s="59" t="s">
        <v>12</v>
      </c>
      <c r="C307" s="59" t="s">
        <v>68</v>
      </c>
      <c r="D307" s="62" t="str">
        <f t="shared" si="7"/>
        <v>BenzEQS</v>
      </c>
      <c r="E307" s="59" t="s">
        <v>522</v>
      </c>
      <c r="F307" s="60">
        <v>188600000</v>
      </c>
      <c r="G307" s="60">
        <v>0</v>
      </c>
      <c r="H307" s="58" t="s">
        <v>308</v>
      </c>
      <c r="I307" s="58" t="s">
        <v>308</v>
      </c>
      <c r="J307" s="58" t="s">
        <v>1615</v>
      </c>
      <c r="K307" s="58"/>
      <c r="L307" s="58" t="s">
        <v>243</v>
      </c>
      <c r="M307" s="58"/>
      <c r="N307" s="58" t="s">
        <v>242</v>
      </c>
      <c r="O307" s="58"/>
      <c r="P307" s="63"/>
      <c r="Q307" s="63"/>
    </row>
    <row r="308" spans="2:17" ht="20.25" customHeight="1" x14ac:dyDescent="0.3">
      <c r="B308" s="59" t="s">
        <v>12</v>
      </c>
      <c r="C308" s="59" t="s">
        <v>68</v>
      </c>
      <c r="D308" s="62" t="str">
        <f t="shared" si="7"/>
        <v>BenzEQS</v>
      </c>
      <c r="E308" s="59" t="s">
        <v>523</v>
      </c>
      <c r="F308" s="60">
        <v>161600000</v>
      </c>
      <c r="G308" s="60">
        <v>0</v>
      </c>
      <c r="H308" s="58" t="s">
        <v>308</v>
      </c>
      <c r="I308" s="58" t="s">
        <v>1683</v>
      </c>
      <c r="J308" s="58" t="s">
        <v>1615</v>
      </c>
      <c r="K308" s="58"/>
      <c r="L308" s="58" t="s">
        <v>243</v>
      </c>
      <c r="M308" s="58"/>
      <c r="N308" s="58" t="s">
        <v>242</v>
      </c>
      <c r="O308" s="58"/>
      <c r="P308" s="63"/>
      <c r="Q308" s="63"/>
    </row>
    <row r="309" spans="2:17" ht="20.25" customHeight="1" x14ac:dyDescent="0.3">
      <c r="B309" s="59" t="s">
        <v>12</v>
      </c>
      <c r="C309" s="59" t="s">
        <v>68</v>
      </c>
      <c r="D309" s="62" t="str">
        <f t="shared" si="7"/>
        <v>BenzEQS</v>
      </c>
      <c r="E309" s="59" t="s">
        <v>524</v>
      </c>
      <c r="F309" s="60">
        <v>169000000</v>
      </c>
      <c r="G309" s="60">
        <v>0</v>
      </c>
      <c r="H309" s="58" t="s">
        <v>308</v>
      </c>
      <c r="I309" s="58" t="s">
        <v>1683</v>
      </c>
      <c r="J309" s="58" t="s">
        <v>1615</v>
      </c>
      <c r="K309" s="58"/>
      <c r="L309" s="58" t="s">
        <v>243</v>
      </c>
      <c r="M309" s="58"/>
      <c r="N309" s="58" t="s">
        <v>242</v>
      </c>
      <c r="O309" s="58"/>
      <c r="P309" s="63"/>
      <c r="Q309" s="63"/>
    </row>
    <row r="310" spans="2:17" ht="20.25" customHeight="1" x14ac:dyDescent="0.3">
      <c r="B310" s="59" t="s">
        <v>12</v>
      </c>
      <c r="C310" s="59" t="s">
        <v>68</v>
      </c>
      <c r="D310" s="62" t="str">
        <f t="shared" si="7"/>
        <v>BenzEQS</v>
      </c>
      <c r="E310" s="59" t="s">
        <v>525</v>
      </c>
      <c r="F310" s="60">
        <v>152700000</v>
      </c>
      <c r="G310" s="60">
        <v>0</v>
      </c>
      <c r="H310" s="58" t="s">
        <v>308</v>
      </c>
      <c r="I310" s="58" t="s">
        <v>295</v>
      </c>
      <c r="J310" s="58" t="s">
        <v>1615</v>
      </c>
      <c r="K310" s="58"/>
      <c r="L310" s="58" t="s">
        <v>243</v>
      </c>
      <c r="M310" s="58"/>
      <c r="N310" s="58" t="s">
        <v>242</v>
      </c>
      <c r="O310" s="58"/>
      <c r="P310" s="63"/>
      <c r="Q310" s="63"/>
    </row>
    <row r="311" spans="2:17" ht="20.25" customHeight="1" x14ac:dyDescent="0.3">
      <c r="B311" s="59" t="s">
        <v>12</v>
      </c>
      <c r="C311" s="59" t="s">
        <v>68</v>
      </c>
      <c r="D311" s="62" t="str">
        <f t="shared" si="7"/>
        <v>BenzEQS</v>
      </c>
      <c r="E311" s="59" t="s">
        <v>526</v>
      </c>
      <c r="F311" s="60">
        <v>185400000</v>
      </c>
      <c r="G311" s="60">
        <v>0</v>
      </c>
      <c r="H311" s="58" t="s">
        <v>308</v>
      </c>
      <c r="I311" s="58" t="s">
        <v>295</v>
      </c>
      <c r="J311" s="58" t="s">
        <v>1615</v>
      </c>
      <c r="K311" s="58"/>
      <c r="L311" s="58" t="s">
        <v>243</v>
      </c>
      <c r="M311" s="58"/>
      <c r="N311" s="58" t="s">
        <v>242</v>
      </c>
      <c r="O311" s="58"/>
      <c r="P311" s="63"/>
      <c r="Q311" s="63"/>
    </row>
    <row r="312" spans="2:17" ht="20.25" customHeight="1" x14ac:dyDescent="0.3">
      <c r="B312" s="59" t="s">
        <v>12</v>
      </c>
      <c r="C312" s="59" t="s">
        <v>68</v>
      </c>
      <c r="D312" s="62" t="str">
        <f t="shared" si="7"/>
        <v>BenzEQS</v>
      </c>
      <c r="E312" s="59" t="s">
        <v>1481</v>
      </c>
      <c r="F312" s="60">
        <v>255000000</v>
      </c>
      <c r="G312" s="60">
        <v>0</v>
      </c>
      <c r="H312" s="58" t="s">
        <v>308</v>
      </c>
      <c r="I312" s="58" t="s">
        <v>295</v>
      </c>
      <c r="J312" s="58" t="s">
        <v>1615</v>
      </c>
      <c r="K312" s="58"/>
      <c r="L312" s="58" t="s">
        <v>243</v>
      </c>
      <c r="M312" s="58"/>
      <c r="N312" s="58" t="s">
        <v>242</v>
      </c>
      <c r="O312" s="58"/>
      <c r="P312" s="63"/>
      <c r="Q312" s="63"/>
    </row>
    <row r="313" spans="2:17" ht="20.25" customHeight="1" x14ac:dyDescent="0.3">
      <c r="B313" s="59" t="s">
        <v>12</v>
      </c>
      <c r="C313" s="59" t="s">
        <v>68</v>
      </c>
      <c r="D313" s="62" t="str">
        <f t="shared" si="7"/>
        <v>BenzEQS</v>
      </c>
      <c r="E313" s="59" t="s">
        <v>527</v>
      </c>
      <c r="F313" s="60">
        <v>213000000</v>
      </c>
      <c r="G313" s="60">
        <v>0</v>
      </c>
      <c r="H313" s="58" t="s">
        <v>308</v>
      </c>
      <c r="I313" s="58" t="s">
        <v>242</v>
      </c>
      <c r="J313" s="58" t="s">
        <v>1615</v>
      </c>
      <c r="K313" s="58" t="s">
        <v>504</v>
      </c>
      <c r="L313" s="58"/>
      <c r="M313" s="58"/>
      <c r="N313" s="58" t="s">
        <v>242</v>
      </c>
      <c r="O313" s="58"/>
      <c r="P313" s="63"/>
      <c r="Q313" s="63"/>
    </row>
    <row r="314" spans="2:17" ht="20.25" customHeight="1" x14ac:dyDescent="0.3">
      <c r="B314" s="59" t="s">
        <v>12</v>
      </c>
      <c r="C314" s="59" t="s">
        <v>69</v>
      </c>
      <c r="D314" s="62" t="str">
        <f t="shared" si="7"/>
        <v>BenzSL</v>
      </c>
      <c r="E314" s="59" t="s">
        <v>1303</v>
      </c>
      <c r="F314" s="60">
        <v>132900000</v>
      </c>
      <c r="G314" s="60">
        <v>2996</v>
      </c>
      <c r="H314" s="58" t="s">
        <v>241</v>
      </c>
      <c r="I314" s="58" t="s">
        <v>242</v>
      </c>
      <c r="J314" s="58" t="s">
        <v>1615</v>
      </c>
      <c r="K314" s="58" t="s">
        <v>243</v>
      </c>
      <c r="L314" s="58"/>
      <c r="M314" s="58"/>
      <c r="N314" s="58" t="s">
        <v>242</v>
      </c>
      <c r="O314" s="58"/>
      <c r="P314" s="63"/>
      <c r="Q314" s="63"/>
    </row>
    <row r="315" spans="2:17" ht="20.25" customHeight="1" x14ac:dyDescent="0.3">
      <c r="B315" s="59" t="s">
        <v>12</v>
      </c>
      <c r="C315" s="59" t="s">
        <v>69</v>
      </c>
      <c r="D315" s="62" t="str">
        <f t="shared" ref="D315" si="8">+B315&amp;C315</f>
        <v>BenzSL</v>
      </c>
      <c r="E315" s="59" t="s">
        <v>1690</v>
      </c>
      <c r="F315" s="60">
        <v>155600000</v>
      </c>
      <c r="G315" s="60">
        <v>1991</v>
      </c>
      <c r="H315" s="58" t="s">
        <v>241</v>
      </c>
      <c r="I315" s="58" t="s">
        <v>242</v>
      </c>
      <c r="J315" s="58" t="s">
        <v>1615</v>
      </c>
      <c r="K315" s="58" t="s">
        <v>86</v>
      </c>
      <c r="L315" s="58"/>
      <c r="M315" s="58"/>
      <c r="N315" s="58" t="s">
        <v>242</v>
      </c>
      <c r="O315" s="58"/>
      <c r="P315" s="63"/>
      <c r="Q315" s="63"/>
    </row>
    <row r="316" spans="2:17" ht="20.25" customHeight="1" x14ac:dyDescent="0.3">
      <c r="B316" s="59" t="s">
        <v>12</v>
      </c>
      <c r="C316" s="59" t="s">
        <v>69</v>
      </c>
      <c r="D316" s="62" t="str">
        <f t="shared" si="7"/>
        <v>BenzSL</v>
      </c>
      <c r="E316" s="59" t="s">
        <v>529</v>
      </c>
      <c r="F316" s="60">
        <v>233600000</v>
      </c>
      <c r="G316" s="60">
        <v>3982</v>
      </c>
      <c r="H316" s="58" t="s">
        <v>241</v>
      </c>
      <c r="I316" s="58" t="s">
        <v>242</v>
      </c>
      <c r="J316" s="58" t="s">
        <v>1615</v>
      </c>
      <c r="K316" s="58" t="s">
        <v>86</v>
      </c>
      <c r="L316" s="58"/>
      <c r="M316" s="58"/>
      <c r="N316" s="58" t="s">
        <v>242</v>
      </c>
      <c r="O316" s="58"/>
      <c r="P316" s="63"/>
      <c r="Q316" s="63"/>
    </row>
    <row r="317" spans="2:17" ht="20.25" customHeight="1" x14ac:dyDescent="0.3">
      <c r="B317" s="59" t="s">
        <v>12</v>
      </c>
      <c r="C317" s="59" t="s">
        <v>69</v>
      </c>
      <c r="D317" s="62" t="str">
        <f t="shared" si="7"/>
        <v>BenzSL</v>
      </c>
      <c r="E317" s="59" t="s">
        <v>530</v>
      </c>
      <c r="F317" s="60">
        <v>258600000</v>
      </c>
      <c r="G317" s="60">
        <v>3982</v>
      </c>
      <c r="H317" s="58" t="s">
        <v>241</v>
      </c>
      <c r="I317" s="58" t="s">
        <v>242</v>
      </c>
      <c r="J317" s="58" t="s">
        <v>1615</v>
      </c>
      <c r="K317" s="58" t="s">
        <v>86</v>
      </c>
      <c r="L317" s="58"/>
      <c r="M317" s="58"/>
      <c r="N317" s="58" t="s">
        <v>242</v>
      </c>
      <c r="O317" s="58"/>
      <c r="P317" s="63"/>
      <c r="Q317" s="63"/>
    </row>
    <row r="318" spans="2:17" ht="20.25" customHeight="1" x14ac:dyDescent="0.3">
      <c r="B318" s="59"/>
      <c r="C318" s="59"/>
      <c r="D318" s="62"/>
      <c r="E318" s="59"/>
      <c r="F318" s="60"/>
      <c r="G318" s="60"/>
      <c r="H318" s="58"/>
      <c r="I318" s="58"/>
      <c r="J318" s="58"/>
      <c r="K318" s="58"/>
      <c r="L318" s="58"/>
      <c r="M318" s="58"/>
      <c r="N318" s="58"/>
      <c r="O318" s="58"/>
      <c r="P318" s="63"/>
      <c r="Q318" s="63"/>
    </row>
    <row r="319" spans="2:17" ht="20.25" customHeight="1" x14ac:dyDescent="0.3">
      <c r="B319" s="59"/>
      <c r="C319" s="59"/>
      <c r="D319" s="62"/>
      <c r="E319" s="59"/>
      <c r="F319" s="60"/>
      <c r="G319" s="60"/>
      <c r="H319" s="58"/>
      <c r="I319" s="58"/>
      <c r="J319" s="58"/>
      <c r="K319" s="58"/>
      <c r="L319" s="58"/>
      <c r="M319" s="58"/>
      <c r="N319" s="58"/>
      <c r="O319" s="58"/>
      <c r="P319" s="63"/>
      <c r="Q319" s="63"/>
    </row>
    <row r="320" spans="2:17" ht="20.25" customHeight="1" x14ac:dyDescent="0.3">
      <c r="B320" s="59"/>
      <c r="C320" s="59"/>
      <c r="D320" s="62"/>
      <c r="E320" s="59"/>
      <c r="F320" s="60"/>
      <c r="G320" s="60"/>
      <c r="H320" s="58"/>
      <c r="I320" s="58"/>
      <c r="J320" s="58"/>
      <c r="K320" s="58"/>
      <c r="L320" s="58"/>
      <c r="M320" s="58"/>
      <c r="N320" s="58"/>
      <c r="O320" s="58"/>
      <c r="P320" s="63"/>
      <c r="Q320" s="63"/>
    </row>
    <row r="321" spans="2:17" ht="20.25" customHeight="1" x14ac:dyDescent="0.3">
      <c r="B321" s="59"/>
      <c r="C321" s="59"/>
      <c r="D321" s="62"/>
      <c r="E321" s="59"/>
      <c r="F321" s="60"/>
      <c r="G321" s="60"/>
      <c r="H321" s="58"/>
      <c r="I321" s="58"/>
      <c r="J321" s="58"/>
      <c r="K321" s="58"/>
      <c r="L321" s="58"/>
      <c r="M321" s="58"/>
      <c r="N321" s="58"/>
      <c r="O321" s="58"/>
      <c r="P321" s="63"/>
      <c r="Q321" s="63"/>
    </row>
    <row r="322" spans="2:17" ht="20.25" customHeight="1" x14ac:dyDescent="0.3">
      <c r="B322" s="59"/>
      <c r="C322" s="59"/>
      <c r="D322" s="62"/>
      <c r="E322" s="59"/>
      <c r="F322" s="60"/>
      <c r="G322" s="60"/>
      <c r="H322" s="58"/>
      <c r="I322" s="58"/>
      <c r="J322" s="58"/>
      <c r="K322" s="58"/>
      <c r="L322" s="58"/>
      <c r="M322" s="58"/>
      <c r="N322" s="58"/>
      <c r="O322" s="58"/>
      <c r="P322" s="63"/>
      <c r="Q322" s="63"/>
    </row>
    <row r="323" spans="2:17" ht="20.25" customHeight="1" x14ac:dyDescent="0.3">
      <c r="B323" s="59"/>
      <c r="C323" s="59"/>
      <c r="D323" s="62"/>
      <c r="E323" s="59"/>
      <c r="F323" s="60"/>
      <c r="G323" s="60"/>
      <c r="H323" s="58"/>
      <c r="I323" s="58"/>
      <c r="J323" s="58"/>
      <c r="K323" s="58"/>
      <c r="L323" s="58"/>
      <c r="M323" s="58"/>
      <c r="N323" s="58"/>
      <c r="O323" s="58"/>
      <c r="P323" s="63"/>
      <c r="Q323" s="63"/>
    </row>
    <row r="324" spans="2:17" ht="20.25" customHeight="1" x14ac:dyDescent="0.3">
      <c r="B324" s="59"/>
      <c r="C324" s="59"/>
      <c r="D324" s="62"/>
      <c r="E324" s="59"/>
      <c r="F324" s="60"/>
      <c r="G324" s="60"/>
      <c r="H324" s="58"/>
      <c r="I324" s="58"/>
      <c r="J324" s="58"/>
      <c r="K324" s="58"/>
      <c r="L324" s="58"/>
      <c r="M324" s="58"/>
      <c r="N324" s="58"/>
      <c r="O324" s="58"/>
      <c r="P324" s="63"/>
      <c r="Q324" s="63"/>
    </row>
    <row r="325" spans="2:17" ht="20.25" customHeight="1" x14ac:dyDescent="0.3">
      <c r="B325" s="59"/>
      <c r="C325" s="59"/>
      <c r="D325" s="62"/>
      <c r="E325" s="59"/>
      <c r="F325" s="60"/>
      <c r="G325" s="60"/>
      <c r="H325" s="58"/>
      <c r="I325" s="58"/>
      <c r="J325" s="58"/>
      <c r="K325" s="58"/>
      <c r="L325" s="58"/>
      <c r="M325" s="58"/>
      <c r="N325" s="58"/>
      <c r="O325" s="58"/>
      <c r="P325" s="63"/>
      <c r="Q325" s="63"/>
    </row>
    <row r="326" spans="2:17" ht="20.25" customHeight="1" x14ac:dyDescent="0.3">
      <c r="B326" s="59"/>
      <c r="C326" s="59"/>
      <c r="D326" s="62" t="str">
        <f t="shared" si="7"/>
        <v/>
      </c>
      <c r="E326" s="59"/>
      <c r="F326" s="60"/>
      <c r="G326" s="60"/>
      <c r="H326" s="58"/>
      <c r="I326" s="58"/>
      <c r="J326" s="58"/>
      <c r="K326" s="58"/>
      <c r="L326" s="58"/>
      <c r="M326" s="58"/>
      <c r="N326" s="58"/>
      <c r="O326" s="58"/>
      <c r="P326" s="63"/>
      <c r="Q326" s="63"/>
    </row>
    <row r="327" spans="2:17" ht="20.25" customHeight="1" x14ac:dyDescent="0.3">
      <c r="B327" s="59" t="s">
        <v>13</v>
      </c>
      <c r="C327" s="59" t="s">
        <v>71</v>
      </c>
      <c r="D327" s="62" t="str">
        <f t="shared" si="7"/>
        <v>BMW1_series</v>
      </c>
      <c r="E327" s="59" t="s">
        <v>531</v>
      </c>
      <c r="F327" s="60">
        <v>47300000</v>
      </c>
      <c r="G327" s="60">
        <v>1998</v>
      </c>
      <c r="H327" s="58" t="s">
        <v>241</v>
      </c>
      <c r="I327" s="58" t="s">
        <v>242</v>
      </c>
      <c r="J327" s="58" t="s">
        <v>1608</v>
      </c>
      <c r="K327" s="58"/>
      <c r="L327" s="58" t="s">
        <v>62</v>
      </c>
      <c r="M327" s="58"/>
      <c r="N327" s="58" t="s">
        <v>242</v>
      </c>
      <c r="O327" s="58"/>
      <c r="P327" s="63"/>
      <c r="Q327" s="63"/>
    </row>
    <row r="328" spans="2:17" ht="20.25" customHeight="1" x14ac:dyDescent="0.3">
      <c r="B328" s="59" t="s">
        <v>13</v>
      </c>
      <c r="C328" s="59" t="s">
        <v>71</v>
      </c>
      <c r="D328" s="62" t="str">
        <f t="shared" si="7"/>
        <v>BMW1_series</v>
      </c>
      <c r="E328" s="59" t="s">
        <v>532</v>
      </c>
      <c r="F328" s="60">
        <v>51400000</v>
      </c>
      <c r="G328" s="60">
        <v>1998</v>
      </c>
      <c r="H328" s="58" t="s">
        <v>241</v>
      </c>
      <c r="I328" s="58" t="s">
        <v>242</v>
      </c>
      <c r="J328" s="58" t="s">
        <v>1608</v>
      </c>
      <c r="K328" s="58"/>
      <c r="L328" s="58" t="s">
        <v>62</v>
      </c>
      <c r="M328" s="58"/>
      <c r="N328" s="58" t="s">
        <v>242</v>
      </c>
      <c r="O328" s="58"/>
      <c r="P328" s="63"/>
      <c r="Q328" s="63"/>
    </row>
    <row r="329" spans="2:17" ht="20.25" customHeight="1" x14ac:dyDescent="0.3">
      <c r="B329" s="59" t="s">
        <v>13</v>
      </c>
      <c r="C329" s="59" t="s">
        <v>72</v>
      </c>
      <c r="D329" s="62" t="str">
        <f t="shared" si="7"/>
        <v>BMW2_series</v>
      </c>
      <c r="E329" s="59" t="s">
        <v>533</v>
      </c>
      <c r="F329" s="60">
        <v>47500000</v>
      </c>
      <c r="G329" s="60">
        <v>1998</v>
      </c>
      <c r="H329" s="58" t="s">
        <v>241</v>
      </c>
      <c r="I329" s="58" t="s">
        <v>242</v>
      </c>
      <c r="J329" s="58" t="s">
        <v>1611</v>
      </c>
      <c r="K329" s="58"/>
      <c r="L329" s="58" t="s">
        <v>62</v>
      </c>
      <c r="M329" s="58"/>
      <c r="N329" s="58" t="s">
        <v>242</v>
      </c>
      <c r="O329" s="58"/>
      <c r="P329" s="63"/>
      <c r="Q329" s="63"/>
    </row>
    <row r="330" spans="2:17" ht="20.25" customHeight="1" x14ac:dyDescent="0.3">
      <c r="B330" s="59" t="s">
        <v>13</v>
      </c>
      <c r="C330" s="59" t="s">
        <v>72</v>
      </c>
      <c r="D330" s="62" t="str">
        <f t="shared" si="7"/>
        <v>BMW2_series</v>
      </c>
      <c r="E330" s="59" t="s">
        <v>534</v>
      </c>
      <c r="F330" s="60">
        <v>50200000</v>
      </c>
      <c r="G330" s="60">
        <v>1998</v>
      </c>
      <c r="H330" s="58" t="s">
        <v>241</v>
      </c>
      <c r="I330" s="58" t="s">
        <v>242</v>
      </c>
      <c r="J330" s="58" t="s">
        <v>1611</v>
      </c>
      <c r="K330" s="58"/>
      <c r="L330" s="58" t="s">
        <v>62</v>
      </c>
      <c r="M330" s="58"/>
      <c r="N330" s="58" t="s">
        <v>242</v>
      </c>
      <c r="O330" s="58"/>
      <c r="P330" s="63"/>
      <c r="Q330" s="63"/>
    </row>
    <row r="331" spans="2:17" ht="20.25" customHeight="1" x14ac:dyDescent="0.3">
      <c r="B331" s="59" t="s">
        <v>13</v>
      </c>
      <c r="C331" s="59" t="s">
        <v>72</v>
      </c>
      <c r="D331" s="62" t="str">
        <f t="shared" si="7"/>
        <v>BMW2_series</v>
      </c>
      <c r="E331" s="59" t="s">
        <v>535</v>
      </c>
      <c r="F331" s="60">
        <v>43500000</v>
      </c>
      <c r="G331" s="60">
        <v>1998</v>
      </c>
      <c r="H331" s="58" t="s">
        <v>241</v>
      </c>
      <c r="I331" s="58" t="s">
        <v>242</v>
      </c>
      <c r="J331" s="58" t="s">
        <v>1611</v>
      </c>
      <c r="K331" s="58"/>
      <c r="L331" s="58" t="s">
        <v>279</v>
      </c>
      <c r="M331" s="58"/>
      <c r="N331" s="58" t="s">
        <v>242</v>
      </c>
      <c r="O331" s="58"/>
      <c r="P331" s="63"/>
      <c r="Q331" s="63"/>
    </row>
    <row r="332" spans="2:17" ht="20.25" customHeight="1" x14ac:dyDescent="0.3">
      <c r="B332" s="59" t="s">
        <v>13</v>
      </c>
      <c r="C332" s="59" t="s">
        <v>72</v>
      </c>
      <c r="D332" s="62" t="str">
        <f t="shared" si="7"/>
        <v>BMW2_series</v>
      </c>
      <c r="E332" s="59" t="s">
        <v>536</v>
      </c>
      <c r="F332" s="60">
        <v>47000000</v>
      </c>
      <c r="G332" s="60">
        <v>1998</v>
      </c>
      <c r="H332" s="58" t="s">
        <v>241</v>
      </c>
      <c r="I332" s="58" t="s">
        <v>242</v>
      </c>
      <c r="J332" s="58" t="s">
        <v>1611</v>
      </c>
      <c r="K332" s="58"/>
      <c r="L332" s="58" t="s">
        <v>279</v>
      </c>
      <c r="M332" s="58"/>
      <c r="N332" s="58" t="s">
        <v>242</v>
      </c>
      <c r="O332" s="58"/>
      <c r="P332" s="63"/>
      <c r="Q332" s="63"/>
    </row>
    <row r="333" spans="2:17" ht="20.25" customHeight="1" x14ac:dyDescent="0.3">
      <c r="B333" s="59" t="s">
        <v>13</v>
      </c>
      <c r="C333" s="59" t="s">
        <v>72</v>
      </c>
      <c r="D333" s="62" t="str">
        <f t="shared" si="7"/>
        <v>BMW2_series</v>
      </c>
      <c r="E333" s="59" t="s">
        <v>537</v>
      </c>
      <c r="F333" s="60">
        <v>48700000</v>
      </c>
      <c r="G333" s="60">
        <v>1998</v>
      </c>
      <c r="H333" s="58" t="s">
        <v>241</v>
      </c>
      <c r="I333" s="58" t="s">
        <v>242</v>
      </c>
      <c r="J333" s="58" t="s">
        <v>1611</v>
      </c>
      <c r="K333" s="58"/>
      <c r="L333" s="58" t="s">
        <v>279</v>
      </c>
      <c r="M333" s="58"/>
      <c r="N333" s="58" t="s">
        <v>242</v>
      </c>
      <c r="O333" s="58"/>
      <c r="P333" s="63"/>
      <c r="Q333" s="63"/>
    </row>
    <row r="334" spans="2:17" ht="20.25" customHeight="1" x14ac:dyDescent="0.3">
      <c r="B334" s="59" t="s">
        <v>13</v>
      </c>
      <c r="C334" s="59" t="s">
        <v>72</v>
      </c>
      <c r="D334" s="62" t="str">
        <f t="shared" si="7"/>
        <v>BMW2_series</v>
      </c>
      <c r="E334" s="59" t="s">
        <v>538</v>
      </c>
      <c r="F334" s="60">
        <v>45800000</v>
      </c>
      <c r="G334" s="60">
        <v>1995</v>
      </c>
      <c r="H334" s="58" t="s">
        <v>250</v>
      </c>
      <c r="I334" s="58" t="s">
        <v>242</v>
      </c>
      <c r="J334" s="58" t="s">
        <v>1611</v>
      </c>
      <c r="K334" s="58"/>
      <c r="L334" s="58" t="s">
        <v>279</v>
      </c>
      <c r="M334" s="58"/>
      <c r="N334" s="58" t="s">
        <v>242</v>
      </c>
      <c r="O334" s="58"/>
      <c r="P334" s="63"/>
      <c r="Q334" s="63"/>
    </row>
    <row r="335" spans="2:17" ht="20.25" customHeight="1" x14ac:dyDescent="0.3">
      <c r="B335" s="59" t="s">
        <v>13</v>
      </c>
      <c r="C335" s="59" t="s">
        <v>72</v>
      </c>
      <c r="D335" s="62" t="str">
        <f t="shared" si="7"/>
        <v>BMW2_series</v>
      </c>
      <c r="E335" s="59" t="s">
        <v>539</v>
      </c>
      <c r="F335" s="60">
        <v>48600000</v>
      </c>
      <c r="G335" s="60">
        <v>1995</v>
      </c>
      <c r="H335" s="58" t="s">
        <v>250</v>
      </c>
      <c r="I335" s="58" t="s">
        <v>242</v>
      </c>
      <c r="J335" s="58" t="s">
        <v>1611</v>
      </c>
      <c r="K335" s="58"/>
      <c r="L335" s="58" t="s">
        <v>279</v>
      </c>
      <c r="M335" s="58"/>
      <c r="N335" s="58" t="s">
        <v>242</v>
      </c>
      <c r="O335" s="58"/>
      <c r="P335" s="63"/>
      <c r="Q335" s="63"/>
    </row>
    <row r="336" spans="2:17" ht="20.25" customHeight="1" x14ac:dyDescent="0.3">
      <c r="B336" s="59" t="s">
        <v>13</v>
      </c>
      <c r="C336" s="59" t="s">
        <v>72</v>
      </c>
      <c r="D336" s="62" t="str">
        <f t="shared" si="7"/>
        <v>BMW2_series</v>
      </c>
      <c r="E336" s="59" t="s">
        <v>540</v>
      </c>
      <c r="F336" s="60">
        <v>49800000</v>
      </c>
      <c r="G336" s="60">
        <v>1995</v>
      </c>
      <c r="H336" s="58" t="s">
        <v>250</v>
      </c>
      <c r="I336" s="58" t="s">
        <v>242</v>
      </c>
      <c r="J336" s="58" t="s">
        <v>1611</v>
      </c>
      <c r="K336" s="58"/>
      <c r="L336" s="58" t="s">
        <v>279</v>
      </c>
      <c r="M336" s="58"/>
      <c r="N336" s="58" t="s">
        <v>242</v>
      </c>
      <c r="O336" s="58"/>
      <c r="P336" s="63"/>
      <c r="Q336" s="63"/>
    </row>
    <row r="337" spans="2:17" ht="20.25" customHeight="1" x14ac:dyDescent="0.3">
      <c r="B337" s="59" t="s">
        <v>13</v>
      </c>
      <c r="C337" s="59" t="s">
        <v>73</v>
      </c>
      <c r="D337" s="62" t="str">
        <f t="shared" si="7"/>
        <v>BMW3_series</v>
      </c>
      <c r="E337" s="59" t="s">
        <v>541</v>
      </c>
      <c r="F337" s="60">
        <v>55400000</v>
      </c>
      <c r="G337" s="60">
        <v>1998</v>
      </c>
      <c r="H337" s="58" t="s">
        <v>241</v>
      </c>
      <c r="I337" s="58" t="s">
        <v>242</v>
      </c>
      <c r="J337" s="58" t="s">
        <v>1610</v>
      </c>
      <c r="K337" s="58"/>
      <c r="L337" s="58" t="s">
        <v>379</v>
      </c>
      <c r="M337" s="58"/>
      <c r="N337" s="58" t="s">
        <v>242</v>
      </c>
      <c r="O337" s="58"/>
      <c r="P337" s="63"/>
      <c r="Q337" s="63"/>
    </row>
    <row r="338" spans="2:17" ht="20.25" customHeight="1" x14ac:dyDescent="0.3">
      <c r="B338" s="59" t="s">
        <v>13</v>
      </c>
      <c r="C338" s="59" t="s">
        <v>73</v>
      </c>
      <c r="D338" s="62" t="str">
        <f t="shared" si="7"/>
        <v>BMW3_series</v>
      </c>
      <c r="E338" s="59" t="s">
        <v>542</v>
      </c>
      <c r="F338" s="60">
        <v>54700000</v>
      </c>
      <c r="G338" s="60">
        <v>1998</v>
      </c>
      <c r="H338" s="58" t="s">
        <v>241</v>
      </c>
      <c r="I338" s="58" t="s">
        <v>242</v>
      </c>
      <c r="J338" s="58" t="s">
        <v>1610</v>
      </c>
      <c r="K338" s="58"/>
      <c r="L338" s="58" t="s">
        <v>379</v>
      </c>
      <c r="M338" s="58"/>
      <c r="N338" s="58" t="s">
        <v>242</v>
      </c>
      <c r="O338" s="58"/>
      <c r="P338" s="63"/>
      <c r="Q338" s="63"/>
    </row>
    <row r="339" spans="2:17" ht="20.25" customHeight="1" x14ac:dyDescent="0.3">
      <c r="B339" s="59" t="s">
        <v>13</v>
      </c>
      <c r="C339" s="59" t="s">
        <v>73</v>
      </c>
      <c r="D339" s="62" t="str">
        <f t="shared" si="7"/>
        <v>BMW3_series</v>
      </c>
      <c r="E339" s="59" t="s">
        <v>543</v>
      </c>
      <c r="F339" s="60">
        <v>59300000</v>
      </c>
      <c r="G339" s="60">
        <v>1998</v>
      </c>
      <c r="H339" s="58" t="s">
        <v>241</v>
      </c>
      <c r="I339" s="58" t="s">
        <v>242</v>
      </c>
      <c r="J339" s="58" t="s">
        <v>1610</v>
      </c>
      <c r="K339" s="58"/>
      <c r="L339" s="58" t="s">
        <v>379</v>
      </c>
      <c r="M339" s="58"/>
      <c r="N339" s="58" t="s">
        <v>242</v>
      </c>
      <c r="O339" s="58"/>
      <c r="P339" s="63"/>
      <c r="Q339" s="63"/>
    </row>
    <row r="340" spans="2:17" ht="20.25" customHeight="1" x14ac:dyDescent="0.3">
      <c r="B340" s="59" t="s">
        <v>13</v>
      </c>
      <c r="C340" s="59" t="s">
        <v>73</v>
      </c>
      <c r="D340" s="62" t="str">
        <f t="shared" si="7"/>
        <v>BMW3_series</v>
      </c>
      <c r="E340" s="59" t="s">
        <v>544</v>
      </c>
      <c r="F340" s="60">
        <v>57400000</v>
      </c>
      <c r="G340" s="60">
        <v>1998</v>
      </c>
      <c r="H340" s="58" t="s">
        <v>241</v>
      </c>
      <c r="I340" s="58" t="s">
        <v>242</v>
      </c>
      <c r="J340" s="58" t="s">
        <v>1610</v>
      </c>
      <c r="K340" s="58"/>
      <c r="L340" s="58" t="s">
        <v>279</v>
      </c>
      <c r="M340" s="58"/>
      <c r="N340" s="58" t="s">
        <v>242</v>
      </c>
      <c r="O340" s="58"/>
      <c r="P340" s="63"/>
      <c r="Q340" s="63"/>
    </row>
    <row r="341" spans="2:17" ht="20.25" customHeight="1" x14ac:dyDescent="0.3">
      <c r="B341" s="59" t="s">
        <v>13</v>
      </c>
      <c r="C341" s="59" t="s">
        <v>73</v>
      </c>
      <c r="D341" s="62" t="str">
        <f t="shared" si="7"/>
        <v>BMW3_series</v>
      </c>
      <c r="E341" s="59" t="s">
        <v>545</v>
      </c>
      <c r="F341" s="60">
        <v>61400000</v>
      </c>
      <c r="G341" s="60">
        <v>1998</v>
      </c>
      <c r="H341" s="58" t="s">
        <v>241</v>
      </c>
      <c r="I341" s="58" t="s">
        <v>242</v>
      </c>
      <c r="J341" s="58" t="s">
        <v>1610</v>
      </c>
      <c r="K341" s="58"/>
      <c r="L341" s="58" t="s">
        <v>279</v>
      </c>
      <c r="M341" s="58"/>
      <c r="N341" s="58" t="s">
        <v>242</v>
      </c>
      <c r="O341" s="58"/>
      <c r="P341" s="63"/>
      <c r="Q341" s="63"/>
    </row>
    <row r="342" spans="2:17" ht="20.25" customHeight="1" x14ac:dyDescent="0.3">
      <c r="B342" s="59" t="s">
        <v>13</v>
      </c>
      <c r="C342" s="59" t="s">
        <v>73</v>
      </c>
      <c r="D342" s="62" t="str">
        <f t="shared" si="7"/>
        <v>BMW3_series</v>
      </c>
      <c r="E342" s="59" t="s">
        <v>546</v>
      </c>
      <c r="F342" s="60">
        <v>59800000</v>
      </c>
      <c r="G342" s="60">
        <v>1995</v>
      </c>
      <c r="H342" s="58" t="s">
        <v>250</v>
      </c>
      <c r="I342" s="58" t="s">
        <v>242</v>
      </c>
      <c r="J342" s="58" t="s">
        <v>1246</v>
      </c>
      <c r="K342" s="58"/>
      <c r="L342" s="58" t="s">
        <v>279</v>
      </c>
      <c r="M342" s="58"/>
      <c r="N342" s="58" t="s">
        <v>242</v>
      </c>
      <c r="O342" s="58"/>
      <c r="P342" s="63"/>
      <c r="Q342" s="63"/>
    </row>
    <row r="343" spans="2:17" ht="20.25" customHeight="1" x14ac:dyDescent="0.3">
      <c r="B343" s="59" t="s">
        <v>13</v>
      </c>
      <c r="C343" s="59" t="s">
        <v>73</v>
      </c>
      <c r="D343" s="62" t="str">
        <f t="shared" si="7"/>
        <v>BMW3_series</v>
      </c>
      <c r="E343" s="59" t="s">
        <v>547</v>
      </c>
      <c r="F343" s="60">
        <v>63800000</v>
      </c>
      <c r="G343" s="60">
        <v>1995</v>
      </c>
      <c r="H343" s="58" t="s">
        <v>250</v>
      </c>
      <c r="I343" s="58" t="s">
        <v>242</v>
      </c>
      <c r="J343" s="58" t="s">
        <v>1246</v>
      </c>
      <c r="K343" s="58"/>
      <c r="L343" s="58" t="s">
        <v>279</v>
      </c>
      <c r="M343" s="58"/>
      <c r="N343" s="58" t="s">
        <v>242</v>
      </c>
      <c r="O343" s="58"/>
      <c r="P343" s="63"/>
      <c r="Q343" s="63"/>
    </row>
    <row r="344" spans="2:17" ht="20.25" customHeight="1" x14ac:dyDescent="0.3">
      <c r="B344" s="59" t="s">
        <v>13</v>
      </c>
      <c r="C344" s="59" t="s">
        <v>73</v>
      </c>
      <c r="D344" s="62" t="str">
        <f t="shared" si="7"/>
        <v>BMW3_series</v>
      </c>
      <c r="E344" s="59" t="s">
        <v>548</v>
      </c>
      <c r="F344" s="60">
        <v>57600000</v>
      </c>
      <c r="G344" s="60">
        <v>1995</v>
      </c>
      <c r="H344" s="58" t="s">
        <v>250</v>
      </c>
      <c r="I344" s="58" t="s">
        <v>242</v>
      </c>
      <c r="J344" s="58" t="s">
        <v>1246</v>
      </c>
      <c r="K344" s="58"/>
      <c r="L344" s="58" t="s">
        <v>379</v>
      </c>
      <c r="M344" s="58"/>
      <c r="N344" s="58" t="s">
        <v>242</v>
      </c>
      <c r="O344" s="58"/>
      <c r="P344" s="63"/>
      <c r="Q344" s="63"/>
    </row>
    <row r="345" spans="2:17" ht="20.25" customHeight="1" x14ac:dyDescent="0.3">
      <c r="B345" s="59" t="s">
        <v>13</v>
      </c>
      <c r="C345" s="59" t="s">
        <v>73</v>
      </c>
      <c r="D345" s="62" t="str">
        <f t="shared" si="7"/>
        <v>BMW3_series</v>
      </c>
      <c r="E345" s="59" t="s">
        <v>549</v>
      </c>
      <c r="F345" s="60">
        <v>57100000</v>
      </c>
      <c r="G345" s="60">
        <v>1995</v>
      </c>
      <c r="H345" s="58" t="s">
        <v>250</v>
      </c>
      <c r="I345" s="58" t="s">
        <v>242</v>
      </c>
      <c r="J345" s="58" t="s">
        <v>1246</v>
      </c>
      <c r="K345" s="58"/>
      <c r="L345" s="58" t="s">
        <v>379</v>
      </c>
      <c r="M345" s="58"/>
      <c r="N345" s="58" t="s">
        <v>242</v>
      </c>
      <c r="O345" s="58"/>
      <c r="P345" s="63"/>
      <c r="Q345" s="63"/>
    </row>
    <row r="346" spans="2:17" ht="20.25" customHeight="1" x14ac:dyDescent="0.3">
      <c r="B346" s="59" t="s">
        <v>13</v>
      </c>
      <c r="C346" s="59" t="s">
        <v>73</v>
      </c>
      <c r="D346" s="62" t="str">
        <f t="shared" si="7"/>
        <v>BMW3_series</v>
      </c>
      <c r="E346" s="59" t="s">
        <v>550</v>
      </c>
      <c r="F346" s="60">
        <v>61500000</v>
      </c>
      <c r="G346" s="60">
        <v>1995</v>
      </c>
      <c r="H346" s="58" t="s">
        <v>250</v>
      </c>
      <c r="I346" s="58" t="s">
        <v>242</v>
      </c>
      <c r="J346" s="58" t="s">
        <v>1246</v>
      </c>
      <c r="K346" s="58"/>
      <c r="L346" s="58" t="s">
        <v>379</v>
      </c>
      <c r="M346" s="58"/>
      <c r="N346" s="58" t="s">
        <v>242</v>
      </c>
      <c r="O346" s="58"/>
      <c r="P346" s="63"/>
      <c r="Q346" s="63"/>
    </row>
    <row r="347" spans="2:17" ht="20.25" customHeight="1" x14ac:dyDescent="0.3">
      <c r="B347" s="59" t="s">
        <v>13</v>
      </c>
      <c r="C347" s="59" t="s">
        <v>73</v>
      </c>
      <c r="D347" s="62" t="str">
        <f t="shared" si="7"/>
        <v>BMW3_series</v>
      </c>
      <c r="E347" s="59" t="s">
        <v>551</v>
      </c>
      <c r="F347" s="60">
        <v>60200000</v>
      </c>
      <c r="G347" s="60">
        <v>1995</v>
      </c>
      <c r="H347" s="58" t="s">
        <v>250</v>
      </c>
      <c r="I347" s="58" t="s">
        <v>242</v>
      </c>
      <c r="J347" s="58" t="s">
        <v>1246</v>
      </c>
      <c r="K347" s="58"/>
      <c r="L347" s="58" t="s">
        <v>379</v>
      </c>
      <c r="M347" s="58"/>
      <c r="N347" s="58" t="s">
        <v>242</v>
      </c>
      <c r="O347" s="58"/>
      <c r="P347" s="63"/>
      <c r="Q347" s="63"/>
    </row>
    <row r="348" spans="2:17" ht="20.25" customHeight="1" x14ac:dyDescent="0.3">
      <c r="B348" s="59" t="s">
        <v>13</v>
      </c>
      <c r="C348" s="59" t="s">
        <v>73</v>
      </c>
      <c r="D348" s="62" t="str">
        <f t="shared" si="7"/>
        <v>BMW3_series</v>
      </c>
      <c r="E348" s="59" t="s">
        <v>552</v>
      </c>
      <c r="F348" s="60">
        <v>60100000</v>
      </c>
      <c r="G348" s="60">
        <v>1995</v>
      </c>
      <c r="H348" s="58" t="s">
        <v>250</v>
      </c>
      <c r="I348" s="58" t="s">
        <v>242</v>
      </c>
      <c r="J348" s="58" t="s">
        <v>1246</v>
      </c>
      <c r="K348" s="58"/>
      <c r="L348" s="58" t="s">
        <v>379</v>
      </c>
      <c r="M348" s="58"/>
      <c r="N348" s="58" t="s">
        <v>242</v>
      </c>
      <c r="O348" s="58"/>
      <c r="P348" s="63"/>
      <c r="Q348" s="63"/>
    </row>
    <row r="349" spans="2:17" ht="20.25" customHeight="1" x14ac:dyDescent="0.3">
      <c r="B349" s="59" t="s">
        <v>13</v>
      </c>
      <c r="C349" s="59" t="s">
        <v>73</v>
      </c>
      <c r="D349" s="62" t="str">
        <f t="shared" si="7"/>
        <v>BMW3_series</v>
      </c>
      <c r="E349" s="59" t="s">
        <v>553</v>
      </c>
      <c r="F349" s="60">
        <v>64100000</v>
      </c>
      <c r="G349" s="60">
        <v>1995</v>
      </c>
      <c r="H349" s="58" t="s">
        <v>250</v>
      </c>
      <c r="I349" s="58" t="s">
        <v>242</v>
      </c>
      <c r="J349" s="58" t="s">
        <v>1246</v>
      </c>
      <c r="K349" s="58"/>
      <c r="L349" s="58" t="s">
        <v>379</v>
      </c>
      <c r="M349" s="58"/>
      <c r="N349" s="58" t="s">
        <v>242</v>
      </c>
      <c r="O349" s="58"/>
      <c r="P349" s="63"/>
      <c r="Q349" s="63"/>
    </row>
    <row r="350" spans="2:17" ht="20.25" customHeight="1" x14ac:dyDescent="0.3">
      <c r="B350" s="59" t="s">
        <v>13</v>
      </c>
      <c r="C350" s="59" t="s">
        <v>73</v>
      </c>
      <c r="D350" s="62" t="str">
        <f t="shared" si="7"/>
        <v>BMW3_series</v>
      </c>
      <c r="E350" s="59" t="s">
        <v>554</v>
      </c>
      <c r="F350" s="60">
        <v>58400000</v>
      </c>
      <c r="G350" s="60">
        <v>1998</v>
      </c>
      <c r="H350" s="58" t="s">
        <v>241</v>
      </c>
      <c r="I350" s="58" t="s">
        <v>242</v>
      </c>
      <c r="J350" s="58" t="s">
        <v>1612</v>
      </c>
      <c r="K350" s="58"/>
      <c r="L350" s="58" t="s">
        <v>279</v>
      </c>
      <c r="M350" s="58"/>
      <c r="N350" s="58" t="s">
        <v>242</v>
      </c>
      <c r="O350" s="58"/>
      <c r="P350" s="63"/>
      <c r="Q350" s="63"/>
    </row>
    <row r="351" spans="2:17" ht="20.25" customHeight="1" x14ac:dyDescent="0.3">
      <c r="B351" s="59" t="s">
        <v>13</v>
      </c>
      <c r="C351" s="59" t="s">
        <v>73</v>
      </c>
      <c r="D351" s="62" t="str">
        <f t="shared" si="7"/>
        <v>BMW3_series</v>
      </c>
      <c r="E351" s="59" t="s">
        <v>555</v>
      </c>
      <c r="F351" s="60">
        <v>58500000</v>
      </c>
      <c r="G351" s="60">
        <v>1998</v>
      </c>
      <c r="H351" s="58" t="s">
        <v>241</v>
      </c>
      <c r="I351" s="58" t="s">
        <v>242</v>
      </c>
      <c r="J351" s="58" t="s">
        <v>1612</v>
      </c>
      <c r="K351" s="58"/>
      <c r="L351" s="58" t="s">
        <v>279</v>
      </c>
      <c r="M351" s="58"/>
      <c r="N351" s="58" t="s">
        <v>242</v>
      </c>
      <c r="O351" s="58"/>
      <c r="P351" s="63"/>
      <c r="Q351" s="63"/>
    </row>
    <row r="352" spans="2:17" ht="20.25" customHeight="1" x14ac:dyDescent="0.3">
      <c r="B352" s="59" t="s">
        <v>13</v>
      </c>
      <c r="C352" s="59" t="s">
        <v>73</v>
      </c>
      <c r="D352" s="62" t="str">
        <f t="shared" si="7"/>
        <v>BMW3_series</v>
      </c>
      <c r="E352" s="59" t="s">
        <v>556</v>
      </c>
      <c r="F352" s="60">
        <v>61600000</v>
      </c>
      <c r="G352" s="60">
        <v>1998</v>
      </c>
      <c r="H352" s="58" t="s">
        <v>241</v>
      </c>
      <c r="I352" s="58" t="s">
        <v>242</v>
      </c>
      <c r="J352" s="58" t="s">
        <v>1612</v>
      </c>
      <c r="K352" s="58"/>
      <c r="L352" s="58" t="s">
        <v>279</v>
      </c>
      <c r="M352" s="58"/>
      <c r="N352" s="58" t="s">
        <v>242</v>
      </c>
      <c r="O352" s="58"/>
      <c r="P352" s="63"/>
      <c r="Q352" s="63"/>
    </row>
    <row r="353" spans="2:17" ht="20.25" customHeight="1" x14ac:dyDescent="0.3">
      <c r="B353" s="59" t="s">
        <v>13</v>
      </c>
      <c r="C353" s="59" t="s">
        <v>73</v>
      </c>
      <c r="D353" s="62" t="str">
        <f t="shared" si="7"/>
        <v>BMW3_series</v>
      </c>
      <c r="E353" s="59" t="s">
        <v>557</v>
      </c>
      <c r="F353" s="60">
        <v>63900000</v>
      </c>
      <c r="G353" s="60">
        <v>1998</v>
      </c>
      <c r="H353" s="58" t="s">
        <v>241</v>
      </c>
      <c r="I353" s="58" t="s">
        <v>242</v>
      </c>
      <c r="J353" s="58" t="s">
        <v>1612</v>
      </c>
      <c r="K353" s="58"/>
      <c r="L353" s="58" t="s">
        <v>279</v>
      </c>
      <c r="M353" s="58"/>
      <c r="N353" s="58" t="s">
        <v>242</v>
      </c>
      <c r="O353" s="58"/>
      <c r="P353" s="63"/>
      <c r="Q353" s="63"/>
    </row>
    <row r="354" spans="2:17" ht="20.25" customHeight="1" x14ac:dyDescent="0.3">
      <c r="B354" s="59" t="s">
        <v>13</v>
      </c>
      <c r="C354" s="59" t="s">
        <v>73</v>
      </c>
      <c r="D354" s="62" t="str">
        <f t="shared" si="7"/>
        <v>BMW3_series</v>
      </c>
      <c r="E354" s="59" t="s">
        <v>558</v>
      </c>
      <c r="F354" s="60">
        <v>68600000</v>
      </c>
      <c r="G354" s="60">
        <v>1998</v>
      </c>
      <c r="H354" s="58" t="s">
        <v>241</v>
      </c>
      <c r="I354" s="58" t="s">
        <v>242</v>
      </c>
      <c r="J354" s="58" t="s">
        <v>1612</v>
      </c>
      <c r="K354" s="58"/>
      <c r="L354" s="58" t="s">
        <v>279</v>
      </c>
      <c r="M354" s="58"/>
      <c r="N354" s="58" t="s">
        <v>242</v>
      </c>
      <c r="O354" s="58"/>
      <c r="P354" s="63"/>
      <c r="Q354" s="63"/>
    </row>
    <row r="355" spans="2:17" ht="20.25" customHeight="1" x14ac:dyDescent="0.3">
      <c r="B355" s="59" t="s">
        <v>13</v>
      </c>
      <c r="C355" s="59" t="s">
        <v>74</v>
      </c>
      <c r="D355" s="62" t="str">
        <f t="shared" si="7"/>
        <v>BMW4_series</v>
      </c>
      <c r="E355" s="59" t="s">
        <v>559</v>
      </c>
      <c r="F355" s="60">
        <v>62300000</v>
      </c>
      <c r="G355" s="60">
        <v>1995</v>
      </c>
      <c r="H355" s="58" t="s">
        <v>250</v>
      </c>
      <c r="I355" s="58" t="s">
        <v>242</v>
      </c>
      <c r="J355" s="58" t="s">
        <v>1611</v>
      </c>
      <c r="K355" s="58"/>
      <c r="L355" s="58" t="s">
        <v>379</v>
      </c>
      <c r="M355" s="58"/>
      <c r="N355" s="58" t="s">
        <v>242</v>
      </c>
      <c r="O355" s="58"/>
      <c r="P355" s="63"/>
      <c r="Q355" s="63"/>
    </row>
    <row r="356" spans="2:17" ht="20.25" customHeight="1" x14ac:dyDescent="0.3">
      <c r="B356" s="59" t="s">
        <v>13</v>
      </c>
      <c r="C356" s="59" t="s">
        <v>74</v>
      </c>
      <c r="D356" s="62" t="str">
        <f t="shared" si="7"/>
        <v>BMW4_series</v>
      </c>
      <c r="E356" s="59" t="s">
        <v>560</v>
      </c>
      <c r="F356" s="60">
        <v>59000000</v>
      </c>
      <c r="G356" s="60">
        <v>1998</v>
      </c>
      <c r="H356" s="58" t="s">
        <v>241</v>
      </c>
      <c r="I356" s="58" t="s">
        <v>242</v>
      </c>
      <c r="J356" s="58" t="s">
        <v>1612</v>
      </c>
      <c r="K356" s="58"/>
      <c r="L356" s="58" t="s">
        <v>379</v>
      </c>
      <c r="M356" s="58"/>
      <c r="N356" s="58" t="s">
        <v>242</v>
      </c>
      <c r="O356" s="58"/>
      <c r="P356" s="63"/>
      <c r="Q356" s="63"/>
    </row>
    <row r="357" spans="2:17" ht="20.25" customHeight="1" x14ac:dyDescent="0.3">
      <c r="B357" s="59" t="s">
        <v>13</v>
      </c>
      <c r="C357" s="59" t="s">
        <v>74</v>
      </c>
      <c r="D357" s="62" t="str">
        <f t="shared" si="7"/>
        <v>BMW4_series</v>
      </c>
      <c r="E357" s="59" t="s">
        <v>561</v>
      </c>
      <c r="F357" s="60">
        <v>67700000</v>
      </c>
      <c r="G357" s="60">
        <v>1998</v>
      </c>
      <c r="H357" s="58" t="s">
        <v>241</v>
      </c>
      <c r="I357" s="58" t="s">
        <v>242</v>
      </c>
      <c r="J357" s="58" t="s">
        <v>1612</v>
      </c>
      <c r="K357" s="58"/>
      <c r="L357" s="58" t="s">
        <v>379</v>
      </c>
      <c r="M357" s="58"/>
      <c r="N357" s="58" t="s">
        <v>242</v>
      </c>
      <c r="O357" s="58"/>
      <c r="P357" s="63"/>
      <c r="Q357" s="63"/>
    </row>
    <row r="358" spans="2:17" ht="20.25" customHeight="1" x14ac:dyDescent="0.3">
      <c r="B358" s="59" t="s">
        <v>13</v>
      </c>
      <c r="C358" s="59" t="s">
        <v>74</v>
      </c>
      <c r="D358" s="62" t="str">
        <f t="shared" si="7"/>
        <v>BMW4_series</v>
      </c>
      <c r="E358" s="59" t="s">
        <v>562</v>
      </c>
      <c r="F358" s="60">
        <v>57700000</v>
      </c>
      <c r="G358" s="60">
        <v>1998</v>
      </c>
      <c r="H358" s="58" t="s">
        <v>241</v>
      </c>
      <c r="I358" s="58" t="s">
        <v>242</v>
      </c>
      <c r="J358" s="58" t="s">
        <v>1612</v>
      </c>
      <c r="K358" s="58"/>
      <c r="L358" s="58" t="s">
        <v>379</v>
      </c>
      <c r="M358" s="58"/>
      <c r="N358" s="58" t="s">
        <v>242</v>
      </c>
      <c r="O358" s="58"/>
      <c r="P358" s="63"/>
      <c r="Q358" s="63"/>
    </row>
    <row r="359" spans="2:17" ht="20.25" customHeight="1" x14ac:dyDescent="0.3">
      <c r="B359" s="59" t="s">
        <v>13</v>
      </c>
      <c r="C359" s="59" t="s">
        <v>74</v>
      </c>
      <c r="D359" s="62" t="str">
        <f t="shared" si="7"/>
        <v>BMW4_series</v>
      </c>
      <c r="E359" s="59" t="s">
        <v>563</v>
      </c>
      <c r="F359" s="60">
        <v>63700000</v>
      </c>
      <c r="G359" s="60">
        <v>1998</v>
      </c>
      <c r="H359" s="58" t="s">
        <v>241</v>
      </c>
      <c r="I359" s="58" t="s">
        <v>242</v>
      </c>
      <c r="J359" s="58" t="s">
        <v>1612</v>
      </c>
      <c r="K359" s="58"/>
      <c r="L359" s="58" t="s">
        <v>379</v>
      </c>
      <c r="M359" s="58"/>
      <c r="N359" s="58" t="s">
        <v>242</v>
      </c>
      <c r="O359" s="58"/>
      <c r="P359" s="63"/>
      <c r="Q359" s="63"/>
    </row>
    <row r="360" spans="2:17" ht="20.25" customHeight="1" x14ac:dyDescent="0.3">
      <c r="B360" s="59" t="s">
        <v>13</v>
      </c>
      <c r="C360" s="59" t="s">
        <v>74</v>
      </c>
      <c r="D360" s="62" t="str">
        <f t="shared" si="7"/>
        <v>BMW4_series</v>
      </c>
      <c r="E360" s="59" t="s">
        <v>564</v>
      </c>
      <c r="F360" s="60">
        <v>59900000</v>
      </c>
      <c r="G360" s="60">
        <v>1995</v>
      </c>
      <c r="H360" s="58" t="s">
        <v>250</v>
      </c>
      <c r="I360" s="58" t="s">
        <v>242</v>
      </c>
      <c r="J360" s="58" t="s">
        <v>1611</v>
      </c>
      <c r="K360" s="58"/>
      <c r="L360" s="58" t="s">
        <v>379</v>
      </c>
      <c r="M360" s="58"/>
      <c r="N360" s="58" t="s">
        <v>242</v>
      </c>
      <c r="O360" s="58"/>
      <c r="P360" s="63"/>
      <c r="Q360" s="63"/>
    </row>
    <row r="361" spans="2:17" ht="20.25" customHeight="1" x14ac:dyDescent="0.3">
      <c r="B361" s="59" t="s">
        <v>13</v>
      </c>
      <c r="C361" s="59" t="s">
        <v>74</v>
      </c>
      <c r="D361" s="62" t="str">
        <f t="shared" ref="D361:D426" si="9">+B361&amp;C361</f>
        <v>BMW4_series</v>
      </c>
      <c r="E361" s="59" t="s">
        <v>565</v>
      </c>
      <c r="F361" s="60">
        <v>65800000</v>
      </c>
      <c r="G361" s="60">
        <v>1995</v>
      </c>
      <c r="H361" s="58" t="s">
        <v>250</v>
      </c>
      <c r="I361" s="58" t="s">
        <v>242</v>
      </c>
      <c r="J361" s="58" t="s">
        <v>1611</v>
      </c>
      <c r="K361" s="58"/>
      <c r="L361" s="58" t="s">
        <v>379</v>
      </c>
      <c r="M361" s="58"/>
      <c r="N361" s="58" t="s">
        <v>242</v>
      </c>
      <c r="O361" s="58"/>
      <c r="P361" s="63"/>
      <c r="Q361" s="63"/>
    </row>
    <row r="362" spans="2:17" ht="20.25" customHeight="1" x14ac:dyDescent="0.3">
      <c r="B362" s="59" t="s">
        <v>13</v>
      </c>
      <c r="C362" s="59" t="s">
        <v>75</v>
      </c>
      <c r="D362" s="62" t="str">
        <f t="shared" si="9"/>
        <v>BMW5_series</v>
      </c>
      <c r="E362" s="59" t="s">
        <v>566</v>
      </c>
      <c r="F362" s="60">
        <v>66000000</v>
      </c>
      <c r="G362" s="60">
        <v>1998</v>
      </c>
      <c r="H362" s="58" t="s">
        <v>241</v>
      </c>
      <c r="I362" s="58" t="s">
        <v>242</v>
      </c>
      <c r="J362" s="58" t="s">
        <v>1610</v>
      </c>
      <c r="K362" s="58" t="s">
        <v>1787</v>
      </c>
      <c r="L362" s="58" t="s">
        <v>395</v>
      </c>
      <c r="M362" s="58"/>
      <c r="N362" s="58" t="s">
        <v>242</v>
      </c>
      <c r="O362" s="58"/>
      <c r="P362" s="63">
        <v>0.01</v>
      </c>
      <c r="Q362" s="63">
        <v>0.01</v>
      </c>
    </row>
    <row r="363" spans="2:17" ht="20.25" customHeight="1" x14ac:dyDescent="0.3">
      <c r="B363" s="59" t="s">
        <v>13</v>
      </c>
      <c r="C363" s="59" t="s">
        <v>75</v>
      </c>
      <c r="D363" s="62" t="str">
        <f t="shared" si="9"/>
        <v>BMW5_series</v>
      </c>
      <c r="E363" s="59" t="s">
        <v>567</v>
      </c>
      <c r="F363" s="60">
        <v>67600000</v>
      </c>
      <c r="G363" s="60">
        <v>1998</v>
      </c>
      <c r="H363" s="58" t="s">
        <v>241</v>
      </c>
      <c r="I363" s="58" t="s">
        <v>242</v>
      </c>
      <c r="J363" s="58" t="s">
        <v>1610</v>
      </c>
      <c r="K363" s="58" t="s">
        <v>1787</v>
      </c>
      <c r="L363" s="58" t="s">
        <v>395</v>
      </c>
      <c r="M363" s="58"/>
      <c r="N363" s="58" t="s">
        <v>242</v>
      </c>
      <c r="O363" s="58"/>
      <c r="P363" s="63">
        <v>0.01</v>
      </c>
      <c r="Q363" s="63">
        <v>0.01</v>
      </c>
    </row>
    <row r="364" spans="2:17" ht="20.25" customHeight="1" x14ac:dyDescent="0.3">
      <c r="B364" s="59" t="s">
        <v>13</v>
      </c>
      <c r="C364" s="59" t="s">
        <v>75</v>
      </c>
      <c r="D364" s="62" t="str">
        <f t="shared" si="9"/>
        <v>BMW5_series</v>
      </c>
      <c r="E364" s="59" t="s">
        <v>568</v>
      </c>
      <c r="F364" s="60">
        <v>68400000</v>
      </c>
      <c r="G364" s="60">
        <v>1995</v>
      </c>
      <c r="H364" s="58" t="s">
        <v>250</v>
      </c>
      <c r="I364" s="58" t="s">
        <v>242</v>
      </c>
      <c r="J364" s="58" t="s">
        <v>1246</v>
      </c>
      <c r="K364" s="58" t="s">
        <v>1787</v>
      </c>
      <c r="L364" s="58" t="s">
        <v>395</v>
      </c>
      <c r="M364" s="58"/>
      <c r="N364" s="58" t="s">
        <v>242</v>
      </c>
      <c r="O364" s="58"/>
      <c r="P364" s="63">
        <v>0.01</v>
      </c>
      <c r="Q364" s="63">
        <v>0.01</v>
      </c>
    </row>
    <row r="365" spans="2:17" ht="20.25" customHeight="1" x14ac:dyDescent="0.3">
      <c r="B365" s="59" t="s">
        <v>13</v>
      </c>
      <c r="C365" s="59" t="s">
        <v>75</v>
      </c>
      <c r="D365" s="62" t="str">
        <f t="shared" si="9"/>
        <v>BMW5_series</v>
      </c>
      <c r="E365" s="59" t="s">
        <v>569</v>
      </c>
      <c r="F365" s="60">
        <v>73000000</v>
      </c>
      <c r="G365" s="60">
        <v>1995</v>
      </c>
      <c r="H365" s="58" t="s">
        <v>250</v>
      </c>
      <c r="I365" s="58" t="s">
        <v>242</v>
      </c>
      <c r="J365" s="58" t="s">
        <v>1246</v>
      </c>
      <c r="K365" s="58" t="s">
        <v>1787</v>
      </c>
      <c r="L365" s="58" t="s">
        <v>395</v>
      </c>
      <c r="M365" s="58"/>
      <c r="N365" s="58" t="s">
        <v>242</v>
      </c>
      <c r="O365" s="58"/>
      <c r="P365" s="63">
        <v>0.01</v>
      </c>
      <c r="Q365" s="63">
        <v>0.01</v>
      </c>
    </row>
    <row r="366" spans="2:17" ht="20.25" customHeight="1" x14ac:dyDescent="0.3">
      <c r="B366" s="59" t="s">
        <v>13</v>
      </c>
      <c r="C366" s="59" t="s">
        <v>75</v>
      </c>
      <c r="D366" s="62" t="str">
        <f t="shared" si="9"/>
        <v>BMW5_series</v>
      </c>
      <c r="E366" s="59" t="s">
        <v>570</v>
      </c>
      <c r="F366" s="60">
        <v>71900000</v>
      </c>
      <c r="G366" s="60">
        <v>1995</v>
      </c>
      <c r="H366" s="58" t="s">
        <v>250</v>
      </c>
      <c r="I366" s="58" t="s">
        <v>242</v>
      </c>
      <c r="J366" s="58" t="s">
        <v>1246</v>
      </c>
      <c r="K366" s="58" t="s">
        <v>1787</v>
      </c>
      <c r="L366" s="58" t="s">
        <v>395</v>
      </c>
      <c r="M366" s="58"/>
      <c r="N366" s="58" t="s">
        <v>242</v>
      </c>
      <c r="O366" s="58"/>
      <c r="P366" s="63">
        <v>0.01</v>
      </c>
      <c r="Q366" s="63">
        <v>0.01</v>
      </c>
    </row>
    <row r="367" spans="2:17" ht="20.25" customHeight="1" x14ac:dyDescent="0.3">
      <c r="B367" s="59" t="s">
        <v>13</v>
      </c>
      <c r="C367" s="59" t="s">
        <v>75</v>
      </c>
      <c r="D367" s="62" t="str">
        <f t="shared" si="9"/>
        <v>BMW5_series</v>
      </c>
      <c r="E367" s="59" t="s">
        <v>571</v>
      </c>
      <c r="F367" s="60">
        <v>76500000</v>
      </c>
      <c r="G367" s="60">
        <v>1995</v>
      </c>
      <c r="H367" s="58" t="s">
        <v>250</v>
      </c>
      <c r="I367" s="58" t="s">
        <v>242</v>
      </c>
      <c r="J367" s="58" t="s">
        <v>1246</v>
      </c>
      <c r="K367" s="58" t="s">
        <v>1787</v>
      </c>
      <c r="L367" s="58" t="s">
        <v>395</v>
      </c>
      <c r="M367" s="58"/>
      <c r="N367" s="58" t="s">
        <v>242</v>
      </c>
      <c r="O367" s="58"/>
      <c r="P367" s="63">
        <v>0.01</v>
      </c>
      <c r="Q367" s="63">
        <v>0.01</v>
      </c>
    </row>
    <row r="368" spans="2:17" ht="20.25" customHeight="1" x14ac:dyDescent="0.3">
      <c r="B368" s="59" t="s">
        <v>13</v>
      </c>
      <c r="C368" s="59" t="s">
        <v>75</v>
      </c>
      <c r="D368" s="62" t="str">
        <f t="shared" si="9"/>
        <v>BMW5_series</v>
      </c>
      <c r="E368" s="59" t="s">
        <v>572</v>
      </c>
      <c r="F368" s="60">
        <v>72100000</v>
      </c>
      <c r="G368" s="60">
        <v>1995</v>
      </c>
      <c r="H368" s="58" t="s">
        <v>250</v>
      </c>
      <c r="I368" s="58" t="s">
        <v>242</v>
      </c>
      <c r="J368" s="58" t="s">
        <v>1246</v>
      </c>
      <c r="K368" s="58" t="s">
        <v>1787</v>
      </c>
      <c r="L368" s="58" t="s">
        <v>395</v>
      </c>
      <c r="M368" s="58"/>
      <c r="N368" s="58" t="s">
        <v>242</v>
      </c>
      <c r="O368" s="58"/>
      <c r="P368" s="63">
        <v>0.01</v>
      </c>
      <c r="Q368" s="63">
        <v>0.01</v>
      </c>
    </row>
    <row r="369" spans="2:17" ht="20.25" customHeight="1" x14ac:dyDescent="0.3">
      <c r="B369" s="59" t="s">
        <v>13</v>
      </c>
      <c r="C369" s="59" t="s">
        <v>75</v>
      </c>
      <c r="D369" s="62" t="str">
        <f t="shared" si="9"/>
        <v>BMW5_series</v>
      </c>
      <c r="E369" s="59" t="s">
        <v>573</v>
      </c>
      <c r="F369" s="60">
        <v>76700000</v>
      </c>
      <c r="G369" s="60">
        <v>1995</v>
      </c>
      <c r="H369" s="58" t="s">
        <v>250</v>
      </c>
      <c r="I369" s="58" t="s">
        <v>242</v>
      </c>
      <c r="J369" s="58" t="s">
        <v>1246</v>
      </c>
      <c r="K369" s="58" t="s">
        <v>1787</v>
      </c>
      <c r="L369" s="58" t="s">
        <v>395</v>
      </c>
      <c r="M369" s="58"/>
      <c r="N369" s="58" t="s">
        <v>242</v>
      </c>
      <c r="O369" s="58"/>
      <c r="P369" s="63">
        <v>0.01</v>
      </c>
      <c r="Q369" s="63">
        <v>0.01</v>
      </c>
    </row>
    <row r="370" spans="2:17" ht="20.25" customHeight="1" x14ac:dyDescent="0.3">
      <c r="B370" s="59" t="s">
        <v>13</v>
      </c>
      <c r="C370" s="59" t="s">
        <v>75</v>
      </c>
      <c r="D370" s="62" t="str">
        <f t="shared" si="9"/>
        <v>BMW5_series</v>
      </c>
      <c r="E370" s="59" t="s">
        <v>574</v>
      </c>
      <c r="F370" s="60">
        <v>73500000</v>
      </c>
      <c r="G370" s="60">
        <v>1995</v>
      </c>
      <c r="H370" s="58" t="s">
        <v>250</v>
      </c>
      <c r="I370" s="58" t="s">
        <v>242</v>
      </c>
      <c r="J370" s="58" t="s">
        <v>1246</v>
      </c>
      <c r="K370" s="58" t="s">
        <v>1787</v>
      </c>
      <c r="L370" s="58" t="s">
        <v>395</v>
      </c>
      <c r="M370" s="58"/>
      <c r="N370" s="58" t="s">
        <v>242</v>
      </c>
      <c r="O370" s="58"/>
      <c r="P370" s="63">
        <v>0.01</v>
      </c>
      <c r="Q370" s="63">
        <v>0.01</v>
      </c>
    </row>
    <row r="371" spans="2:17" ht="20.25" customHeight="1" x14ac:dyDescent="0.3">
      <c r="B371" s="59" t="s">
        <v>13</v>
      </c>
      <c r="C371" s="59" t="s">
        <v>75</v>
      </c>
      <c r="D371" s="62" t="str">
        <f t="shared" si="9"/>
        <v>BMW5_series</v>
      </c>
      <c r="E371" s="59" t="s">
        <v>575</v>
      </c>
      <c r="F371" s="60">
        <v>80300000</v>
      </c>
      <c r="G371" s="60">
        <v>1995</v>
      </c>
      <c r="H371" s="58" t="s">
        <v>250</v>
      </c>
      <c r="I371" s="58" t="s">
        <v>242</v>
      </c>
      <c r="J371" s="58" t="s">
        <v>1246</v>
      </c>
      <c r="K371" s="58" t="s">
        <v>1787</v>
      </c>
      <c r="L371" s="58" t="s">
        <v>395</v>
      </c>
      <c r="M371" s="58"/>
      <c r="N371" s="58" t="s">
        <v>242</v>
      </c>
      <c r="O371" s="58"/>
      <c r="P371" s="63">
        <v>0.01</v>
      </c>
      <c r="Q371" s="63">
        <v>0.01</v>
      </c>
    </row>
    <row r="372" spans="2:17" ht="20.25" customHeight="1" x14ac:dyDescent="0.3">
      <c r="B372" s="59" t="s">
        <v>13</v>
      </c>
      <c r="C372" s="59" t="s">
        <v>75</v>
      </c>
      <c r="D372" s="62" t="str">
        <f t="shared" si="9"/>
        <v>BMW5_series</v>
      </c>
      <c r="E372" s="59" t="s">
        <v>576</v>
      </c>
      <c r="F372" s="60">
        <v>76100000</v>
      </c>
      <c r="G372" s="60">
        <v>1998</v>
      </c>
      <c r="H372" s="58" t="s">
        <v>241</v>
      </c>
      <c r="I372" s="58" t="s">
        <v>242</v>
      </c>
      <c r="J372" s="58" t="s">
        <v>1610</v>
      </c>
      <c r="K372" s="58" t="s">
        <v>1787</v>
      </c>
      <c r="L372" s="58" t="s">
        <v>395</v>
      </c>
      <c r="M372" s="58"/>
      <c r="N372" s="58" t="s">
        <v>242</v>
      </c>
      <c r="O372" s="58"/>
      <c r="P372" s="63">
        <v>0.01</v>
      </c>
      <c r="Q372" s="63">
        <v>0.01</v>
      </c>
    </row>
    <row r="373" spans="2:17" ht="20.25" customHeight="1" x14ac:dyDescent="0.3">
      <c r="B373" s="59" t="s">
        <v>13</v>
      </c>
      <c r="C373" s="59" t="s">
        <v>75</v>
      </c>
      <c r="D373" s="62" t="str">
        <f t="shared" si="9"/>
        <v>BMW5_series</v>
      </c>
      <c r="E373" s="59" t="s">
        <v>577</v>
      </c>
      <c r="F373" s="60">
        <v>80000000</v>
      </c>
      <c r="G373" s="60">
        <v>1998</v>
      </c>
      <c r="H373" s="58" t="s">
        <v>241</v>
      </c>
      <c r="I373" s="58" t="s">
        <v>242</v>
      </c>
      <c r="J373" s="58" t="s">
        <v>1610</v>
      </c>
      <c r="K373" s="58" t="s">
        <v>1787</v>
      </c>
      <c r="L373" s="58" t="s">
        <v>395</v>
      </c>
      <c r="M373" s="58"/>
      <c r="N373" s="58" t="s">
        <v>242</v>
      </c>
      <c r="O373" s="58"/>
      <c r="P373" s="63">
        <v>0.01</v>
      </c>
      <c r="Q373" s="63">
        <v>0.01</v>
      </c>
    </row>
    <row r="374" spans="2:17" ht="20.25" customHeight="1" x14ac:dyDescent="0.3">
      <c r="B374" s="59" t="s">
        <v>13</v>
      </c>
      <c r="C374" s="59" t="s">
        <v>75</v>
      </c>
      <c r="D374" s="62" t="str">
        <f t="shared" si="9"/>
        <v>BMW5_series</v>
      </c>
      <c r="E374" s="59" t="s">
        <v>578</v>
      </c>
      <c r="F374" s="60">
        <v>79700000</v>
      </c>
      <c r="G374" s="60">
        <v>1998</v>
      </c>
      <c r="H374" s="58" t="s">
        <v>241</v>
      </c>
      <c r="I374" s="58" t="s">
        <v>242</v>
      </c>
      <c r="J374" s="58" t="s">
        <v>1610</v>
      </c>
      <c r="K374" s="58" t="s">
        <v>1787</v>
      </c>
      <c r="L374" s="58" t="s">
        <v>395</v>
      </c>
      <c r="M374" s="58"/>
      <c r="N374" s="58" t="s">
        <v>242</v>
      </c>
      <c r="O374" s="58"/>
      <c r="P374" s="63">
        <v>0.01</v>
      </c>
      <c r="Q374" s="63">
        <v>0.01</v>
      </c>
    </row>
    <row r="375" spans="2:17" ht="20.25" customHeight="1" x14ac:dyDescent="0.3">
      <c r="B375" s="59" t="s">
        <v>13</v>
      </c>
      <c r="C375" s="59" t="s">
        <v>75</v>
      </c>
      <c r="D375" s="62" t="str">
        <f t="shared" si="9"/>
        <v>BMW5_series</v>
      </c>
      <c r="E375" s="59" t="s">
        <v>579</v>
      </c>
      <c r="F375" s="60">
        <v>83600000</v>
      </c>
      <c r="G375" s="60">
        <v>1998</v>
      </c>
      <c r="H375" s="58" t="s">
        <v>241</v>
      </c>
      <c r="I375" s="58" t="s">
        <v>242</v>
      </c>
      <c r="J375" s="58" t="s">
        <v>1610</v>
      </c>
      <c r="K375" s="58" t="s">
        <v>1787</v>
      </c>
      <c r="L375" s="58" t="s">
        <v>395</v>
      </c>
      <c r="M375" s="58"/>
      <c r="N375" s="58" t="s">
        <v>242</v>
      </c>
      <c r="O375" s="58"/>
      <c r="P375" s="63">
        <v>0.01</v>
      </c>
      <c r="Q375" s="63">
        <v>0.01</v>
      </c>
    </row>
    <row r="376" spans="2:17" ht="20.25" customHeight="1" x14ac:dyDescent="0.3">
      <c r="B376" s="59" t="s">
        <v>13</v>
      </c>
      <c r="C376" s="59" t="s">
        <v>75</v>
      </c>
      <c r="D376" s="62" t="str">
        <f t="shared" si="9"/>
        <v>BMW5_series</v>
      </c>
      <c r="E376" s="59" t="s">
        <v>580</v>
      </c>
      <c r="F376" s="60">
        <v>89400000</v>
      </c>
      <c r="G376" s="60">
        <v>1998</v>
      </c>
      <c r="H376" s="58" t="s">
        <v>241</v>
      </c>
      <c r="I376" s="58" t="s">
        <v>242</v>
      </c>
      <c r="J376" s="58" t="s">
        <v>1613</v>
      </c>
      <c r="K376" s="58" t="s">
        <v>1787</v>
      </c>
      <c r="L376" s="58" t="s">
        <v>395</v>
      </c>
      <c r="M376" s="58"/>
      <c r="N376" s="58" t="s">
        <v>242</v>
      </c>
      <c r="O376" s="58"/>
      <c r="P376" s="63">
        <v>0.01</v>
      </c>
      <c r="Q376" s="63">
        <v>0.01</v>
      </c>
    </row>
    <row r="377" spans="2:17" ht="20.25" customHeight="1" x14ac:dyDescent="0.3">
      <c r="B377" s="59" t="s">
        <v>13</v>
      </c>
      <c r="C377" s="59" t="s">
        <v>75</v>
      </c>
      <c r="D377" s="62" t="str">
        <f t="shared" si="9"/>
        <v>BMW5_series</v>
      </c>
      <c r="E377" s="59" t="s">
        <v>581</v>
      </c>
      <c r="F377" s="60">
        <v>92400000</v>
      </c>
      <c r="G377" s="60">
        <v>1998</v>
      </c>
      <c r="H377" s="58" t="s">
        <v>241</v>
      </c>
      <c r="I377" s="58" t="s">
        <v>242</v>
      </c>
      <c r="J377" s="58" t="s">
        <v>1613</v>
      </c>
      <c r="K377" s="58" t="s">
        <v>1787</v>
      </c>
      <c r="L377" s="58" t="s">
        <v>395</v>
      </c>
      <c r="M377" s="58"/>
      <c r="N377" s="58" t="s">
        <v>242</v>
      </c>
      <c r="O377" s="58"/>
      <c r="P377" s="63">
        <v>0.01</v>
      </c>
      <c r="Q377" s="63">
        <v>0.01</v>
      </c>
    </row>
    <row r="378" spans="2:17" ht="20.25" customHeight="1" x14ac:dyDescent="0.3">
      <c r="B378" s="59" t="s">
        <v>13</v>
      </c>
      <c r="C378" s="59" t="s">
        <v>75</v>
      </c>
      <c r="D378" s="62" t="str">
        <f t="shared" si="9"/>
        <v>BMW5_series</v>
      </c>
      <c r="E378" s="59" t="s">
        <v>582</v>
      </c>
      <c r="F378" s="60">
        <v>95400000</v>
      </c>
      <c r="G378" s="60">
        <v>1998</v>
      </c>
      <c r="H378" s="58" t="s">
        <v>241</v>
      </c>
      <c r="I378" s="58" t="s">
        <v>242</v>
      </c>
      <c r="J378" s="58" t="s">
        <v>1613</v>
      </c>
      <c r="K378" s="58" t="s">
        <v>1787</v>
      </c>
      <c r="L378" s="58" t="s">
        <v>395</v>
      </c>
      <c r="M378" s="58"/>
      <c r="N378" s="58" t="s">
        <v>242</v>
      </c>
      <c r="O378" s="58"/>
      <c r="P378" s="63">
        <v>0.01</v>
      </c>
      <c r="Q378" s="63">
        <v>0.01</v>
      </c>
    </row>
    <row r="379" spans="2:17" ht="20.25" customHeight="1" x14ac:dyDescent="0.3">
      <c r="B379" s="59" t="s">
        <v>13</v>
      </c>
      <c r="C379" s="59" t="s">
        <v>75</v>
      </c>
      <c r="D379" s="62" t="str">
        <f t="shared" si="9"/>
        <v>BMW5_series</v>
      </c>
      <c r="E379" s="59" t="s">
        <v>1599</v>
      </c>
      <c r="F379" s="60">
        <v>113500000</v>
      </c>
      <c r="G379" s="60">
        <v>2998</v>
      </c>
      <c r="H379" s="58" t="s">
        <v>241</v>
      </c>
      <c r="I379" s="58" t="s">
        <v>242</v>
      </c>
      <c r="J379" s="58" t="s">
        <v>1613</v>
      </c>
      <c r="K379" s="58"/>
      <c r="L379" s="58" t="s">
        <v>1499</v>
      </c>
      <c r="M379" s="58"/>
      <c r="N379" s="58" t="s">
        <v>242</v>
      </c>
      <c r="O379" s="58"/>
      <c r="P379" s="63"/>
      <c r="Q379" s="63"/>
    </row>
    <row r="380" spans="2:17" ht="20.25" customHeight="1" x14ac:dyDescent="0.3">
      <c r="B380" s="59" t="s">
        <v>13</v>
      </c>
      <c r="C380" s="59" t="s">
        <v>76</v>
      </c>
      <c r="D380" s="62" t="str">
        <f t="shared" si="9"/>
        <v>BMW6_series</v>
      </c>
      <c r="E380" s="59" t="s">
        <v>583</v>
      </c>
      <c r="F380" s="60">
        <v>81600000</v>
      </c>
      <c r="G380" s="60">
        <v>1995</v>
      </c>
      <c r="H380" s="58" t="s">
        <v>250</v>
      </c>
      <c r="I380" s="58" t="s">
        <v>242</v>
      </c>
      <c r="J380" s="58" t="s">
        <v>1515</v>
      </c>
      <c r="K380" s="58"/>
      <c r="L380" s="58" t="s">
        <v>279</v>
      </c>
      <c r="M380" s="58"/>
      <c r="N380" s="58" t="s">
        <v>242</v>
      </c>
      <c r="O380" s="58"/>
      <c r="P380" s="63"/>
      <c r="Q380" s="63"/>
    </row>
    <row r="381" spans="2:17" ht="20.25" customHeight="1" x14ac:dyDescent="0.3">
      <c r="B381" s="59" t="s">
        <v>13</v>
      </c>
      <c r="C381" s="59" t="s">
        <v>76</v>
      </c>
      <c r="D381" s="62" t="str">
        <f t="shared" si="9"/>
        <v>BMW6_series</v>
      </c>
      <c r="E381" s="59" t="s">
        <v>584</v>
      </c>
      <c r="F381" s="60">
        <v>84600000</v>
      </c>
      <c r="G381" s="60">
        <v>1995</v>
      </c>
      <c r="H381" s="58" t="s">
        <v>250</v>
      </c>
      <c r="I381" s="58" t="s">
        <v>242</v>
      </c>
      <c r="J381" s="58" t="s">
        <v>1515</v>
      </c>
      <c r="K381" s="58"/>
      <c r="L381" s="58" t="s">
        <v>279</v>
      </c>
      <c r="M381" s="58"/>
      <c r="N381" s="58" t="s">
        <v>242</v>
      </c>
      <c r="O381" s="58"/>
      <c r="P381" s="63"/>
      <c r="Q381" s="63"/>
    </row>
    <row r="382" spans="2:17" ht="20.25" customHeight="1" x14ac:dyDescent="0.3">
      <c r="B382" s="59" t="s">
        <v>13</v>
      </c>
      <c r="C382" s="59" t="s">
        <v>76</v>
      </c>
      <c r="D382" s="62" t="str">
        <f t="shared" si="9"/>
        <v>BMW6_series</v>
      </c>
      <c r="E382" s="59" t="s">
        <v>585</v>
      </c>
      <c r="F382" s="60">
        <v>85600000</v>
      </c>
      <c r="G382" s="60">
        <v>1995</v>
      </c>
      <c r="H382" s="58" t="s">
        <v>250</v>
      </c>
      <c r="I382" s="58" t="s">
        <v>242</v>
      </c>
      <c r="J382" s="58" t="s">
        <v>1515</v>
      </c>
      <c r="K382" s="58"/>
      <c r="L382" s="58" t="s">
        <v>279</v>
      </c>
      <c r="M382" s="58"/>
      <c r="N382" s="58" t="s">
        <v>242</v>
      </c>
      <c r="O382" s="58"/>
      <c r="P382" s="63"/>
      <c r="Q382" s="63"/>
    </row>
    <row r="383" spans="2:17" ht="20.25" customHeight="1" x14ac:dyDescent="0.3">
      <c r="B383" s="59" t="s">
        <v>13</v>
      </c>
      <c r="C383" s="59" t="s">
        <v>76</v>
      </c>
      <c r="D383" s="62" t="str">
        <f t="shared" si="9"/>
        <v>BMW6_series</v>
      </c>
      <c r="E383" s="59" t="s">
        <v>586</v>
      </c>
      <c r="F383" s="60">
        <v>88600000</v>
      </c>
      <c r="G383" s="60">
        <v>1995</v>
      </c>
      <c r="H383" s="58" t="s">
        <v>250</v>
      </c>
      <c r="I383" s="58" t="s">
        <v>242</v>
      </c>
      <c r="J383" s="58" t="s">
        <v>1515</v>
      </c>
      <c r="K383" s="58"/>
      <c r="L383" s="58" t="s">
        <v>279</v>
      </c>
      <c r="M383" s="58"/>
      <c r="N383" s="58" t="s">
        <v>242</v>
      </c>
      <c r="O383" s="58"/>
      <c r="P383" s="63"/>
      <c r="Q383" s="63"/>
    </row>
    <row r="384" spans="2:17" ht="20.25" customHeight="1" x14ac:dyDescent="0.3">
      <c r="B384" s="59" t="s">
        <v>13</v>
      </c>
      <c r="C384" s="59" t="s">
        <v>76</v>
      </c>
      <c r="D384" s="62" t="str">
        <f t="shared" si="9"/>
        <v>BMW6_series</v>
      </c>
      <c r="E384" s="59" t="s">
        <v>587</v>
      </c>
      <c r="F384" s="60">
        <v>88500000</v>
      </c>
      <c r="G384" s="60">
        <v>2998</v>
      </c>
      <c r="H384" s="58" t="s">
        <v>241</v>
      </c>
      <c r="I384" s="58" t="s">
        <v>242</v>
      </c>
      <c r="J384" s="58" t="s">
        <v>1614</v>
      </c>
      <c r="K384" s="58"/>
      <c r="L384" s="58" t="s">
        <v>279</v>
      </c>
      <c r="M384" s="58"/>
      <c r="N384" s="58" t="s">
        <v>242</v>
      </c>
      <c r="O384" s="58"/>
      <c r="P384" s="63"/>
      <c r="Q384" s="63"/>
    </row>
    <row r="385" spans="2:17" ht="20.25" customHeight="1" x14ac:dyDescent="0.3">
      <c r="B385" s="59" t="s">
        <v>13</v>
      </c>
      <c r="C385" s="59" t="s">
        <v>76</v>
      </c>
      <c r="D385" s="62" t="str">
        <f t="shared" si="9"/>
        <v>BMW6_series</v>
      </c>
      <c r="E385" s="59" t="s">
        <v>588</v>
      </c>
      <c r="F385" s="60">
        <v>94100000</v>
      </c>
      <c r="G385" s="60">
        <v>2998</v>
      </c>
      <c r="H385" s="58" t="s">
        <v>241</v>
      </c>
      <c r="I385" s="58" t="s">
        <v>242</v>
      </c>
      <c r="J385" s="58" t="s">
        <v>1614</v>
      </c>
      <c r="K385" s="58"/>
      <c r="L385" s="58" t="s">
        <v>279</v>
      </c>
      <c r="M385" s="58"/>
      <c r="N385" s="58" t="s">
        <v>242</v>
      </c>
      <c r="O385" s="58"/>
      <c r="P385" s="63"/>
      <c r="Q385" s="63"/>
    </row>
    <row r="386" spans="2:17" ht="20.25" customHeight="1" x14ac:dyDescent="0.3">
      <c r="B386" s="59" t="s">
        <v>13</v>
      </c>
      <c r="C386" s="59" t="s">
        <v>76</v>
      </c>
      <c r="D386" s="62" t="str">
        <f t="shared" si="9"/>
        <v>BMW6_series</v>
      </c>
      <c r="E386" s="59" t="s">
        <v>589</v>
      </c>
      <c r="F386" s="60">
        <v>99500000</v>
      </c>
      <c r="G386" s="60">
        <v>2998</v>
      </c>
      <c r="H386" s="58" t="s">
        <v>241</v>
      </c>
      <c r="I386" s="58" t="s">
        <v>242</v>
      </c>
      <c r="J386" s="58" t="s">
        <v>1614</v>
      </c>
      <c r="K386" s="58"/>
      <c r="L386" s="58" t="s">
        <v>279</v>
      </c>
      <c r="M386" s="58"/>
      <c r="N386" s="58" t="s">
        <v>242</v>
      </c>
      <c r="O386" s="58"/>
      <c r="P386" s="63"/>
      <c r="Q386" s="63"/>
    </row>
    <row r="387" spans="2:17" ht="20.25" customHeight="1" x14ac:dyDescent="0.3">
      <c r="B387" s="59" t="s">
        <v>13</v>
      </c>
      <c r="C387" s="59" t="s">
        <v>76</v>
      </c>
      <c r="D387" s="62" t="str">
        <f t="shared" si="9"/>
        <v>BMW6_series</v>
      </c>
      <c r="E387" s="59" t="s">
        <v>590</v>
      </c>
      <c r="F387" s="60">
        <v>103700000</v>
      </c>
      <c r="G387" s="60">
        <v>2998</v>
      </c>
      <c r="H387" s="58" t="s">
        <v>241</v>
      </c>
      <c r="I387" s="58" t="s">
        <v>242</v>
      </c>
      <c r="J387" s="58" t="s">
        <v>1614</v>
      </c>
      <c r="K387" s="58"/>
      <c r="L387" s="58" t="s">
        <v>279</v>
      </c>
      <c r="M387" s="58"/>
      <c r="N387" s="58" t="s">
        <v>242</v>
      </c>
      <c r="O387" s="58"/>
      <c r="P387" s="63"/>
      <c r="Q387" s="63"/>
    </row>
    <row r="388" spans="2:17" ht="20.25" customHeight="1" x14ac:dyDescent="0.3">
      <c r="B388" s="59" t="s">
        <v>13</v>
      </c>
      <c r="C388" s="59" t="s">
        <v>77</v>
      </c>
      <c r="D388" s="62" t="str">
        <f t="shared" si="9"/>
        <v>BMW7_series</v>
      </c>
      <c r="E388" s="59" t="s">
        <v>591</v>
      </c>
      <c r="F388" s="60">
        <v>158400000</v>
      </c>
      <c r="G388" s="60">
        <v>2993</v>
      </c>
      <c r="H388" s="58" t="s">
        <v>250</v>
      </c>
      <c r="I388" s="58" t="s">
        <v>242</v>
      </c>
      <c r="J388" s="58" t="s">
        <v>1613</v>
      </c>
      <c r="K388" s="58" t="s">
        <v>1788</v>
      </c>
      <c r="L388" s="58" t="s">
        <v>62</v>
      </c>
      <c r="M388" s="58"/>
      <c r="N388" s="58" t="s">
        <v>242</v>
      </c>
      <c r="O388" s="58"/>
      <c r="P388" s="63">
        <v>0.01</v>
      </c>
      <c r="Q388" s="63">
        <v>0.01</v>
      </c>
    </row>
    <row r="389" spans="2:17" ht="20.25" customHeight="1" x14ac:dyDescent="0.3">
      <c r="B389" s="59" t="s">
        <v>13</v>
      </c>
      <c r="C389" s="59" t="s">
        <v>77</v>
      </c>
      <c r="D389" s="62" t="str">
        <f t="shared" si="9"/>
        <v>BMW7_series</v>
      </c>
      <c r="E389" s="59" t="s">
        <v>592</v>
      </c>
      <c r="F389" s="60">
        <v>161700000</v>
      </c>
      <c r="G389" s="60">
        <v>2993</v>
      </c>
      <c r="H389" s="58" t="s">
        <v>250</v>
      </c>
      <c r="I389" s="58" t="s">
        <v>242</v>
      </c>
      <c r="J389" s="58" t="s">
        <v>1613</v>
      </c>
      <c r="K389" s="58" t="s">
        <v>1788</v>
      </c>
      <c r="L389" s="58" t="s">
        <v>62</v>
      </c>
      <c r="M389" s="58"/>
      <c r="N389" s="58" t="s">
        <v>242</v>
      </c>
      <c r="O389" s="58"/>
      <c r="P389" s="63">
        <v>0.01</v>
      </c>
      <c r="Q389" s="63">
        <v>0.01</v>
      </c>
    </row>
    <row r="390" spans="2:17" ht="20.25" customHeight="1" x14ac:dyDescent="0.3">
      <c r="B390" s="59" t="s">
        <v>13</v>
      </c>
      <c r="C390" s="59" t="s">
        <v>77</v>
      </c>
      <c r="D390" s="62" t="str">
        <f t="shared" si="9"/>
        <v>BMW7_series</v>
      </c>
      <c r="E390" s="59" t="s">
        <v>593</v>
      </c>
      <c r="F390" s="60">
        <v>173000000</v>
      </c>
      <c r="G390" s="60">
        <v>2998</v>
      </c>
      <c r="H390" s="58" t="s">
        <v>241</v>
      </c>
      <c r="I390" s="58" t="s">
        <v>242</v>
      </c>
      <c r="J390" s="58" t="s">
        <v>1515</v>
      </c>
      <c r="K390" s="58" t="s">
        <v>1789</v>
      </c>
      <c r="L390" s="58" t="s">
        <v>470</v>
      </c>
      <c r="M390" s="58"/>
      <c r="N390" s="58" t="s">
        <v>242</v>
      </c>
      <c r="O390" s="58"/>
      <c r="P390" s="63">
        <v>0.01</v>
      </c>
      <c r="Q390" s="63">
        <v>0.01</v>
      </c>
    </row>
    <row r="391" spans="2:17" ht="20.25" customHeight="1" x14ac:dyDescent="0.3">
      <c r="B391" s="59" t="s">
        <v>13</v>
      </c>
      <c r="C391" s="59" t="s">
        <v>77</v>
      </c>
      <c r="D391" s="62" t="str">
        <f t="shared" si="9"/>
        <v>BMW7_series</v>
      </c>
      <c r="E391" s="59" t="s">
        <v>594</v>
      </c>
      <c r="F391" s="60">
        <v>176300000</v>
      </c>
      <c r="G391" s="60">
        <v>2998</v>
      </c>
      <c r="H391" s="58" t="s">
        <v>241</v>
      </c>
      <c r="I391" s="58" t="s">
        <v>242</v>
      </c>
      <c r="J391" s="58" t="s">
        <v>1515</v>
      </c>
      <c r="K391" s="58" t="s">
        <v>1789</v>
      </c>
      <c r="L391" s="58" t="s">
        <v>470</v>
      </c>
      <c r="M391" s="58"/>
      <c r="N391" s="58" t="s">
        <v>242</v>
      </c>
      <c r="O391" s="58"/>
      <c r="P391" s="63">
        <v>0.01</v>
      </c>
      <c r="Q391" s="63">
        <v>0.01</v>
      </c>
    </row>
    <row r="392" spans="2:17" ht="20.25" customHeight="1" x14ac:dyDescent="0.3">
      <c r="B392" s="59" t="s">
        <v>13</v>
      </c>
      <c r="C392" s="59" t="s">
        <v>77</v>
      </c>
      <c r="D392" s="62" t="str">
        <f t="shared" si="9"/>
        <v>BMW7_series</v>
      </c>
      <c r="E392" s="59" t="s">
        <v>595</v>
      </c>
      <c r="F392" s="60">
        <v>174900000</v>
      </c>
      <c r="G392" s="60">
        <v>2998</v>
      </c>
      <c r="H392" s="58" t="s">
        <v>241</v>
      </c>
      <c r="I392" s="58" t="s">
        <v>242</v>
      </c>
      <c r="J392" s="58" t="s">
        <v>1515</v>
      </c>
      <c r="K392" s="58" t="s">
        <v>1789</v>
      </c>
      <c r="L392" s="58" t="s">
        <v>470</v>
      </c>
      <c r="M392" s="58"/>
      <c r="N392" s="58" t="s">
        <v>242</v>
      </c>
      <c r="O392" s="58"/>
      <c r="P392" s="63">
        <v>0.01</v>
      </c>
      <c r="Q392" s="63">
        <v>0.01</v>
      </c>
    </row>
    <row r="393" spans="2:17" ht="20.25" customHeight="1" x14ac:dyDescent="0.3">
      <c r="B393" s="59" t="s">
        <v>13</v>
      </c>
      <c r="C393" s="59" t="s">
        <v>77</v>
      </c>
      <c r="D393" s="62" t="str">
        <f t="shared" si="9"/>
        <v>BMW7_series</v>
      </c>
      <c r="E393" s="59" t="s">
        <v>596</v>
      </c>
      <c r="F393" s="60">
        <v>200000000</v>
      </c>
      <c r="G393" s="60">
        <v>2998</v>
      </c>
      <c r="H393" s="58" t="s">
        <v>241</v>
      </c>
      <c r="I393" s="58" t="s">
        <v>242</v>
      </c>
      <c r="J393" s="58" t="s">
        <v>1615</v>
      </c>
      <c r="K393" s="58" t="s">
        <v>1790</v>
      </c>
      <c r="L393" s="58" t="s">
        <v>470</v>
      </c>
      <c r="M393" s="58"/>
      <c r="N393" s="58" t="s">
        <v>242</v>
      </c>
      <c r="O393" s="58"/>
      <c r="P393" s="63">
        <v>0.01</v>
      </c>
      <c r="Q393" s="63">
        <v>0.01</v>
      </c>
    </row>
    <row r="394" spans="2:17" ht="20.25" customHeight="1" x14ac:dyDescent="0.3">
      <c r="B394" s="59" t="s">
        <v>13</v>
      </c>
      <c r="C394" s="59" t="s">
        <v>77</v>
      </c>
      <c r="D394" s="62" t="str">
        <f t="shared" si="9"/>
        <v>BMW7_series</v>
      </c>
      <c r="E394" s="59" t="s">
        <v>597</v>
      </c>
      <c r="F394" s="60">
        <v>200000000</v>
      </c>
      <c r="G394" s="60">
        <v>2998</v>
      </c>
      <c r="H394" s="58" t="s">
        <v>241</v>
      </c>
      <c r="I394" s="58" t="s">
        <v>242</v>
      </c>
      <c r="J394" s="58" t="s">
        <v>1615</v>
      </c>
      <c r="K394" s="58" t="s">
        <v>1790</v>
      </c>
      <c r="L394" s="58" t="s">
        <v>470</v>
      </c>
      <c r="M394" s="58"/>
      <c r="N394" s="58" t="s">
        <v>242</v>
      </c>
      <c r="O394" s="58"/>
      <c r="P394" s="63">
        <v>0.01</v>
      </c>
      <c r="Q394" s="63">
        <v>0.01</v>
      </c>
    </row>
    <row r="395" spans="2:17" ht="20.25" customHeight="1" x14ac:dyDescent="0.3">
      <c r="B395" s="59" t="s">
        <v>13</v>
      </c>
      <c r="C395" s="59" t="s">
        <v>78</v>
      </c>
      <c r="D395" s="62" t="str">
        <f t="shared" si="9"/>
        <v>BMW8_series</v>
      </c>
      <c r="E395" s="59" t="s">
        <v>598</v>
      </c>
      <c r="F395" s="60">
        <v>138600000</v>
      </c>
      <c r="G395" s="60">
        <v>2998</v>
      </c>
      <c r="H395" s="58" t="s">
        <v>241</v>
      </c>
      <c r="I395" s="58" t="s">
        <v>242</v>
      </c>
      <c r="J395" s="58" t="s">
        <v>1615</v>
      </c>
      <c r="K395" s="58"/>
      <c r="L395" s="58" t="s">
        <v>599</v>
      </c>
      <c r="M395" s="58"/>
      <c r="N395" s="58" t="s">
        <v>242</v>
      </c>
      <c r="O395" s="58"/>
      <c r="P395" s="63"/>
      <c r="Q395" s="63"/>
    </row>
    <row r="396" spans="2:17" ht="20.25" customHeight="1" x14ac:dyDescent="0.3">
      <c r="B396" s="59" t="s">
        <v>13</v>
      </c>
      <c r="C396" s="59" t="s">
        <v>78</v>
      </c>
      <c r="D396" s="62" t="str">
        <f t="shared" si="9"/>
        <v>BMW8_series</v>
      </c>
      <c r="E396" s="59" t="s">
        <v>600</v>
      </c>
      <c r="F396" s="60">
        <v>134800000</v>
      </c>
      <c r="G396" s="60">
        <v>2998</v>
      </c>
      <c r="H396" s="58" t="s">
        <v>241</v>
      </c>
      <c r="I396" s="58" t="s">
        <v>242</v>
      </c>
      <c r="J396" s="58" t="s">
        <v>1615</v>
      </c>
      <c r="K396" s="58"/>
      <c r="L396" s="58" t="s">
        <v>599</v>
      </c>
      <c r="M396" s="58"/>
      <c r="N396" s="58" t="s">
        <v>242</v>
      </c>
      <c r="O396" s="58"/>
      <c r="P396" s="63"/>
      <c r="Q396" s="63"/>
    </row>
    <row r="397" spans="2:17" ht="20.25" customHeight="1" x14ac:dyDescent="0.3">
      <c r="B397" s="59" t="s">
        <v>13</v>
      </c>
      <c r="C397" s="59" t="s">
        <v>78</v>
      </c>
      <c r="D397" s="62" t="str">
        <f t="shared" si="9"/>
        <v>BMW8_series</v>
      </c>
      <c r="E397" s="59" t="s">
        <v>601</v>
      </c>
      <c r="F397" s="60">
        <v>136300000</v>
      </c>
      <c r="G397" s="60">
        <v>2998</v>
      </c>
      <c r="H397" s="58" t="s">
        <v>250</v>
      </c>
      <c r="I397" s="58" t="s">
        <v>242</v>
      </c>
      <c r="J397" s="58" t="s">
        <v>1615</v>
      </c>
      <c r="K397" s="58"/>
      <c r="L397" s="58" t="s">
        <v>599</v>
      </c>
      <c r="M397" s="58"/>
      <c r="N397" s="58" t="s">
        <v>242</v>
      </c>
      <c r="O397" s="58"/>
      <c r="P397" s="63"/>
      <c r="Q397" s="63"/>
    </row>
    <row r="398" spans="2:17" ht="20.25" customHeight="1" x14ac:dyDescent="0.3">
      <c r="B398" s="59" t="s">
        <v>13</v>
      </c>
      <c r="C398" s="59" t="s">
        <v>78</v>
      </c>
      <c r="D398" s="62" t="str">
        <f t="shared" si="9"/>
        <v>BMW8_series</v>
      </c>
      <c r="E398" s="59" t="s">
        <v>602</v>
      </c>
      <c r="F398" s="60">
        <v>142900000</v>
      </c>
      <c r="G398" s="60">
        <v>4395</v>
      </c>
      <c r="H398" s="58" t="s">
        <v>241</v>
      </c>
      <c r="I398" s="58" t="s">
        <v>242</v>
      </c>
      <c r="J398" s="58" t="s">
        <v>1589</v>
      </c>
      <c r="K398" s="58"/>
      <c r="L398" s="58" t="s">
        <v>599</v>
      </c>
      <c r="M398" s="58"/>
      <c r="N398" s="58" t="s">
        <v>242</v>
      </c>
      <c r="O398" s="58"/>
      <c r="P398" s="63"/>
      <c r="Q398" s="63"/>
    </row>
    <row r="399" spans="2:17" ht="20.25" customHeight="1" x14ac:dyDescent="0.3">
      <c r="B399" s="59" t="s">
        <v>13</v>
      </c>
      <c r="C399" s="59" t="s">
        <v>78</v>
      </c>
      <c r="D399" s="62" t="str">
        <f t="shared" si="9"/>
        <v>BMW8_series</v>
      </c>
      <c r="E399" s="59" t="s">
        <v>603</v>
      </c>
      <c r="F399" s="60">
        <v>139100000</v>
      </c>
      <c r="G399" s="60">
        <v>4395</v>
      </c>
      <c r="H399" s="58" t="s">
        <v>241</v>
      </c>
      <c r="I399" s="58" t="s">
        <v>242</v>
      </c>
      <c r="J399" s="58" t="s">
        <v>1589</v>
      </c>
      <c r="K399" s="58"/>
      <c r="L399" s="58" t="s">
        <v>599</v>
      </c>
      <c r="M399" s="58"/>
      <c r="N399" s="58" t="s">
        <v>242</v>
      </c>
      <c r="O399" s="58"/>
      <c r="P399" s="63"/>
      <c r="Q399" s="63"/>
    </row>
    <row r="400" spans="2:17" ht="20.25" customHeight="1" x14ac:dyDescent="0.3">
      <c r="B400" s="59" t="s">
        <v>13</v>
      </c>
      <c r="C400" s="59" t="s">
        <v>87</v>
      </c>
      <c r="D400" s="62" t="str">
        <f t="shared" si="9"/>
        <v>BMWi</v>
      </c>
      <c r="E400" s="59" t="s">
        <v>604</v>
      </c>
      <c r="F400" s="60">
        <v>54300000</v>
      </c>
      <c r="G400" s="60">
        <v>0</v>
      </c>
      <c r="H400" s="58" t="s">
        <v>308</v>
      </c>
      <c r="I400" s="58" t="s">
        <v>308</v>
      </c>
      <c r="J400" s="58" t="s">
        <v>1614</v>
      </c>
      <c r="K400" s="58"/>
      <c r="L400" s="58" t="s">
        <v>248</v>
      </c>
      <c r="M400" s="58"/>
      <c r="N400" s="58" t="s">
        <v>242</v>
      </c>
      <c r="O400" s="58"/>
      <c r="P400" s="63"/>
      <c r="Q400" s="63"/>
    </row>
    <row r="401" spans="2:17" ht="20.25" customHeight="1" x14ac:dyDescent="0.3">
      <c r="B401" s="59" t="s">
        <v>13</v>
      </c>
      <c r="C401" s="59" t="s">
        <v>87</v>
      </c>
      <c r="D401" s="62" t="str">
        <f t="shared" si="9"/>
        <v>BMWi</v>
      </c>
      <c r="E401" s="59" t="s">
        <v>605</v>
      </c>
      <c r="F401" s="60">
        <v>65600000</v>
      </c>
      <c r="G401" s="60">
        <v>0</v>
      </c>
      <c r="H401" s="58" t="s">
        <v>308</v>
      </c>
      <c r="I401" s="58" t="s">
        <v>308</v>
      </c>
      <c r="J401" s="58" t="s">
        <v>1614</v>
      </c>
      <c r="K401" s="58"/>
      <c r="L401" s="58" t="s">
        <v>248</v>
      </c>
      <c r="M401" s="58"/>
      <c r="N401" s="58" t="s">
        <v>242</v>
      </c>
      <c r="O401" s="58"/>
      <c r="P401" s="63"/>
      <c r="Q401" s="63"/>
    </row>
    <row r="402" spans="2:17" ht="20.25" customHeight="1" x14ac:dyDescent="0.3">
      <c r="B402" s="59" t="s">
        <v>13</v>
      </c>
      <c r="C402" s="59" t="s">
        <v>87</v>
      </c>
      <c r="D402" s="62" t="str">
        <f t="shared" si="9"/>
        <v>BMWi</v>
      </c>
      <c r="E402" s="59" t="s">
        <v>606</v>
      </c>
      <c r="F402" s="60">
        <v>66500000</v>
      </c>
      <c r="G402" s="60">
        <v>0</v>
      </c>
      <c r="H402" s="58" t="s">
        <v>308</v>
      </c>
      <c r="I402" s="58" t="s">
        <v>308</v>
      </c>
      <c r="J402" s="58" t="s">
        <v>1614</v>
      </c>
      <c r="K402" s="58"/>
      <c r="L402" s="58" t="s">
        <v>246</v>
      </c>
      <c r="M402" s="58"/>
      <c r="N402" s="58" t="s">
        <v>242</v>
      </c>
      <c r="O402" s="58"/>
      <c r="P402" s="63"/>
      <c r="Q402" s="63"/>
    </row>
    <row r="403" spans="2:17" ht="20.25" customHeight="1" x14ac:dyDescent="0.3">
      <c r="B403" s="59" t="s">
        <v>13</v>
      </c>
      <c r="C403" s="59" t="s">
        <v>87</v>
      </c>
      <c r="D403" s="62" t="str">
        <f t="shared" si="9"/>
        <v>BMWi</v>
      </c>
      <c r="E403" s="59" t="s">
        <v>607</v>
      </c>
      <c r="F403" s="60">
        <v>77300000</v>
      </c>
      <c r="G403" s="60">
        <v>0</v>
      </c>
      <c r="H403" s="58" t="s">
        <v>308</v>
      </c>
      <c r="I403" s="58" t="s">
        <v>308</v>
      </c>
      <c r="J403" s="58" t="s">
        <v>1614</v>
      </c>
      <c r="K403" s="58"/>
      <c r="L403" s="58" t="s">
        <v>246</v>
      </c>
      <c r="M403" s="58"/>
      <c r="N403" s="58" t="s">
        <v>242</v>
      </c>
      <c r="O403" s="58"/>
      <c r="P403" s="63"/>
      <c r="Q403" s="63"/>
    </row>
    <row r="404" spans="2:17" ht="20.25" customHeight="1" x14ac:dyDescent="0.3">
      <c r="B404" s="59" t="s">
        <v>13</v>
      </c>
      <c r="C404" s="59" t="s">
        <v>87</v>
      </c>
      <c r="D404" s="62" t="str">
        <f t="shared" si="9"/>
        <v>BMWi</v>
      </c>
      <c r="E404" s="59" t="s">
        <v>608</v>
      </c>
      <c r="F404" s="60">
        <v>84900000</v>
      </c>
      <c r="G404" s="60">
        <v>0</v>
      </c>
      <c r="H404" s="58" t="s">
        <v>308</v>
      </c>
      <c r="I404" s="58" t="s">
        <v>308</v>
      </c>
      <c r="J404" s="58" t="s">
        <v>1614</v>
      </c>
      <c r="K404" s="58"/>
      <c r="L404" s="58" t="s">
        <v>246</v>
      </c>
      <c r="M404" s="58"/>
      <c r="N404" s="58" t="s">
        <v>242</v>
      </c>
      <c r="O404" s="58"/>
      <c r="P404" s="63"/>
      <c r="Q404" s="63"/>
    </row>
    <row r="405" spans="2:17" ht="20.25" customHeight="1" x14ac:dyDescent="0.3">
      <c r="B405" s="59" t="s">
        <v>13</v>
      </c>
      <c r="C405" s="59" t="s">
        <v>87</v>
      </c>
      <c r="D405" s="62" t="str">
        <f t="shared" si="9"/>
        <v>BMWi</v>
      </c>
      <c r="E405" s="59" t="s">
        <v>609</v>
      </c>
      <c r="F405" s="60">
        <v>88200000</v>
      </c>
      <c r="G405" s="60">
        <v>0</v>
      </c>
      <c r="H405" s="58" t="s">
        <v>308</v>
      </c>
      <c r="I405" s="58" t="s">
        <v>308</v>
      </c>
      <c r="J405" s="58" t="s">
        <v>1614</v>
      </c>
      <c r="K405" s="58"/>
      <c r="L405" s="58" t="s">
        <v>246</v>
      </c>
      <c r="M405" s="58"/>
      <c r="N405" s="58" t="s">
        <v>242</v>
      </c>
      <c r="O405" s="58"/>
      <c r="P405" s="63"/>
      <c r="Q405" s="63"/>
    </row>
    <row r="406" spans="2:17" ht="20.25" customHeight="1" x14ac:dyDescent="0.3">
      <c r="B406" s="59" t="s">
        <v>13</v>
      </c>
      <c r="C406" s="59" t="s">
        <v>87</v>
      </c>
      <c r="D406" s="62" t="str">
        <f t="shared" si="9"/>
        <v>BMWi</v>
      </c>
      <c r="E406" s="59" t="s">
        <v>610</v>
      </c>
      <c r="F406" s="60">
        <v>93900000</v>
      </c>
      <c r="G406" s="60">
        <v>0</v>
      </c>
      <c r="H406" s="58" t="s">
        <v>308</v>
      </c>
      <c r="I406" s="58" t="s">
        <v>308</v>
      </c>
      <c r="J406" s="58" t="s">
        <v>1614</v>
      </c>
      <c r="K406" s="58"/>
      <c r="L406" s="58" t="s">
        <v>284</v>
      </c>
      <c r="M406" s="58"/>
      <c r="N406" s="58" t="s">
        <v>242</v>
      </c>
      <c r="O406" s="58"/>
      <c r="P406" s="63"/>
      <c r="Q406" s="63"/>
    </row>
    <row r="407" spans="2:17" ht="20.25" customHeight="1" x14ac:dyDescent="0.3">
      <c r="B407" s="59" t="s">
        <v>13</v>
      </c>
      <c r="C407" s="59" t="s">
        <v>87</v>
      </c>
      <c r="D407" s="62" t="str">
        <f t="shared" si="9"/>
        <v>BMWi</v>
      </c>
      <c r="E407" s="59" t="s">
        <v>611</v>
      </c>
      <c r="F407" s="60">
        <v>96900000</v>
      </c>
      <c r="G407" s="60">
        <v>0</v>
      </c>
      <c r="H407" s="58" t="s">
        <v>308</v>
      </c>
      <c r="I407" s="58" t="s">
        <v>308</v>
      </c>
      <c r="J407" s="58" t="s">
        <v>1614</v>
      </c>
      <c r="K407" s="58"/>
      <c r="L407" s="58" t="s">
        <v>284</v>
      </c>
      <c r="M407" s="58"/>
      <c r="N407" s="58" t="s">
        <v>242</v>
      </c>
      <c r="O407" s="58"/>
      <c r="P407" s="63"/>
      <c r="Q407" s="63"/>
    </row>
    <row r="408" spans="2:17" ht="20.25" customHeight="1" x14ac:dyDescent="0.3">
      <c r="B408" s="59" t="s">
        <v>13</v>
      </c>
      <c r="C408" s="59" t="s">
        <v>87</v>
      </c>
      <c r="D408" s="62" t="str">
        <f t="shared" si="9"/>
        <v>BMWi</v>
      </c>
      <c r="E408" s="59" t="s">
        <v>612</v>
      </c>
      <c r="F408" s="60">
        <v>101700000</v>
      </c>
      <c r="G408" s="60">
        <v>0</v>
      </c>
      <c r="H408" s="58" t="s">
        <v>308</v>
      </c>
      <c r="I408" s="58" t="s">
        <v>308</v>
      </c>
      <c r="J408" s="58" t="s">
        <v>1614</v>
      </c>
      <c r="K408" s="58"/>
      <c r="L408" s="58" t="s">
        <v>284</v>
      </c>
      <c r="M408" s="58"/>
      <c r="N408" s="58" t="s">
        <v>242</v>
      </c>
      <c r="O408" s="58"/>
      <c r="P408" s="63"/>
      <c r="Q408" s="63"/>
    </row>
    <row r="409" spans="2:17" ht="20.25" customHeight="1" x14ac:dyDescent="0.3">
      <c r="B409" s="59" t="s">
        <v>13</v>
      </c>
      <c r="C409" s="59" t="s">
        <v>87</v>
      </c>
      <c r="D409" s="62" t="str">
        <f t="shared" si="9"/>
        <v>BMWi</v>
      </c>
      <c r="E409" s="59" t="s">
        <v>613</v>
      </c>
      <c r="F409" s="60">
        <v>103890000</v>
      </c>
      <c r="G409" s="60">
        <v>0</v>
      </c>
      <c r="H409" s="58" t="s">
        <v>308</v>
      </c>
      <c r="I409" s="58" t="s">
        <v>308</v>
      </c>
      <c r="J409" s="58" t="s">
        <v>1614</v>
      </c>
      <c r="K409" s="58"/>
      <c r="L409" s="58" t="s">
        <v>284</v>
      </c>
      <c r="M409" s="58"/>
      <c r="N409" s="58" t="s">
        <v>242</v>
      </c>
      <c r="O409" s="58"/>
      <c r="P409" s="63"/>
      <c r="Q409" s="63"/>
    </row>
    <row r="410" spans="2:17" ht="20.25" customHeight="1" x14ac:dyDescent="0.3">
      <c r="B410" s="59" t="s">
        <v>13</v>
      </c>
      <c r="C410" s="59" t="s">
        <v>87</v>
      </c>
      <c r="D410" s="62" t="str">
        <f t="shared" si="9"/>
        <v>BMWi</v>
      </c>
      <c r="E410" s="59" t="s">
        <v>614</v>
      </c>
      <c r="F410" s="60">
        <v>181900000</v>
      </c>
      <c r="G410" s="60">
        <v>0</v>
      </c>
      <c r="H410" s="58" t="s">
        <v>308</v>
      </c>
      <c r="I410" s="58" t="s">
        <v>308</v>
      </c>
      <c r="J410" s="58" t="s">
        <v>1615</v>
      </c>
      <c r="K410" s="58"/>
      <c r="L410" s="58" t="s">
        <v>599</v>
      </c>
      <c r="M410" s="58"/>
      <c r="N410" s="58" t="s">
        <v>242</v>
      </c>
      <c r="O410" s="58"/>
      <c r="P410" s="63"/>
      <c r="Q410" s="63"/>
    </row>
    <row r="411" spans="2:17" ht="20.25" customHeight="1" x14ac:dyDescent="0.3">
      <c r="B411" s="59" t="s">
        <v>13</v>
      </c>
      <c r="C411" s="59" t="s">
        <v>87</v>
      </c>
      <c r="D411" s="62" t="str">
        <f t="shared" si="9"/>
        <v>BMWi</v>
      </c>
      <c r="E411" s="59" t="s">
        <v>615</v>
      </c>
      <c r="F411" s="60">
        <v>166900000</v>
      </c>
      <c r="G411" s="60">
        <v>0</v>
      </c>
      <c r="H411" s="58" t="s">
        <v>308</v>
      </c>
      <c r="I411" s="58" t="s">
        <v>308</v>
      </c>
      <c r="J411" s="58" t="s">
        <v>1615</v>
      </c>
      <c r="K411" s="58"/>
      <c r="L411" s="58" t="s">
        <v>599</v>
      </c>
      <c r="M411" s="58"/>
      <c r="N411" s="58" t="s">
        <v>242</v>
      </c>
      <c r="O411" s="58"/>
      <c r="P411" s="63"/>
      <c r="Q411" s="63"/>
    </row>
    <row r="412" spans="2:17" ht="20.25" customHeight="1" x14ac:dyDescent="0.3">
      <c r="B412" s="59" t="s">
        <v>13</v>
      </c>
      <c r="C412" s="59" t="s">
        <v>87</v>
      </c>
      <c r="D412" s="62" t="str">
        <f t="shared" si="9"/>
        <v>BMWi</v>
      </c>
      <c r="E412" s="59" t="s">
        <v>616</v>
      </c>
      <c r="F412" s="60">
        <v>215700000</v>
      </c>
      <c r="G412" s="60">
        <v>0</v>
      </c>
      <c r="H412" s="58" t="s">
        <v>308</v>
      </c>
      <c r="I412" s="58" t="s">
        <v>308</v>
      </c>
      <c r="J412" s="58" t="s">
        <v>1615</v>
      </c>
      <c r="K412" s="58"/>
      <c r="L412" s="58" t="s">
        <v>599</v>
      </c>
      <c r="M412" s="58"/>
      <c r="N412" s="58" t="s">
        <v>242</v>
      </c>
      <c r="O412" s="58"/>
      <c r="P412" s="63"/>
      <c r="Q412" s="63"/>
    </row>
    <row r="413" spans="2:17" ht="20.25" customHeight="1" x14ac:dyDescent="0.3">
      <c r="B413" s="59" t="s">
        <v>13</v>
      </c>
      <c r="C413" s="59" t="s">
        <v>87</v>
      </c>
      <c r="D413" s="62" t="str">
        <f t="shared" si="9"/>
        <v>BMWi</v>
      </c>
      <c r="E413" s="59" t="s">
        <v>617</v>
      </c>
      <c r="F413" s="60">
        <v>218700000</v>
      </c>
      <c r="G413" s="60">
        <v>0</v>
      </c>
      <c r="H413" s="58" t="s">
        <v>308</v>
      </c>
      <c r="I413" s="58" t="s">
        <v>308</v>
      </c>
      <c r="J413" s="58" t="s">
        <v>1615</v>
      </c>
      <c r="K413" s="58"/>
      <c r="L413" s="58" t="s">
        <v>599</v>
      </c>
      <c r="M413" s="58"/>
      <c r="N413" s="58" t="s">
        <v>242</v>
      </c>
      <c r="O413" s="58"/>
      <c r="P413" s="63"/>
      <c r="Q413" s="63"/>
    </row>
    <row r="414" spans="2:17" ht="20.25" customHeight="1" x14ac:dyDescent="0.3">
      <c r="B414" s="59" t="s">
        <v>13</v>
      </c>
      <c r="C414" s="59" t="s">
        <v>87</v>
      </c>
      <c r="D414" s="62" t="str">
        <f t="shared" si="9"/>
        <v>BMWi</v>
      </c>
      <c r="E414" s="59" t="s">
        <v>618</v>
      </c>
      <c r="F414" s="60">
        <v>231800000</v>
      </c>
      <c r="G414" s="60"/>
      <c r="H414" s="58" t="s">
        <v>241</v>
      </c>
      <c r="I414" s="58" t="s">
        <v>242</v>
      </c>
      <c r="J414" s="58" t="s">
        <v>1615</v>
      </c>
      <c r="K414" s="58"/>
      <c r="L414" s="58" t="s">
        <v>243</v>
      </c>
      <c r="M414" s="58"/>
      <c r="N414" s="58" t="s">
        <v>242</v>
      </c>
      <c r="O414" s="58"/>
      <c r="P414" s="63"/>
      <c r="Q414" s="63"/>
    </row>
    <row r="415" spans="2:17" ht="20.25" customHeight="1" x14ac:dyDescent="0.3">
      <c r="B415" s="59" t="s">
        <v>13</v>
      </c>
      <c r="C415" s="59" t="s">
        <v>87</v>
      </c>
      <c r="D415" s="62" t="str">
        <f t="shared" si="9"/>
        <v>BMWi</v>
      </c>
      <c r="E415" s="59" t="s">
        <v>619</v>
      </c>
      <c r="F415" s="60">
        <v>198200000</v>
      </c>
      <c r="G415" s="60">
        <v>1499</v>
      </c>
      <c r="H415" s="58" t="s">
        <v>241</v>
      </c>
      <c r="I415" s="58" t="s">
        <v>242</v>
      </c>
      <c r="J415" s="58" t="s">
        <v>1589</v>
      </c>
      <c r="K415" s="58"/>
      <c r="L415" s="58" t="s">
        <v>248</v>
      </c>
      <c r="M415" s="58"/>
      <c r="N415" s="58" t="s">
        <v>242</v>
      </c>
      <c r="O415" s="58"/>
      <c r="P415" s="63"/>
      <c r="Q415" s="63"/>
    </row>
    <row r="416" spans="2:17" ht="20.25" customHeight="1" x14ac:dyDescent="0.3">
      <c r="B416" s="59" t="s">
        <v>13</v>
      </c>
      <c r="C416" s="59" t="s">
        <v>87</v>
      </c>
      <c r="D416" s="62" t="str">
        <f t="shared" si="9"/>
        <v>BMWi</v>
      </c>
      <c r="E416" s="59" t="s">
        <v>620</v>
      </c>
      <c r="F416" s="60">
        <v>219900000</v>
      </c>
      <c r="G416" s="60">
        <v>1499</v>
      </c>
      <c r="H416" s="58" t="s">
        <v>241</v>
      </c>
      <c r="I416" s="58" t="s">
        <v>242</v>
      </c>
      <c r="J416" s="58" t="s">
        <v>1589</v>
      </c>
      <c r="K416" s="58"/>
      <c r="L416" s="58" t="s">
        <v>248</v>
      </c>
      <c r="M416" s="58"/>
      <c r="N416" s="58" t="s">
        <v>242</v>
      </c>
      <c r="O416" s="58"/>
      <c r="P416" s="63"/>
      <c r="Q416" s="63"/>
    </row>
    <row r="417" spans="2:17" ht="20.25" customHeight="1" x14ac:dyDescent="0.3">
      <c r="B417" s="59" t="s">
        <v>13</v>
      </c>
      <c r="C417" s="59" t="s">
        <v>87</v>
      </c>
      <c r="D417" s="62" t="str">
        <f t="shared" si="9"/>
        <v>BMWi</v>
      </c>
      <c r="E417" s="59" t="s">
        <v>621</v>
      </c>
      <c r="F417" s="60">
        <v>223700000</v>
      </c>
      <c r="G417" s="60">
        <v>1499</v>
      </c>
      <c r="H417" s="58" t="s">
        <v>241</v>
      </c>
      <c r="I417" s="58" t="s">
        <v>242</v>
      </c>
      <c r="J417" s="58" t="s">
        <v>1589</v>
      </c>
      <c r="K417" s="58"/>
      <c r="L417" s="58" t="s">
        <v>248</v>
      </c>
      <c r="M417" s="58"/>
      <c r="N417" s="58" t="s">
        <v>242</v>
      </c>
      <c r="O417" s="58"/>
      <c r="P417" s="63"/>
      <c r="Q417" s="63"/>
    </row>
    <row r="418" spans="2:17" ht="20.25" customHeight="1" x14ac:dyDescent="0.3">
      <c r="B418" s="59" t="s">
        <v>13</v>
      </c>
      <c r="C418" s="59" t="s">
        <v>87</v>
      </c>
      <c r="D418" s="62" t="str">
        <f t="shared" si="9"/>
        <v>BMWi</v>
      </c>
      <c r="E418" s="59" t="s">
        <v>622</v>
      </c>
      <c r="F418" s="60">
        <v>67100000</v>
      </c>
      <c r="G418" s="60">
        <v>0</v>
      </c>
      <c r="H418" s="58" t="s">
        <v>308</v>
      </c>
      <c r="I418" s="58" t="s">
        <v>308</v>
      </c>
      <c r="J418" s="58" t="s">
        <v>1614</v>
      </c>
      <c r="K418" s="58"/>
      <c r="L418" s="58" t="s">
        <v>279</v>
      </c>
      <c r="M418" s="58"/>
      <c r="N418" s="58" t="s">
        <v>295</v>
      </c>
      <c r="O418" s="58"/>
      <c r="P418" s="63"/>
      <c r="Q418" s="63"/>
    </row>
    <row r="419" spans="2:17" ht="20.25" customHeight="1" x14ac:dyDescent="0.3">
      <c r="B419" s="59" t="s">
        <v>13</v>
      </c>
      <c r="C419" s="59" t="s">
        <v>87</v>
      </c>
      <c r="D419" s="62" t="str">
        <f t="shared" si="9"/>
        <v>BMWi</v>
      </c>
      <c r="E419" s="59" t="s">
        <v>623</v>
      </c>
      <c r="F419" s="60">
        <v>69500000</v>
      </c>
      <c r="G419" s="60">
        <v>0</v>
      </c>
      <c r="H419" s="58" t="s">
        <v>308</v>
      </c>
      <c r="I419" s="58" t="s">
        <v>308</v>
      </c>
      <c r="J419" s="58" t="s">
        <v>1614</v>
      </c>
      <c r="K419" s="58"/>
      <c r="L419" s="58" t="s">
        <v>279</v>
      </c>
      <c r="M419" s="58"/>
      <c r="N419" s="58" t="s">
        <v>295</v>
      </c>
      <c r="O419" s="58"/>
      <c r="P419" s="63"/>
      <c r="Q419" s="63"/>
    </row>
    <row r="420" spans="2:17" ht="20.25" customHeight="1" x14ac:dyDescent="0.3">
      <c r="B420" s="59" t="s">
        <v>13</v>
      </c>
      <c r="C420" s="59" t="s">
        <v>87</v>
      </c>
      <c r="D420" s="62" t="str">
        <f t="shared" ref="D420" si="10">+B420&amp;C420</f>
        <v>BMWi</v>
      </c>
      <c r="E420" s="59" t="s">
        <v>1726</v>
      </c>
      <c r="F420" s="60">
        <v>64700000</v>
      </c>
      <c r="G420" s="60">
        <v>0</v>
      </c>
      <c r="H420" s="58" t="s">
        <v>308</v>
      </c>
      <c r="I420" s="58" t="s">
        <v>308</v>
      </c>
      <c r="J420" s="58" t="s">
        <v>1614</v>
      </c>
      <c r="K420" s="58"/>
      <c r="L420" s="58" t="s">
        <v>279</v>
      </c>
      <c r="M420" s="58"/>
      <c r="N420" s="58" t="s">
        <v>295</v>
      </c>
      <c r="O420" s="58"/>
      <c r="P420" s="63"/>
      <c r="Q420" s="63"/>
    </row>
    <row r="421" spans="2:17" ht="20.25" customHeight="1" x14ac:dyDescent="0.3">
      <c r="B421" s="59" t="s">
        <v>13</v>
      </c>
      <c r="C421" s="59" t="s">
        <v>87</v>
      </c>
      <c r="D421" s="62" t="str">
        <f t="shared" si="9"/>
        <v>BMWi</v>
      </c>
      <c r="E421" s="59" t="s">
        <v>624</v>
      </c>
      <c r="F421" s="60">
        <v>81500000</v>
      </c>
      <c r="G421" s="60">
        <v>0</v>
      </c>
      <c r="H421" s="58" t="s">
        <v>308</v>
      </c>
      <c r="I421" s="58" t="s">
        <v>308</v>
      </c>
      <c r="J421" s="58" t="s">
        <v>1615</v>
      </c>
      <c r="K421" s="58"/>
      <c r="L421" s="58" t="s">
        <v>279</v>
      </c>
      <c r="M421" s="58"/>
      <c r="N421" s="58" t="s">
        <v>295</v>
      </c>
      <c r="O421" s="58"/>
      <c r="P421" s="63"/>
      <c r="Q421" s="63"/>
    </row>
    <row r="422" spans="2:17" ht="20.25" customHeight="1" x14ac:dyDescent="0.3">
      <c r="B422" s="59" t="s">
        <v>13</v>
      </c>
      <c r="C422" s="59" t="s">
        <v>87</v>
      </c>
      <c r="D422" s="62" t="str">
        <f t="shared" si="9"/>
        <v>BMWi</v>
      </c>
      <c r="E422" s="59" t="s">
        <v>625</v>
      </c>
      <c r="F422" s="60">
        <v>122600000</v>
      </c>
      <c r="G422" s="60">
        <v>0</v>
      </c>
      <c r="H422" s="58" t="s">
        <v>308</v>
      </c>
      <c r="I422" s="58" t="s">
        <v>308</v>
      </c>
      <c r="J422" s="58" t="s">
        <v>1614</v>
      </c>
      <c r="K422" s="58"/>
      <c r="L422" s="58" t="s">
        <v>279</v>
      </c>
      <c r="M422" s="58"/>
      <c r="N422" s="58" t="s">
        <v>295</v>
      </c>
      <c r="O422" s="58"/>
      <c r="P422" s="63"/>
      <c r="Q422" s="63"/>
    </row>
    <row r="423" spans="2:17" ht="20.25" customHeight="1" x14ac:dyDescent="0.3">
      <c r="B423" s="59" t="s">
        <v>13</v>
      </c>
      <c r="C423" s="59" t="s">
        <v>87</v>
      </c>
      <c r="D423" s="62" t="str">
        <f t="shared" si="9"/>
        <v>BMWi</v>
      </c>
      <c r="E423" s="59" t="s">
        <v>626</v>
      </c>
      <c r="F423" s="60">
        <v>122300000</v>
      </c>
      <c r="G423" s="60">
        <v>0</v>
      </c>
      <c r="H423" s="58" t="s">
        <v>308</v>
      </c>
      <c r="I423" s="58" t="s">
        <v>308</v>
      </c>
      <c r="J423" s="58" t="s">
        <v>1614</v>
      </c>
      <c r="K423" s="58"/>
      <c r="L423" s="58" t="s">
        <v>279</v>
      </c>
      <c r="M423" s="58"/>
      <c r="N423" s="58" t="s">
        <v>295</v>
      </c>
      <c r="O423" s="58"/>
      <c r="P423" s="63"/>
      <c r="Q423" s="63"/>
    </row>
    <row r="424" spans="2:17" ht="20.25" customHeight="1" x14ac:dyDescent="0.3">
      <c r="B424" s="59" t="s">
        <v>13</v>
      </c>
      <c r="C424" s="59" t="s">
        <v>87</v>
      </c>
      <c r="D424" s="62" t="str">
        <f t="shared" si="9"/>
        <v>BMWi</v>
      </c>
      <c r="E424" s="59" t="s">
        <v>627</v>
      </c>
      <c r="F424" s="60">
        <v>147500000</v>
      </c>
      <c r="G424" s="60">
        <v>0</v>
      </c>
      <c r="H424" s="58" t="s">
        <v>308</v>
      </c>
      <c r="I424" s="58" t="s">
        <v>308</v>
      </c>
      <c r="J424" s="58" t="s">
        <v>1614</v>
      </c>
      <c r="K424" s="58"/>
      <c r="L424" s="58" t="s">
        <v>279</v>
      </c>
      <c r="M424" s="58"/>
      <c r="N424" s="58" t="s">
        <v>295</v>
      </c>
      <c r="O424" s="58"/>
      <c r="P424" s="63"/>
      <c r="Q424" s="63"/>
    </row>
    <row r="425" spans="2:17" ht="20.25" customHeight="1" x14ac:dyDescent="0.3">
      <c r="B425" s="59" t="s">
        <v>13</v>
      </c>
      <c r="C425" s="59" t="s">
        <v>87</v>
      </c>
      <c r="D425" s="62" t="str">
        <f t="shared" si="9"/>
        <v>BMWi</v>
      </c>
      <c r="E425" s="59" t="s">
        <v>628</v>
      </c>
      <c r="F425" s="60">
        <v>159100000</v>
      </c>
      <c r="G425" s="60">
        <v>0</v>
      </c>
      <c r="H425" s="58" t="s">
        <v>308</v>
      </c>
      <c r="I425" s="58" t="s">
        <v>295</v>
      </c>
      <c r="J425" s="58" t="s">
        <v>1615</v>
      </c>
      <c r="K425" s="58"/>
      <c r="L425" s="58" t="s">
        <v>279</v>
      </c>
      <c r="M425" s="58"/>
      <c r="N425" s="58" t="s">
        <v>295</v>
      </c>
      <c r="O425" s="58"/>
      <c r="P425" s="63"/>
      <c r="Q425" s="63"/>
    </row>
    <row r="426" spans="2:17" ht="20.25" customHeight="1" x14ac:dyDescent="0.3">
      <c r="B426" s="59" t="s">
        <v>13</v>
      </c>
      <c r="C426" s="59" t="s">
        <v>88</v>
      </c>
      <c r="D426" s="62" t="str">
        <f t="shared" si="9"/>
        <v>BMWZ</v>
      </c>
      <c r="E426" s="59" t="s">
        <v>629</v>
      </c>
      <c r="F426" s="60">
        <v>65900000</v>
      </c>
      <c r="G426" s="60">
        <v>1998</v>
      </c>
      <c r="H426" s="58" t="s">
        <v>241</v>
      </c>
      <c r="I426" s="58" t="s">
        <v>242</v>
      </c>
      <c r="J426" s="58" t="s">
        <v>1589</v>
      </c>
      <c r="K426" s="58" t="s">
        <v>284</v>
      </c>
      <c r="L426" s="58" t="s">
        <v>246</v>
      </c>
      <c r="M426" s="58"/>
      <c r="N426" s="58" t="s">
        <v>242</v>
      </c>
      <c r="O426" s="58"/>
      <c r="P426" s="63"/>
      <c r="Q426" s="63"/>
    </row>
    <row r="427" spans="2:17" ht="20.25" customHeight="1" x14ac:dyDescent="0.3">
      <c r="B427" s="59" t="s">
        <v>13</v>
      </c>
      <c r="C427" s="59" t="s">
        <v>88</v>
      </c>
      <c r="D427" s="62" t="str">
        <f t="shared" ref="D427:D496" si="11">+B427&amp;C427</f>
        <v>BMWZ</v>
      </c>
      <c r="E427" s="59" t="s">
        <v>1725</v>
      </c>
      <c r="F427" s="60">
        <v>72500000</v>
      </c>
      <c r="G427" s="60">
        <v>1998</v>
      </c>
      <c r="H427" s="58" t="s">
        <v>241</v>
      </c>
      <c r="I427" s="58" t="s">
        <v>242</v>
      </c>
      <c r="J427" s="58" t="s">
        <v>1589</v>
      </c>
      <c r="K427" s="58" t="s">
        <v>284</v>
      </c>
      <c r="L427" s="58" t="s">
        <v>246</v>
      </c>
      <c r="M427" s="58"/>
      <c r="N427" s="58" t="s">
        <v>242</v>
      </c>
      <c r="O427" s="58"/>
      <c r="P427" s="63"/>
      <c r="Q427" s="63"/>
    </row>
    <row r="428" spans="2:17" ht="20.25" customHeight="1" x14ac:dyDescent="0.3">
      <c r="B428" s="59" t="s">
        <v>13</v>
      </c>
      <c r="C428" s="59" t="s">
        <v>88</v>
      </c>
      <c r="D428" s="62" t="str">
        <f t="shared" si="11"/>
        <v>BMWZ</v>
      </c>
      <c r="E428" s="59" t="s">
        <v>630</v>
      </c>
      <c r="F428" s="60">
        <v>70000000</v>
      </c>
      <c r="G428" s="60">
        <v>1998</v>
      </c>
      <c r="H428" s="58" t="s">
        <v>241</v>
      </c>
      <c r="I428" s="58" t="s">
        <v>242</v>
      </c>
      <c r="J428" s="58" t="s">
        <v>1589</v>
      </c>
      <c r="K428" s="58" t="s">
        <v>284</v>
      </c>
      <c r="L428" s="58" t="s">
        <v>246</v>
      </c>
      <c r="M428" s="58"/>
      <c r="N428" s="58" t="s">
        <v>242</v>
      </c>
      <c r="O428" s="58"/>
      <c r="P428" s="63"/>
      <c r="Q428" s="63"/>
    </row>
    <row r="429" spans="2:17" ht="20.25" customHeight="1" x14ac:dyDescent="0.3">
      <c r="B429" s="59" t="s">
        <v>13</v>
      </c>
      <c r="C429" s="59" t="s">
        <v>79</v>
      </c>
      <c r="D429" s="62" t="str">
        <f t="shared" si="11"/>
        <v>BMWX1</v>
      </c>
      <c r="E429" s="59" t="s">
        <v>631</v>
      </c>
      <c r="F429" s="60">
        <v>48200000</v>
      </c>
      <c r="G429" s="60">
        <v>1995</v>
      </c>
      <c r="H429" s="58" t="s">
        <v>250</v>
      </c>
      <c r="I429" s="58" t="s">
        <v>295</v>
      </c>
      <c r="J429" s="58" t="s">
        <v>1246</v>
      </c>
      <c r="K429" s="58"/>
      <c r="L429" s="58" t="s">
        <v>379</v>
      </c>
      <c r="M429" s="58"/>
      <c r="N429" s="58" t="s">
        <v>295</v>
      </c>
      <c r="O429" s="58"/>
      <c r="P429" s="63"/>
      <c r="Q429" s="63"/>
    </row>
    <row r="430" spans="2:17" ht="20.25" customHeight="1" x14ac:dyDescent="0.3">
      <c r="B430" s="59" t="s">
        <v>13</v>
      </c>
      <c r="C430" s="59" t="s">
        <v>79</v>
      </c>
      <c r="D430" s="62" t="str">
        <f t="shared" si="11"/>
        <v>BMWX1</v>
      </c>
      <c r="E430" s="59" t="s">
        <v>632</v>
      </c>
      <c r="F430" s="60">
        <v>57700000</v>
      </c>
      <c r="G430" s="60">
        <v>1995</v>
      </c>
      <c r="H430" s="58" t="s">
        <v>250</v>
      </c>
      <c r="I430" s="58" t="s">
        <v>295</v>
      </c>
      <c r="J430" s="58" t="s">
        <v>1246</v>
      </c>
      <c r="K430" s="58"/>
      <c r="L430" s="58" t="s">
        <v>379</v>
      </c>
      <c r="M430" s="58"/>
      <c r="N430" s="58" t="s">
        <v>295</v>
      </c>
      <c r="O430" s="58"/>
      <c r="P430" s="63"/>
      <c r="Q430" s="63"/>
    </row>
    <row r="431" spans="2:17" ht="20.25" customHeight="1" x14ac:dyDescent="0.3">
      <c r="B431" s="59" t="s">
        <v>13</v>
      </c>
      <c r="C431" s="59" t="s">
        <v>79</v>
      </c>
      <c r="D431" s="62" t="str">
        <f t="shared" si="11"/>
        <v>BMWX1</v>
      </c>
      <c r="E431" s="59" t="s">
        <v>633</v>
      </c>
      <c r="F431" s="60">
        <v>62100000</v>
      </c>
      <c r="G431" s="60">
        <v>1998</v>
      </c>
      <c r="H431" s="58" t="s">
        <v>241</v>
      </c>
      <c r="I431" s="58" t="s">
        <v>295</v>
      </c>
      <c r="J431" s="58" t="s">
        <v>1246</v>
      </c>
      <c r="K431" s="58"/>
      <c r="L431" s="58" t="s">
        <v>379</v>
      </c>
      <c r="M431" s="58"/>
      <c r="N431" s="58" t="s">
        <v>295</v>
      </c>
      <c r="O431" s="58"/>
      <c r="P431" s="63"/>
      <c r="Q431" s="63"/>
    </row>
    <row r="432" spans="2:17" ht="20.25" customHeight="1" x14ac:dyDescent="0.3">
      <c r="B432" s="59" t="s">
        <v>13</v>
      </c>
      <c r="C432" s="59" t="s">
        <v>79</v>
      </c>
      <c r="D432" s="62" t="str">
        <f t="shared" si="11"/>
        <v>BMWX1</v>
      </c>
      <c r="E432" s="59" t="s">
        <v>634</v>
      </c>
      <c r="F432" s="60">
        <v>48900000</v>
      </c>
      <c r="G432" s="60">
        <v>1998</v>
      </c>
      <c r="H432" s="58" t="s">
        <v>241</v>
      </c>
      <c r="I432" s="58" t="s">
        <v>295</v>
      </c>
      <c r="J432" s="58" t="s">
        <v>1246</v>
      </c>
      <c r="K432" s="58"/>
      <c r="L432" s="58" t="s">
        <v>379</v>
      </c>
      <c r="M432" s="58"/>
      <c r="N432" s="58" t="s">
        <v>295</v>
      </c>
      <c r="O432" s="58"/>
      <c r="P432" s="63"/>
      <c r="Q432" s="63"/>
    </row>
    <row r="433" spans="2:17" ht="20.25" customHeight="1" x14ac:dyDescent="0.3">
      <c r="B433" s="59" t="s">
        <v>13</v>
      </c>
      <c r="C433" s="59" t="s">
        <v>79</v>
      </c>
      <c r="D433" s="62" t="str">
        <f t="shared" si="11"/>
        <v>BMWX1</v>
      </c>
      <c r="E433" s="59" t="s">
        <v>635</v>
      </c>
      <c r="F433" s="60">
        <v>58700000</v>
      </c>
      <c r="G433" s="60">
        <v>1998</v>
      </c>
      <c r="H433" s="58" t="s">
        <v>241</v>
      </c>
      <c r="I433" s="58" t="s">
        <v>295</v>
      </c>
      <c r="J433" s="58" t="s">
        <v>1246</v>
      </c>
      <c r="K433" s="58"/>
      <c r="L433" s="58" t="s">
        <v>379</v>
      </c>
      <c r="M433" s="58"/>
      <c r="N433" s="58" t="s">
        <v>295</v>
      </c>
      <c r="O433" s="58"/>
      <c r="P433" s="63"/>
      <c r="Q433" s="63"/>
    </row>
    <row r="434" spans="2:17" ht="20.25" customHeight="1" x14ac:dyDescent="0.3">
      <c r="B434" s="59" t="s">
        <v>13</v>
      </c>
      <c r="C434" s="59" t="s">
        <v>79</v>
      </c>
      <c r="D434" s="62" t="str">
        <f t="shared" si="11"/>
        <v>BMWX1</v>
      </c>
      <c r="E434" s="59" t="s">
        <v>636</v>
      </c>
      <c r="F434" s="60">
        <v>63400000</v>
      </c>
      <c r="G434" s="60">
        <v>1998</v>
      </c>
      <c r="H434" s="58" t="s">
        <v>241</v>
      </c>
      <c r="I434" s="58" t="s">
        <v>295</v>
      </c>
      <c r="J434" s="58" t="s">
        <v>1246</v>
      </c>
      <c r="K434" s="58"/>
      <c r="L434" s="58" t="s">
        <v>379</v>
      </c>
      <c r="M434" s="58"/>
      <c r="N434" s="58" t="s">
        <v>295</v>
      </c>
      <c r="O434" s="58"/>
      <c r="P434" s="63"/>
      <c r="Q434" s="63"/>
    </row>
    <row r="435" spans="2:17" ht="20.25" customHeight="1" x14ac:dyDescent="0.3">
      <c r="B435" s="59" t="s">
        <v>13</v>
      </c>
      <c r="C435" s="59" t="s">
        <v>80</v>
      </c>
      <c r="D435" s="62" t="str">
        <f t="shared" si="11"/>
        <v>BMWX2</v>
      </c>
      <c r="E435" s="59" t="s">
        <v>637</v>
      </c>
      <c r="F435" s="60">
        <v>53000000</v>
      </c>
      <c r="G435" s="60">
        <v>1995</v>
      </c>
      <c r="H435" s="58" t="s">
        <v>250</v>
      </c>
      <c r="I435" s="58" t="s">
        <v>295</v>
      </c>
      <c r="J435" s="58" t="s">
        <v>1246</v>
      </c>
      <c r="K435" s="58"/>
      <c r="L435" s="58" t="s">
        <v>279</v>
      </c>
      <c r="M435" s="58"/>
      <c r="N435" s="58" t="s">
        <v>295</v>
      </c>
      <c r="O435" s="58"/>
      <c r="P435" s="63"/>
      <c r="Q435" s="63"/>
    </row>
    <row r="436" spans="2:17" ht="20.25" customHeight="1" x14ac:dyDescent="0.3">
      <c r="B436" s="59" t="s">
        <v>13</v>
      </c>
      <c r="C436" s="59" t="s">
        <v>80</v>
      </c>
      <c r="D436" s="62" t="str">
        <f t="shared" si="11"/>
        <v>BMWX2</v>
      </c>
      <c r="E436" s="59" t="s">
        <v>638</v>
      </c>
      <c r="F436" s="60">
        <v>57200000</v>
      </c>
      <c r="G436" s="60">
        <v>1995</v>
      </c>
      <c r="H436" s="58" t="s">
        <v>250</v>
      </c>
      <c r="I436" s="58" t="s">
        <v>295</v>
      </c>
      <c r="J436" s="58" t="s">
        <v>1246</v>
      </c>
      <c r="K436" s="58"/>
      <c r="L436" s="58" t="s">
        <v>279</v>
      </c>
      <c r="M436" s="58"/>
      <c r="N436" s="58" t="s">
        <v>295</v>
      </c>
      <c r="O436" s="58"/>
      <c r="P436" s="63"/>
      <c r="Q436" s="63"/>
    </row>
    <row r="437" spans="2:17" ht="20.25" customHeight="1" x14ac:dyDescent="0.3">
      <c r="B437" s="59" t="s">
        <v>13</v>
      </c>
      <c r="C437" s="59" t="s">
        <v>80</v>
      </c>
      <c r="D437" s="62" t="str">
        <f t="shared" si="11"/>
        <v>BMWX2</v>
      </c>
      <c r="E437" s="59" t="s">
        <v>639</v>
      </c>
      <c r="F437" s="60">
        <v>55300000</v>
      </c>
      <c r="G437" s="60">
        <v>1995</v>
      </c>
      <c r="H437" s="58" t="s">
        <v>250</v>
      </c>
      <c r="I437" s="58" t="s">
        <v>295</v>
      </c>
      <c r="J437" s="58" t="s">
        <v>1246</v>
      </c>
      <c r="K437" s="58"/>
      <c r="L437" s="58" t="s">
        <v>279</v>
      </c>
      <c r="M437" s="58"/>
      <c r="N437" s="58" t="s">
        <v>295</v>
      </c>
      <c r="O437" s="58"/>
      <c r="P437" s="63"/>
      <c r="Q437" s="63"/>
    </row>
    <row r="438" spans="2:17" ht="20.25" customHeight="1" x14ac:dyDescent="0.3">
      <c r="B438" s="59" t="s">
        <v>13</v>
      </c>
      <c r="C438" s="59" t="s">
        <v>80</v>
      </c>
      <c r="D438" s="62" t="str">
        <f t="shared" si="11"/>
        <v>BMWX2</v>
      </c>
      <c r="E438" s="59" t="s">
        <v>640</v>
      </c>
      <c r="F438" s="60">
        <v>53000000</v>
      </c>
      <c r="G438" s="60">
        <v>1998</v>
      </c>
      <c r="H438" s="58" t="s">
        <v>241</v>
      </c>
      <c r="I438" s="58" t="s">
        <v>295</v>
      </c>
      <c r="J438" s="58" t="s">
        <v>1246</v>
      </c>
      <c r="K438" s="58"/>
      <c r="L438" s="58" t="s">
        <v>279</v>
      </c>
      <c r="M438" s="58"/>
      <c r="N438" s="58" t="s">
        <v>295</v>
      </c>
      <c r="O438" s="58"/>
      <c r="P438" s="63"/>
      <c r="Q438" s="63"/>
    </row>
    <row r="439" spans="2:17" ht="20.25" customHeight="1" x14ac:dyDescent="0.3">
      <c r="B439" s="59" t="s">
        <v>13</v>
      </c>
      <c r="C439" s="59" t="s">
        <v>80</v>
      </c>
      <c r="D439" s="62" t="str">
        <f t="shared" si="11"/>
        <v>BMWX2</v>
      </c>
      <c r="E439" s="59" t="s">
        <v>641</v>
      </c>
      <c r="F439" s="60">
        <v>57800000</v>
      </c>
      <c r="G439" s="60">
        <v>1998</v>
      </c>
      <c r="H439" s="58" t="s">
        <v>241</v>
      </c>
      <c r="I439" s="58" t="s">
        <v>295</v>
      </c>
      <c r="J439" s="58" t="s">
        <v>1246</v>
      </c>
      <c r="K439" s="58"/>
      <c r="L439" s="58" t="s">
        <v>279</v>
      </c>
      <c r="M439" s="58"/>
      <c r="N439" s="58" t="s">
        <v>295</v>
      </c>
      <c r="O439" s="58"/>
      <c r="P439" s="63"/>
      <c r="Q439" s="63"/>
    </row>
    <row r="440" spans="2:17" ht="20.25" customHeight="1" x14ac:dyDescent="0.3">
      <c r="B440" s="59" t="s">
        <v>13</v>
      </c>
      <c r="C440" s="59" t="s">
        <v>80</v>
      </c>
      <c r="D440" s="62" t="str">
        <f t="shared" si="11"/>
        <v>BMWX2</v>
      </c>
      <c r="E440" s="59" t="s">
        <v>642</v>
      </c>
      <c r="F440" s="60">
        <v>55900000</v>
      </c>
      <c r="G440" s="60">
        <v>1998</v>
      </c>
      <c r="H440" s="58" t="s">
        <v>241</v>
      </c>
      <c r="I440" s="58" t="s">
        <v>295</v>
      </c>
      <c r="J440" s="58" t="s">
        <v>1246</v>
      </c>
      <c r="K440" s="58"/>
      <c r="L440" s="58" t="s">
        <v>279</v>
      </c>
      <c r="M440" s="58"/>
      <c r="N440" s="58" t="s">
        <v>295</v>
      </c>
      <c r="O440" s="58"/>
      <c r="P440" s="63"/>
      <c r="Q440" s="63"/>
    </row>
    <row r="441" spans="2:17" ht="20.25" customHeight="1" x14ac:dyDescent="0.3">
      <c r="B441" s="59" t="s">
        <v>13</v>
      </c>
      <c r="C441" s="59" t="s">
        <v>80</v>
      </c>
      <c r="D441" s="62" t="str">
        <f t="shared" si="11"/>
        <v>BMWX2</v>
      </c>
      <c r="E441" s="59" t="s">
        <v>643</v>
      </c>
      <c r="F441" s="60">
        <v>55300000</v>
      </c>
      <c r="G441" s="60">
        <v>1998</v>
      </c>
      <c r="H441" s="58" t="s">
        <v>241</v>
      </c>
      <c r="I441" s="58" t="s">
        <v>295</v>
      </c>
      <c r="J441" s="58" t="s">
        <v>1246</v>
      </c>
      <c r="K441" s="58"/>
      <c r="L441" s="58" t="s">
        <v>279</v>
      </c>
      <c r="M441" s="58"/>
      <c r="N441" s="58" t="s">
        <v>295</v>
      </c>
      <c r="O441" s="58"/>
      <c r="P441" s="63"/>
      <c r="Q441" s="63"/>
    </row>
    <row r="442" spans="2:17" ht="20.25" customHeight="1" x14ac:dyDescent="0.3">
      <c r="B442" s="59" t="s">
        <v>13</v>
      </c>
      <c r="C442" s="59" t="s">
        <v>80</v>
      </c>
      <c r="D442" s="62" t="str">
        <f t="shared" si="11"/>
        <v>BMWX2</v>
      </c>
      <c r="E442" s="59" t="s">
        <v>644</v>
      </c>
      <c r="F442" s="60">
        <v>60800000</v>
      </c>
      <c r="G442" s="60">
        <v>1998</v>
      </c>
      <c r="H442" s="58" t="s">
        <v>241</v>
      </c>
      <c r="I442" s="58" t="s">
        <v>295</v>
      </c>
      <c r="J442" s="58" t="s">
        <v>1246</v>
      </c>
      <c r="K442" s="58"/>
      <c r="L442" s="58" t="s">
        <v>279</v>
      </c>
      <c r="M442" s="58"/>
      <c r="N442" s="58" t="s">
        <v>295</v>
      </c>
      <c r="O442" s="58"/>
      <c r="P442" s="63"/>
      <c r="Q442" s="63"/>
    </row>
    <row r="443" spans="2:17" ht="20.25" customHeight="1" x14ac:dyDescent="0.3">
      <c r="B443" s="59" t="s">
        <v>13</v>
      </c>
      <c r="C443" s="59" t="s">
        <v>81</v>
      </c>
      <c r="D443" s="62" t="str">
        <f t="shared" si="11"/>
        <v>BMWX3</v>
      </c>
      <c r="E443" s="59" t="s">
        <v>645</v>
      </c>
      <c r="F443" s="60">
        <v>68700000</v>
      </c>
      <c r="G443" s="60">
        <v>1998</v>
      </c>
      <c r="H443" s="58" t="s">
        <v>241</v>
      </c>
      <c r="I443" s="58" t="s">
        <v>295</v>
      </c>
      <c r="J443" s="58" t="s">
        <v>1246</v>
      </c>
      <c r="K443" s="58" t="s">
        <v>646</v>
      </c>
      <c r="L443" s="58" t="s">
        <v>647</v>
      </c>
      <c r="M443" s="58"/>
      <c r="N443" s="58" t="s">
        <v>295</v>
      </c>
      <c r="O443" s="58"/>
      <c r="P443" s="63"/>
      <c r="Q443" s="63"/>
    </row>
    <row r="444" spans="2:17" ht="20.25" customHeight="1" x14ac:dyDescent="0.3">
      <c r="B444" s="59" t="s">
        <v>13</v>
      </c>
      <c r="C444" s="59" t="s">
        <v>81</v>
      </c>
      <c r="D444" s="62" t="str">
        <f t="shared" si="11"/>
        <v>BMWX3</v>
      </c>
      <c r="E444" s="59" t="s">
        <v>648</v>
      </c>
      <c r="F444" s="60">
        <v>77500000</v>
      </c>
      <c r="G444" s="60">
        <v>1998</v>
      </c>
      <c r="H444" s="58" t="s">
        <v>241</v>
      </c>
      <c r="I444" s="58" t="s">
        <v>295</v>
      </c>
      <c r="J444" s="58" t="s">
        <v>1246</v>
      </c>
      <c r="K444" s="58" t="s">
        <v>646</v>
      </c>
      <c r="L444" s="58" t="s">
        <v>647</v>
      </c>
      <c r="M444" s="58"/>
      <c r="N444" s="58" t="s">
        <v>295</v>
      </c>
      <c r="O444" s="58"/>
      <c r="P444" s="63"/>
      <c r="Q444" s="63"/>
    </row>
    <row r="445" spans="2:17" ht="20.25" customHeight="1" x14ac:dyDescent="0.3">
      <c r="B445" s="59" t="s">
        <v>13</v>
      </c>
      <c r="C445" s="59" t="s">
        <v>81</v>
      </c>
      <c r="D445" s="62" t="str">
        <f t="shared" si="11"/>
        <v>BMWX3</v>
      </c>
      <c r="E445" s="59" t="s">
        <v>649</v>
      </c>
      <c r="F445" s="60">
        <v>70700000</v>
      </c>
      <c r="G445" s="60">
        <v>1995</v>
      </c>
      <c r="H445" s="58" t="s">
        <v>250</v>
      </c>
      <c r="I445" s="58" t="s">
        <v>295</v>
      </c>
      <c r="J445" s="58" t="s">
        <v>1246</v>
      </c>
      <c r="K445" s="58" t="s">
        <v>646</v>
      </c>
      <c r="L445" s="58" t="s">
        <v>647</v>
      </c>
      <c r="M445" s="58"/>
      <c r="N445" s="58" t="s">
        <v>295</v>
      </c>
      <c r="O445" s="58"/>
      <c r="P445" s="63"/>
      <c r="Q445" s="63"/>
    </row>
    <row r="446" spans="2:17" ht="20.25" customHeight="1" x14ac:dyDescent="0.3">
      <c r="B446" s="59" t="s">
        <v>13</v>
      </c>
      <c r="C446" s="59" t="s">
        <v>81</v>
      </c>
      <c r="D446" s="62" t="str">
        <f t="shared" si="11"/>
        <v>BMWX3</v>
      </c>
      <c r="E446" s="59" t="s">
        <v>650</v>
      </c>
      <c r="F446" s="60">
        <v>78000000</v>
      </c>
      <c r="G446" s="60">
        <v>1995</v>
      </c>
      <c r="H446" s="58" t="s">
        <v>250</v>
      </c>
      <c r="I446" s="58" t="s">
        <v>295</v>
      </c>
      <c r="J446" s="58" t="s">
        <v>1246</v>
      </c>
      <c r="K446" s="58" t="s">
        <v>646</v>
      </c>
      <c r="L446" s="58" t="s">
        <v>647</v>
      </c>
      <c r="M446" s="58"/>
      <c r="N446" s="58" t="s">
        <v>295</v>
      </c>
      <c r="O446" s="58"/>
      <c r="P446" s="63"/>
      <c r="Q446" s="63"/>
    </row>
    <row r="447" spans="2:17" ht="20.25" customHeight="1" x14ac:dyDescent="0.3">
      <c r="B447" s="59" t="s">
        <v>13</v>
      </c>
      <c r="C447" s="59" t="s">
        <v>81</v>
      </c>
      <c r="D447" s="62" t="str">
        <f t="shared" si="11"/>
        <v>BMWX3</v>
      </c>
      <c r="E447" s="59" t="s">
        <v>651</v>
      </c>
      <c r="F447" s="60">
        <v>78600000</v>
      </c>
      <c r="G447" s="60">
        <v>1998</v>
      </c>
      <c r="H447" s="58" t="s">
        <v>241</v>
      </c>
      <c r="I447" s="58" t="s">
        <v>295</v>
      </c>
      <c r="J447" s="58" t="s">
        <v>1246</v>
      </c>
      <c r="K447" s="58" t="s">
        <v>355</v>
      </c>
      <c r="L447" s="58" t="s">
        <v>279</v>
      </c>
      <c r="M447" s="58"/>
      <c r="N447" s="58" t="s">
        <v>295</v>
      </c>
      <c r="O447" s="58"/>
      <c r="P447" s="63"/>
      <c r="Q447" s="63"/>
    </row>
    <row r="448" spans="2:17" ht="20.25" customHeight="1" x14ac:dyDescent="0.3">
      <c r="B448" s="59" t="s">
        <v>13</v>
      </c>
      <c r="C448" s="59" t="s">
        <v>81</v>
      </c>
      <c r="D448" s="62" t="str">
        <f t="shared" si="11"/>
        <v>BMWX3</v>
      </c>
      <c r="E448" s="59" t="s">
        <v>652</v>
      </c>
      <c r="F448" s="60">
        <v>83400000</v>
      </c>
      <c r="G448" s="60">
        <v>1998</v>
      </c>
      <c r="H448" s="58" t="s">
        <v>241</v>
      </c>
      <c r="I448" s="58" t="s">
        <v>295</v>
      </c>
      <c r="J448" s="58" t="s">
        <v>1246</v>
      </c>
      <c r="K448" s="58" t="s">
        <v>355</v>
      </c>
      <c r="L448" s="58" t="s">
        <v>279</v>
      </c>
      <c r="M448" s="58"/>
      <c r="N448" s="58" t="s">
        <v>295</v>
      </c>
      <c r="O448" s="58"/>
      <c r="P448" s="63"/>
      <c r="Q448" s="63"/>
    </row>
    <row r="449" spans="2:17" ht="20.25" customHeight="1" x14ac:dyDescent="0.3">
      <c r="B449" s="59" t="s">
        <v>13</v>
      </c>
      <c r="C449" s="59" t="s">
        <v>81</v>
      </c>
      <c r="D449" s="62" t="str">
        <f t="shared" si="11"/>
        <v>BMWX3</v>
      </c>
      <c r="E449" s="59" t="s">
        <v>653</v>
      </c>
      <c r="F449" s="60">
        <v>81200000</v>
      </c>
      <c r="G449" s="60">
        <v>2993</v>
      </c>
      <c r="H449" s="58" t="s">
        <v>250</v>
      </c>
      <c r="I449" s="58" t="s">
        <v>295</v>
      </c>
      <c r="J449" s="58" t="s">
        <v>1246</v>
      </c>
      <c r="K449" s="58" t="s">
        <v>646</v>
      </c>
      <c r="L449" s="58" t="s">
        <v>647</v>
      </c>
      <c r="M449" s="58"/>
      <c r="N449" s="58" t="s">
        <v>295</v>
      </c>
      <c r="O449" s="58"/>
      <c r="P449" s="63"/>
      <c r="Q449" s="63"/>
    </row>
    <row r="450" spans="2:17" ht="20.25" customHeight="1" x14ac:dyDescent="0.3">
      <c r="B450" s="59" t="s">
        <v>13</v>
      </c>
      <c r="C450" s="59" t="s">
        <v>81</v>
      </c>
      <c r="D450" s="62" t="str">
        <f t="shared" si="11"/>
        <v>BMWX3</v>
      </c>
      <c r="E450" s="59" t="s">
        <v>654</v>
      </c>
      <c r="F450" s="60">
        <v>85100000</v>
      </c>
      <c r="G450" s="60">
        <v>2993</v>
      </c>
      <c r="H450" s="58" t="s">
        <v>250</v>
      </c>
      <c r="I450" s="58" t="s">
        <v>295</v>
      </c>
      <c r="J450" s="58" t="s">
        <v>1246</v>
      </c>
      <c r="K450" s="58" t="s">
        <v>646</v>
      </c>
      <c r="L450" s="58" t="s">
        <v>647</v>
      </c>
      <c r="M450" s="58"/>
      <c r="N450" s="58" t="s">
        <v>295</v>
      </c>
      <c r="O450" s="58"/>
      <c r="P450" s="63"/>
      <c r="Q450" s="63"/>
    </row>
    <row r="451" spans="2:17" ht="20.25" customHeight="1" x14ac:dyDescent="0.3">
      <c r="B451" s="59" t="s">
        <v>13</v>
      </c>
      <c r="C451" s="59" t="s">
        <v>81</v>
      </c>
      <c r="D451" s="62" t="str">
        <f t="shared" si="11"/>
        <v>BMWX3</v>
      </c>
      <c r="E451" s="59" t="s">
        <v>1504</v>
      </c>
      <c r="F451" s="60">
        <v>68900000</v>
      </c>
      <c r="G451" s="60">
        <v>1998</v>
      </c>
      <c r="H451" s="58" t="s">
        <v>241</v>
      </c>
      <c r="I451" s="58" t="s">
        <v>295</v>
      </c>
      <c r="J451" s="58" t="s">
        <v>1246</v>
      </c>
      <c r="K451" s="58" t="s">
        <v>1787</v>
      </c>
      <c r="L451" s="58" t="s">
        <v>647</v>
      </c>
      <c r="M451" s="58"/>
      <c r="N451" s="58" t="s">
        <v>295</v>
      </c>
      <c r="O451" s="58"/>
      <c r="P451" s="63">
        <v>0.01</v>
      </c>
      <c r="Q451" s="63">
        <v>0.01</v>
      </c>
    </row>
    <row r="452" spans="2:17" ht="20.25" customHeight="1" x14ac:dyDescent="0.3">
      <c r="B452" s="59" t="s">
        <v>13</v>
      </c>
      <c r="C452" s="59" t="s">
        <v>81</v>
      </c>
      <c r="D452" s="62" t="str">
        <f t="shared" si="11"/>
        <v>BMWX3</v>
      </c>
      <c r="E452" s="59" t="s">
        <v>1505</v>
      </c>
      <c r="F452" s="60">
        <v>75300000</v>
      </c>
      <c r="G452" s="60">
        <v>1998</v>
      </c>
      <c r="H452" s="58" t="s">
        <v>241</v>
      </c>
      <c r="I452" s="58" t="s">
        <v>295</v>
      </c>
      <c r="J452" s="58" t="s">
        <v>1246</v>
      </c>
      <c r="K452" s="58" t="s">
        <v>1787</v>
      </c>
      <c r="L452" s="58" t="s">
        <v>647</v>
      </c>
      <c r="M452" s="58"/>
      <c r="N452" s="58" t="s">
        <v>295</v>
      </c>
      <c r="O452" s="58"/>
      <c r="P452" s="63">
        <v>0.01</v>
      </c>
      <c r="Q452" s="63">
        <v>0.01</v>
      </c>
    </row>
    <row r="453" spans="2:17" ht="20.25" customHeight="1" x14ac:dyDescent="0.3">
      <c r="B453" s="59" t="s">
        <v>13</v>
      </c>
      <c r="C453" s="59" t="s">
        <v>81</v>
      </c>
      <c r="D453" s="62" t="str">
        <f t="shared" si="11"/>
        <v>BMWX3</v>
      </c>
      <c r="E453" s="59" t="s">
        <v>1506</v>
      </c>
      <c r="F453" s="60">
        <v>79900000</v>
      </c>
      <c r="G453" s="60">
        <v>1998</v>
      </c>
      <c r="H453" s="58" t="s">
        <v>241</v>
      </c>
      <c r="I453" s="58" t="s">
        <v>295</v>
      </c>
      <c r="J453" s="58" t="s">
        <v>1246</v>
      </c>
      <c r="K453" s="58" t="s">
        <v>1787</v>
      </c>
      <c r="L453" s="58" t="s">
        <v>647</v>
      </c>
      <c r="M453" s="58"/>
      <c r="N453" s="58" t="s">
        <v>295</v>
      </c>
      <c r="O453" s="58"/>
      <c r="P453" s="63">
        <v>0.01</v>
      </c>
      <c r="Q453" s="63">
        <v>0.01</v>
      </c>
    </row>
    <row r="454" spans="2:17" ht="20.25" customHeight="1" x14ac:dyDescent="0.3">
      <c r="B454" s="59" t="s">
        <v>13</v>
      </c>
      <c r="C454" s="59" t="s">
        <v>81</v>
      </c>
      <c r="D454" s="62" t="str">
        <f t="shared" si="11"/>
        <v>BMWX3</v>
      </c>
      <c r="E454" s="59" t="s">
        <v>1507</v>
      </c>
      <c r="F454" s="60">
        <v>81300000</v>
      </c>
      <c r="G454" s="60">
        <v>1998</v>
      </c>
      <c r="H454" s="58" t="s">
        <v>241</v>
      </c>
      <c r="I454" s="58" t="s">
        <v>295</v>
      </c>
      <c r="J454" s="58" t="s">
        <v>1246</v>
      </c>
      <c r="K454" s="58" t="s">
        <v>1787</v>
      </c>
      <c r="L454" s="58" t="s">
        <v>647</v>
      </c>
      <c r="M454" s="58"/>
      <c r="N454" s="58" t="s">
        <v>295</v>
      </c>
      <c r="O454" s="58"/>
      <c r="P454" s="63">
        <v>0.01</v>
      </c>
      <c r="Q454" s="63">
        <v>0.01</v>
      </c>
    </row>
    <row r="455" spans="2:17" ht="20.25" customHeight="1" x14ac:dyDescent="0.3">
      <c r="B455" s="59" t="s">
        <v>13</v>
      </c>
      <c r="C455" s="59" t="s">
        <v>81</v>
      </c>
      <c r="D455" s="62" t="str">
        <f t="shared" si="11"/>
        <v>BMWX3</v>
      </c>
      <c r="E455" s="59" t="s">
        <v>1508</v>
      </c>
      <c r="F455" s="60">
        <v>72700000</v>
      </c>
      <c r="G455" s="60">
        <v>1995</v>
      </c>
      <c r="H455" s="58" t="s">
        <v>250</v>
      </c>
      <c r="I455" s="58" t="s">
        <v>295</v>
      </c>
      <c r="J455" s="58" t="s">
        <v>1246</v>
      </c>
      <c r="K455" s="58" t="s">
        <v>1787</v>
      </c>
      <c r="L455" s="58" t="s">
        <v>647</v>
      </c>
      <c r="M455" s="58"/>
      <c r="N455" s="58" t="s">
        <v>295</v>
      </c>
      <c r="O455" s="58"/>
      <c r="P455" s="63">
        <v>0.01</v>
      </c>
      <c r="Q455" s="63">
        <v>0.01</v>
      </c>
    </row>
    <row r="456" spans="2:17" ht="20.25" customHeight="1" x14ac:dyDescent="0.3">
      <c r="B456" s="59" t="s">
        <v>13</v>
      </c>
      <c r="C456" s="59" t="s">
        <v>81</v>
      </c>
      <c r="D456" s="62" t="str">
        <f t="shared" si="11"/>
        <v>BMWX3</v>
      </c>
      <c r="E456" s="59" t="s">
        <v>1509</v>
      </c>
      <c r="F456" s="60">
        <v>78900000</v>
      </c>
      <c r="G456" s="60">
        <v>1995</v>
      </c>
      <c r="H456" s="58" t="s">
        <v>250</v>
      </c>
      <c r="I456" s="58" t="s">
        <v>295</v>
      </c>
      <c r="J456" s="58" t="s">
        <v>1246</v>
      </c>
      <c r="K456" s="58" t="s">
        <v>1787</v>
      </c>
      <c r="L456" s="58" t="s">
        <v>647</v>
      </c>
      <c r="M456" s="58"/>
      <c r="N456" s="58" t="s">
        <v>295</v>
      </c>
      <c r="O456" s="58"/>
      <c r="P456" s="63">
        <v>0.01</v>
      </c>
      <c r="Q456" s="63">
        <v>0.01</v>
      </c>
    </row>
    <row r="457" spans="2:17" ht="20.25" customHeight="1" x14ac:dyDescent="0.3">
      <c r="B457" s="59" t="s">
        <v>13</v>
      </c>
      <c r="C457" s="59" t="s">
        <v>82</v>
      </c>
      <c r="D457" s="62" t="str">
        <f t="shared" si="11"/>
        <v>BMWX4</v>
      </c>
      <c r="E457" s="59" t="s">
        <v>655</v>
      </c>
      <c r="F457" s="60">
        <v>67800000</v>
      </c>
      <c r="G457" s="60">
        <v>1998</v>
      </c>
      <c r="H457" s="58" t="s">
        <v>241</v>
      </c>
      <c r="I457" s="58" t="s">
        <v>295</v>
      </c>
      <c r="J457" s="58" t="s">
        <v>1610</v>
      </c>
      <c r="K457" s="58" t="s">
        <v>432</v>
      </c>
      <c r="L457" s="58" t="s">
        <v>646</v>
      </c>
      <c r="M457" s="58"/>
      <c r="N457" s="58" t="s">
        <v>295</v>
      </c>
      <c r="O457" s="58"/>
      <c r="P457" s="63"/>
      <c r="Q457" s="63"/>
    </row>
    <row r="458" spans="2:17" ht="20.25" customHeight="1" x14ac:dyDescent="0.3">
      <c r="B458" s="59" t="s">
        <v>13</v>
      </c>
      <c r="C458" s="59" t="s">
        <v>82</v>
      </c>
      <c r="D458" s="62" t="str">
        <f t="shared" si="11"/>
        <v>BMWX4</v>
      </c>
      <c r="E458" s="59" t="s">
        <v>656</v>
      </c>
      <c r="F458" s="60">
        <v>70900000</v>
      </c>
      <c r="G458" s="60">
        <v>1998</v>
      </c>
      <c r="H458" s="58" t="s">
        <v>241</v>
      </c>
      <c r="I458" s="58" t="s">
        <v>295</v>
      </c>
      <c r="J458" s="58" t="s">
        <v>1610</v>
      </c>
      <c r="K458" s="58" t="s">
        <v>432</v>
      </c>
      <c r="L458" s="58" t="s">
        <v>646</v>
      </c>
      <c r="M458" s="58"/>
      <c r="N458" s="58" t="s">
        <v>295</v>
      </c>
      <c r="O458" s="58"/>
      <c r="P458" s="63"/>
      <c r="Q458" s="63"/>
    </row>
    <row r="459" spans="2:17" ht="20.25" customHeight="1" x14ac:dyDescent="0.3">
      <c r="B459" s="59" t="s">
        <v>13</v>
      </c>
      <c r="C459" s="59" t="s">
        <v>82</v>
      </c>
      <c r="D459" s="62" t="str">
        <f t="shared" si="11"/>
        <v>BMWX4</v>
      </c>
      <c r="E459" s="59" t="s">
        <v>657</v>
      </c>
      <c r="F459" s="60">
        <v>73000000</v>
      </c>
      <c r="G459" s="60">
        <v>1995</v>
      </c>
      <c r="H459" s="58" t="s">
        <v>250</v>
      </c>
      <c r="I459" s="58" t="s">
        <v>295</v>
      </c>
      <c r="J459" s="58" t="s">
        <v>1610</v>
      </c>
      <c r="K459" s="58" t="s">
        <v>432</v>
      </c>
      <c r="L459" s="58" t="s">
        <v>646</v>
      </c>
      <c r="M459" s="58"/>
      <c r="N459" s="58" t="s">
        <v>295</v>
      </c>
      <c r="O459" s="58"/>
      <c r="P459" s="63"/>
      <c r="Q459" s="63"/>
    </row>
    <row r="460" spans="2:17" ht="20.25" customHeight="1" x14ac:dyDescent="0.3">
      <c r="B460" s="59" t="s">
        <v>13</v>
      </c>
      <c r="C460" s="59" t="s">
        <v>82</v>
      </c>
      <c r="D460" s="62" t="str">
        <f t="shared" si="11"/>
        <v>BMWX4</v>
      </c>
      <c r="E460" s="59" t="s">
        <v>658</v>
      </c>
      <c r="F460" s="60">
        <v>76000000</v>
      </c>
      <c r="G460" s="60">
        <v>1995</v>
      </c>
      <c r="H460" s="58" t="s">
        <v>250</v>
      </c>
      <c r="I460" s="58" t="s">
        <v>295</v>
      </c>
      <c r="J460" s="58" t="s">
        <v>1610</v>
      </c>
      <c r="K460" s="58" t="s">
        <v>432</v>
      </c>
      <c r="L460" s="58" t="s">
        <v>646</v>
      </c>
      <c r="M460" s="58"/>
      <c r="N460" s="58" t="s">
        <v>295</v>
      </c>
      <c r="O460" s="58"/>
      <c r="P460" s="63"/>
      <c r="Q460" s="63"/>
    </row>
    <row r="461" spans="2:17" ht="20.25" customHeight="1" x14ac:dyDescent="0.3">
      <c r="B461" s="59" t="s">
        <v>13</v>
      </c>
      <c r="C461" s="59" t="s">
        <v>82</v>
      </c>
      <c r="D461" s="62" t="str">
        <f t="shared" si="11"/>
        <v>BMWX4</v>
      </c>
      <c r="E461" s="59" t="s">
        <v>659</v>
      </c>
      <c r="F461" s="60">
        <v>73800000</v>
      </c>
      <c r="G461" s="60">
        <v>1995</v>
      </c>
      <c r="H461" s="58" t="s">
        <v>250</v>
      </c>
      <c r="I461" s="58" t="s">
        <v>295</v>
      </c>
      <c r="J461" s="58" t="s">
        <v>1610</v>
      </c>
      <c r="K461" s="58" t="s">
        <v>432</v>
      </c>
      <c r="L461" s="58" t="s">
        <v>646</v>
      </c>
      <c r="M461" s="58"/>
      <c r="N461" s="58" t="s">
        <v>295</v>
      </c>
      <c r="O461" s="58"/>
      <c r="P461" s="63"/>
      <c r="Q461" s="63"/>
    </row>
    <row r="462" spans="2:17" ht="20.25" customHeight="1" x14ac:dyDescent="0.3">
      <c r="B462" s="59" t="s">
        <v>13</v>
      </c>
      <c r="C462" s="59" t="s">
        <v>82</v>
      </c>
      <c r="D462" s="62" t="str">
        <f t="shared" si="11"/>
        <v>BMWX4</v>
      </c>
      <c r="E462" s="59" t="s">
        <v>660</v>
      </c>
      <c r="F462" s="60">
        <v>88100000</v>
      </c>
      <c r="G462" s="60">
        <v>2993</v>
      </c>
      <c r="H462" s="58" t="s">
        <v>250</v>
      </c>
      <c r="I462" s="58" t="s">
        <v>295</v>
      </c>
      <c r="J462" s="58" t="s">
        <v>1610</v>
      </c>
      <c r="K462" s="58" t="s">
        <v>432</v>
      </c>
      <c r="L462" s="58" t="s">
        <v>646</v>
      </c>
      <c r="M462" s="58"/>
      <c r="N462" s="58" t="s">
        <v>295</v>
      </c>
      <c r="O462" s="58"/>
      <c r="P462" s="63"/>
      <c r="Q462" s="63"/>
    </row>
    <row r="463" spans="2:17" ht="20.25" customHeight="1" x14ac:dyDescent="0.3">
      <c r="B463" s="59" t="s">
        <v>13</v>
      </c>
      <c r="C463" s="59" t="s">
        <v>83</v>
      </c>
      <c r="D463" s="62" t="str">
        <f t="shared" si="11"/>
        <v>BMWX5</v>
      </c>
      <c r="E463" s="59" t="s">
        <v>661</v>
      </c>
      <c r="F463" s="60">
        <v>101400000</v>
      </c>
      <c r="G463" s="60">
        <v>2993</v>
      </c>
      <c r="H463" s="58" t="s">
        <v>250</v>
      </c>
      <c r="I463" s="58" t="s">
        <v>295</v>
      </c>
      <c r="J463" s="58" t="s">
        <v>1610</v>
      </c>
      <c r="K463" s="58" t="s">
        <v>1787</v>
      </c>
      <c r="L463" s="58" t="s">
        <v>395</v>
      </c>
      <c r="M463" s="58"/>
      <c r="N463" s="58" t="s">
        <v>295</v>
      </c>
      <c r="O463" s="58"/>
      <c r="P463" s="63">
        <v>0.01</v>
      </c>
      <c r="Q463" s="63">
        <v>0.01</v>
      </c>
    </row>
    <row r="464" spans="2:17" ht="20.25" customHeight="1" x14ac:dyDescent="0.3">
      <c r="B464" s="59" t="s">
        <v>13</v>
      </c>
      <c r="C464" s="59" t="s">
        <v>83</v>
      </c>
      <c r="D464" s="62" t="str">
        <f t="shared" si="11"/>
        <v>BMWX5</v>
      </c>
      <c r="E464" s="59" t="s">
        <v>662</v>
      </c>
      <c r="F464" s="60">
        <v>111100000</v>
      </c>
      <c r="G464" s="60">
        <v>2993</v>
      </c>
      <c r="H464" s="58" t="s">
        <v>250</v>
      </c>
      <c r="I464" s="58" t="s">
        <v>322</v>
      </c>
      <c r="J464" s="58" t="s">
        <v>1610</v>
      </c>
      <c r="K464" s="58" t="s">
        <v>1787</v>
      </c>
      <c r="L464" s="58" t="s">
        <v>395</v>
      </c>
      <c r="M464" s="58"/>
      <c r="N464" s="58" t="s">
        <v>322</v>
      </c>
      <c r="O464" s="58"/>
      <c r="P464" s="63">
        <v>0.01</v>
      </c>
      <c r="Q464" s="63">
        <v>0.01</v>
      </c>
    </row>
    <row r="465" spans="2:17" ht="20.25" customHeight="1" x14ac:dyDescent="0.3">
      <c r="B465" s="59" t="s">
        <v>13</v>
      </c>
      <c r="C465" s="59" t="s">
        <v>83</v>
      </c>
      <c r="D465" s="62" t="str">
        <f t="shared" si="11"/>
        <v>BMWX5</v>
      </c>
      <c r="E465" s="59" t="s">
        <v>663</v>
      </c>
      <c r="F465" s="60">
        <v>114700000</v>
      </c>
      <c r="G465" s="60">
        <v>2993</v>
      </c>
      <c r="H465" s="58" t="s">
        <v>250</v>
      </c>
      <c r="I465" s="58" t="s">
        <v>295</v>
      </c>
      <c r="J465" s="58" t="s">
        <v>1610</v>
      </c>
      <c r="K465" s="58" t="s">
        <v>1787</v>
      </c>
      <c r="L465" s="58" t="s">
        <v>395</v>
      </c>
      <c r="M465" s="58"/>
      <c r="N465" s="58" t="s">
        <v>295</v>
      </c>
      <c r="O465" s="58"/>
      <c r="P465" s="63">
        <v>0.01</v>
      </c>
      <c r="Q465" s="63">
        <v>0.01</v>
      </c>
    </row>
    <row r="466" spans="2:17" ht="20.25" customHeight="1" x14ac:dyDescent="0.3">
      <c r="B466" s="59" t="s">
        <v>13</v>
      </c>
      <c r="C466" s="59" t="s">
        <v>83</v>
      </c>
      <c r="D466" s="62" t="str">
        <f t="shared" si="11"/>
        <v>BMWX5</v>
      </c>
      <c r="E466" s="59" t="s">
        <v>664</v>
      </c>
      <c r="F466" s="60">
        <v>111100000</v>
      </c>
      <c r="G466" s="60">
        <v>2994</v>
      </c>
      <c r="H466" s="58" t="s">
        <v>250</v>
      </c>
      <c r="I466" s="58" t="s">
        <v>295</v>
      </c>
      <c r="J466" s="58" t="s">
        <v>1610</v>
      </c>
      <c r="K466" s="58" t="s">
        <v>1787</v>
      </c>
      <c r="L466" s="58" t="s">
        <v>395</v>
      </c>
      <c r="M466" s="58"/>
      <c r="N466" s="58" t="s">
        <v>295</v>
      </c>
      <c r="O466" s="58"/>
      <c r="P466" s="63">
        <v>0.01</v>
      </c>
      <c r="Q466" s="63">
        <v>0.01</v>
      </c>
    </row>
    <row r="467" spans="2:17" ht="20.25" customHeight="1" x14ac:dyDescent="0.3">
      <c r="B467" s="59" t="s">
        <v>13</v>
      </c>
      <c r="C467" s="59" t="s">
        <v>83</v>
      </c>
      <c r="D467" s="62" t="str">
        <f t="shared" si="11"/>
        <v>BMWX5</v>
      </c>
      <c r="E467" s="59" t="s">
        <v>665</v>
      </c>
      <c r="F467" s="60">
        <v>112900000</v>
      </c>
      <c r="G467" s="60">
        <v>2995</v>
      </c>
      <c r="H467" s="58" t="s">
        <v>250</v>
      </c>
      <c r="I467" s="58" t="s">
        <v>322</v>
      </c>
      <c r="J467" s="58" t="s">
        <v>1610</v>
      </c>
      <c r="K467" s="58" t="s">
        <v>1787</v>
      </c>
      <c r="L467" s="58" t="s">
        <v>395</v>
      </c>
      <c r="M467" s="58"/>
      <c r="N467" s="58" t="s">
        <v>295</v>
      </c>
      <c r="O467" s="58"/>
      <c r="P467" s="63">
        <v>0.01</v>
      </c>
      <c r="Q467" s="63">
        <v>0.01</v>
      </c>
    </row>
    <row r="468" spans="2:17" ht="20.25" customHeight="1" x14ac:dyDescent="0.3">
      <c r="B468" s="59" t="s">
        <v>13</v>
      </c>
      <c r="C468" s="59" t="s">
        <v>83</v>
      </c>
      <c r="D468" s="62" t="str">
        <f t="shared" si="11"/>
        <v>BMWX5</v>
      </c>
      <c r="E468" s="59" t="s">
        <v>666</v>
      </c>
      <c r="F468" s="60">
        <v>118900000</v>
      </c>
      <c r="G468" s="60">
        <v>2996</v>
      </c>
      <c r="H468" s="58" t="s">
        <v>250</v>
      </c>
      <c r="I468" s="58" t="s">
        <v>295</v>
      </c>
      <c r="J468" s="58" t="s">
        <v>1610</v>
      </c>
      <c r="K468" s="58" t="s">
        <v>1787</v>
      </c>
      <c r="L468" s="58" t="s">
        <v>395</v>
      </c>
      <c r="M468" s="58"/>
      <c r="N468" s="58" t="s">
        <v>295</v>
      </c>
      <c r="O468" s="58"/>
      <c r="P468" s="63">
        <v>0.01</v>
      </c>
      <c r="Q468" s="63">
        <v>0.01</v>
      </c>
    </row>
    <row r="469" spans="2:17" ht="20.25" customHeight="1" x14ac:dyDescent="0.3">
      <c r="B469" s="59" t="s">
        <v>13</v>
      </c>
      <c r="C469" s="59" t="s">
        <v>83</v>
      </c>
      <c r="D469" s="62" t="str">
        <f t="shared" si="11"/>
        <v>BMWX5</v>
      </c>
      <c r="E469" s="59" t="s">
        <v>667</v>
      </c>
      <c r="F469" s="60">
        <v>106900000</v>
      </c>
      <c r="G469" s="60">
        <v>2998</v>
      </c>
      <c r="H469" s="58" t="s">
        <v>241</v>
      </c>
      <c r="I469" s="58" t="s">
        <v>295</v>
      </c>
      <c r="J469" s="58" t="s">
        <v>1610</v>
      </c>
      <c r="K469" s="58" t="s">
        <v>1787</v>
      </c>
      <c r="L469" s="58" t="s">
        <v>395</v>
      </c>
      <c r="M469" s="58"/>
      <c r="N469" s="58" t="s">
        <v>295</v>
      </c>
      <c r="O469" s="58"/>
      <c r="P469" s="63">
        <v>0.01</v>
      </c>
      <c r="Q469" s="63">
        <v>0.01</v>
      </c>
    </row>
    <row r="470" spans="2:17" ht="20.25" customHeight="1" x14ac:dyDescent="0.3">
      <c r="B470" s="59" t="s">
        <v>13</v>
      </c>
      <c r="C470" s="59" t="s">
        <v>83</v>
      </c>
      <c r="D470" s="62" t="str">
        <f t="shared" si="11"/>
        <v>BMWX5</v>
      </c>
      <c r="E470" s="59" t="s">
        <v>668</v>
      </c>
      <c r="F470" s="60">
        <v>116100000</v>
      </c>
      <c r="G470" s="60">
        <v>2998</v>
      </c>
      <c r="H470" s="58" t="s">
        <v>241</v>
      </c>
      <c r="I470" s="58" t="s">
        <v>322</v>
      </c>
      <c r="J470" s="58" t="s">
        <v>1610</v>
      </c>
      <c r="K470" s="58" t="s">
        <v>1787</v>
      </c>
      <c r="L470" s="58" t="s">
        <v>395</v>
      </c>
      <c r="M470" s="58"/>
      <c r="N470" s="58" t="s">
        <v>295</v>
      </c>
      <c r="O470" s="58"/>
      <c r="P470" s="63">
        <v>0.01</v>
      </c>
      <c r="Q470" s="63">
        <v>0.01</v>
      </c>
    </row>
    <row r="471" spans="2:17" ht="20.25" customHeight="1" x14ac:dyDescent="0.3">
      <c r="B471" s="59" t="s">
        <v>13</v>
      </c>
      <c r="C471" s="59" t="s">
        <v>83</v>
      </c>
      <c r="D471" s="62" t="str">
        <f t="shared" si="11"/>
        <v>BMWX5</v>
      </c>
      <c r="E471" s="59" t="s">
        <v>669</v>
      </c>
      <c r="F471" s="60">
        <v>119800000</v>
      </c>
      <c r="G471" s="60">
        <v>2998</v>
      </c>
      <c r="H471" s="58" t="s">
        <v>241</v>
      </c>
      <c r="I471" s="58" t="s">
        <v>295</v>
      </c>
      <c r="J471" s="58" t="s">
        <v>1610</v>
      </c>
      <c r="K471" s="58" t="s">
        <v>1787</v>
      </c>
      <c r="L471" s="58" t="s">
        <v>395</v>
      </c>
      <c r="M471" s="58"/>
      <c r="N471" s="58" t="s">
        <v>295</v>
      </c>
      <c r="O471" s="58"/>
      <c r="P471" s="63">
        <v>0.01</v>
      </c>
      <c r="Q471" s="63">
        <v>0.01</v>
      </c>
    </row>
    <row r="472" spans="2:17" ht="20.25" customHeight="1" x14ac:dyDescent="0.3">
      <c r="B472" s="59" t="s">
        <v>13</v>
      </c>
      <c r="C472" s="59" t="s">
        <v>83</v>
      </c>
      <c r="D472" s="62" t="str">
        <f t="shared" si="11"/>
        <v>BMWX5</v>
      </c>
      <c r="E472" s="59" t="s">
        <v>670</v>
      </c>
      <c r="F472" s="60">
        <v>121700000</v>
      </c>
      <c r="G472" s="60">
        <v>2998</v>
      </c>
      <c r="H472" s="58" t="s">
        <v>241</v>
      </c>
      <c r="I472" s="58" t="s">
        <v>295</v>
      </c>
      <c r="J472" s="58" t="s">
        <v>1613</v>
      </c>
      <c r="K472" s="58" t="s">
        <v>1787</v>
      </c>
      <c r="L472" s="58" t="s">
        <v>395</v>
      </c>
      <c r="M472" s="58"/>
      <c r="N472" s="58" t="s">
        <v>295</v>
      </c>
      <c r="O472" s="58"/>
      <c r="P472" s="63">
        <v>0.01</v>
      </c>
      <c r="Q472" s="63">
        <v>0.01</v>
      </c>
    </row>
    <row r="473" spans="2:17" ht="20.25" customHeight="1" x14ac:dyDescent="0.3">
      <c r="B473" s="59" t="s">
        <v>13</v>
      </c>
      <c r="C473" s="59" t="s">
        <v>83</v>
      </c>
      <c r="D473" s="62" t="str">
        <f t="shared" si="11"/>
        <v>BMWX5</v>
      </c>
      <c r="E473" s="59" t="s">
        <v>671</v>
      </c>
      <c r="F473" s="60">
        <v>127600000</v>
      </c>
      <c r="G473" s="60">
        <v>2998</v>
      </c>
      <c r="H473" s="58" t="s">
        <v>241</v>
      </c>
      <c r="I473" s="58" t="s">
        <v>295</v>
      </c>
      <c r="J473" s="58" t="s">
        <v>1613</v>
      </c>
      <c r="K473" s="58" t="s">
        <v>1787</v>
      </c>
      <c r="L473" s="58" t="s">
        <v>395</v>
      </c>
      <c r="M473" s="58"/>
      <c r="N473" s="58" t="s">
        <v>295</v>
      </c>
      <c r="O473" s="58"/>
      <c r="P473" s="63">
        <v>0.01</v>
      </c>
      <c r="Q473" s="63">
        <v>0.01</v>
      </c>
    </row>
    <row r="474" spans="2:17" ht="20.25" customHeight="1" x14ac:dyDescent="0.3">
      <c r="B474" s="59" t="s">
        <v>13</v>
      </c>
      <c r="C474" s="59" t="s">
        <v>84</v>
      </c>
      <c r="D474" s="62" t="str">
        <f t="shared" si="11"/>
        <v>BMWX6</v>
      </c>
      <c r="E474" s="59" t="s">
        <v>672</v>
      </c>
      <c r="F474" s="60">
        <v>106200000</v>
      </c>
      <c r="G474" s="60">
        <v>2993</v>
      </c>
      <c r="H474" s="58" t="s">
        <v>250</v>
      </c>
      <c r="I474" s="58" t="s">
        <v>295</v>
      </c>
      <c r="J474" s="58" t="s">
        <v>1610</v>
      </c>
      <c r="K474" s="58" t="s">
        <v>1787</v>
      </c>
      <c r="L474" s="58" t="s">
        <v>395</v>
      </c>
      <c r="M474" s="58"/>
      <c r="N474" s="58" t="s">
        <v>295</v>
      </c>
      <c r="O474" s="58"/>
      <c r="P474" s="63">
        <v>0.01</v>
      </c>
      <c r="Q474" s="63">
        <v>0.01</v>
      </c>
    </row>
    <row r="475" spans="2:17" ht="20.25" customHeight="1" x14ac:dyDescent="0.3">
      <c r="B475" s="59" t="s">
        <v>13</v>
      </c>
      <c r="C475" s="59" t="s">
        <v>84</v>
      </c>
      <c r="D475" s="62" t="str">
        <f t="shared" si="11"/>
        <v>BMWX6</v>
      </c>
      <c r="E475" s="59" t="s">
        <v>673</v>
      </c>
      <c r="F475" s="60">
        <v>118800000</v>
      </c>
      <c r="G475" s="60">
        <v>2993</v>
      </c>
      <c r="H475" s="58" t="s">
        <v>250</v>
      </c>
      <c r="I475" s="58" t="s">
        <v>295</v>
      </c>
      <c r="J475" s="58" t="s">
        <v>1610</v>
      </c>
      <c r="K475" s="58" t="s">
        <v>1787</v>
      </c>
      <c r="L475" s="58" t="s">
        <v>395</v>
      </c>
      <c r="M475" s="58"/>
      <c r="N475" s="58" t="s">
        <v>295</v>
      </c>
      <c r="O475" s="58"/>
      <c r="P475" s="63">
        <v>0.01</v>
      </c>
      <c r="Q475" s="63">
        <v>0.01</v>
      </c>
    </row>
    <row r="476" spans="2:17" ht="20.25" customHeight="1" x14ac:dyDescent="0.3">
      <c r="B476" s="59" t="s">
        <v>13</v>
      </c>
      <c r="C476" s="59" t="s">
        <v>84</v>
      </c>
      <c r="D476" s="62" t="str">
        <f t="shared" si="11"/>
        <v>BMWX6</v>
      </c>
      <c r="E476" s="59" t="s">
        <v>674</v>
      </c>
      <c r="F476" s="60">
        <v>123800000</v>
      </c>
      <c r="G476" s="60">
        <v>2998</v>
      </c>
      <c r="H476" s="58" t="s">
        <v>241</v>
      </c>
      <c r="I476" s="58" t="s">
        <v>295</v>
      </c>
      <c r="J476" s="58" t="s">
        <v>1610</v>
      </c>
      <c r="K476" s="58" t="s">
        <v>1787</v>
      </c>
      <c r="L476" s="58" t="s">
        <v>395</v>
      </c>
      <c r="M476" s="58"/>
      <c r="N476" s="58" t="s">
        <v>295</v>
      </c>
      <c r="O476" s="58"/>
      <c r="P476" s="63">
        <v>0.01</v>
      </c>
      <c r="Q476" s="63">
        <v>0.01</v>
      </c>
    </row>
    <row r="477" spans="2:17" ht="20.25" customHeight="1" x14ac:dyDescent="0.3">
      <c r="B477" s="59" t="s">
        <v>13</v>
      </c>
      <c r="C477" s="59" t="s">
        <v>84</v>
      </c>
      <c r="D477" s="62" t="str">
        <f t="shared" si="11"/>
        <v>BMWX6</v>
      </c>
      <c r="E477" s="59" t="s">
        <v>675</v>
      </c>
      <c r="F477" s="60">
        <v>122600000</v>
      </c>
      <c r="G477" s="60">
        <v>2993</v>
      </c>
      <c r="H477" s="58" t="s">
        <v>250</v>
      </c>
      <c r="I477" s="58" t="s">
        <v>295</v>
      </c>
      <c r="J477" s="58" t="s">
        <v>1610</v>
      </c>
      <c r="K477" s="58" t="s">
        <v>1787</v>
      </c>
      <c r="L477" s="58" t="s">
        <v>395</v>
      </c>
      <c r="M477" s="58"/>
      <c r="N477" s="58" t="s">
        <v>295</v>
      </c>
      <c r="O477" s="58"/>
      <c r="P477" s="63">
        <v>0.01</v>
      </c>
      <c r="Q477" s="63">
        <v>0.01</v>
      </c>
    </row>
    <row r="478" spans="2:17" ht="20.25" customHeight="1" x14ac:dyDescent="0.3">
      <c r="B478" s="59" t="s">
        <v>13</v>
      </c>
      <c r="C478" s="59" t="s">
        <v>85</v>
      </c>
      <c r="D478" s="62" t="str">
        <f t="shared" si="11"/>
        <v>BMWX7</v>
      </c>
      <c r="E478" s="59" t="s">
        <v>676</v>
      </c>
      <c r="F478" s="60">
        <v>121300000</v>
      </c>
      <c r="G478" s="60">
        <v>2993</v>
      </c>
      <c r="H478" s="58" t="s">
        <v>250</v>
      </c>
      <c r="I478" s="58" t="s">
        <v>322</v>
      </c>
      <c r="J478" s="58" t="s">
        <v>1610</v>
      </c>
      <c r="K478" s="58" t="s">
        <v>1791</v>
      </c>
      <c r="L478" s="58" t="s">
        <v>646</v>
      </c>
      <c r="M478" s="58"/>
      <c r="N478" s="58" t="s">
        <v>322</v>
      </c>
      <c r="O478" s="58"/>
      <c r="P478" s="63">
        <v>0.01</v>
      </c>
      <c r="Q478" s="63">
        <v>0.01</v>
      </c>
    </row>
    <row r="479" spans="2:17" ht="20.25" customHeight="1" x14ac:dyDescent="0.3">
      <c r="B479" s="59" t="s">
        <v>13</v>
      </c>
      <c r="C479" s="59" t="s">
        <v>85</v>
      </c>
      <c r="D479" s="62" t="str">
        <f t="shared" si="11"/>
        <v>BMWX7</v>
      </c>
      <c r="E479" s="59" t="s">
        <v>677</v>
      </c>
      <c r="F479" s="60">
        <v>123300000</v>
      </c>
      <c r="G479" s="60">
        <v>2993</v>
      </c>
      <c r="H479" s="58" t="s">
        <v>250</v>
      </c>
      <c r="I479" s="58" t="s">
        <v>295</v>
      </c>
      <c r="J479" s="58" t="s">
        <v>1610</v>
      </c>
      <c r="K479" s="58" t="s">
        <v>1791</v>
      </c>
      <c r="L479" s="58" t="s">
        <v>646</v>
      </c>
      <c r="M479" s="58"/>
      <c r="N479" s="58" t="s">
        <v>295</v>
      </c>
      <c r="O479" s="58"/>
      <c r="P479" s="63">
        <v>0.01</v>
      </c>
      <c r="Q479" s="63">
        <v>0.01</v>
      </c>
    </row>
    <row r="480" spans="2:17" ht="20.25" customHeight="1" x14ac:dyDescent="0.3">
      <c r="B480" s="59" t="s">
        <v>13</v>
      </c>
      <c r="C480" s="59" t="s">
        <v>85</v>
      </c>
      <c r="D480" s="62" t="str">
        <f t="shared" si="11"/>
        <v>BMWX7</v>
      </c>
      <c r="E480" s="59" t="s">
        <v>678</v>
      </c>
      <c r="F480" s="60">
        <v>126800000</v>
      </c>
      <c r="G480" s="60">
        <v>2993</v>
      </c>
      <c r="H480" s="58" t="s">
        <v>250</v>
      </c>
      <c r="I480" s="58" t="s">
        <v>295</v>
      </c>
      <c r="J480" s="58" t="s">
        <v>1610</v>
      </c>
      <c r="K480" s="58" t="s">
        <v>1791</v>
      </c>
      <c r="L480" s="58" t="s">
        <v>646</v>
      </c>
      <c r="M480" s="58"/>
      <c r="N480" s="58" t="s">
        <v>295</v>
      </c>
      <c r="O480" s="58"/>
      <c r="P480" s="63">
        <v>0.01</v>
      </c>
      <c r="Q480" s="63">
        <v>0.01</v>
      </c>
    </row>
    <row r="481" spans="2:17" ht="20.25" customHeight="1" x14ac:dyDescent="0.3">
      <c r="B481" s="59" t="s">
        <v>13</v>
      </c>
      <c r="C481" s="59" t="s">
        <v>85</v>
      </c>
      <c r="D481" s="62" t="str">
        <f t="shared" si="11"/>
        <v>BMWX7</v>
      </c>
      <c r="E481" s="59" t="s">
        <v>679</v>
      </c>
      <c r="F481" s="60">
        <v>146800000</v>
      </c>
      <c r="G481" s="60">
        <v>2993</v>
      </c>
      <c r="H481" s="58" t="s">
        <v>250</v>
      </c>
      <c r="I481" s="58" t="s">
        <v>322</v>
      </c>
      <c r="J481" s="58" t="s">
        <v>1610</v>
      </c>
      <c r="K481" s="58" t="s">
        <v>1791</v>
      </c>
      <c r="L481" s="58" t="s">
        <v>646</v>
      </c>
      <c r="M481" s="58"/>
      <c r="N481" s="58" t="s">
        <v>322</v>
      </c>
      <c r="O481" s="58"/>
      <c r="P481" s="63">
        <v>0.01</v>
      </c>
      <c r="Q481" s="63">
        <v>0.01</v>
      </c>
    </row>
    <row r="482" spans="2:17" ht="20.25" customHeight="1" x14ac:dyDescent="0.3">
      <c r="B482" s="59" t="s">
        <v>13</v>
      </c>
      <c r="C482" s="59" t="s">
        <v>85</v>
      </c>
      <c r="D482" s="62" t="str">
        <f t="shared" si="11"/>
        <v>BMWX7</v>
      </c>
      <c r="E482" s="59" t="s">
        <v>680</v>
      </c>
      <c r="F482" s="60">
        <v>148800000</v>
      </c>
      <c r="G482" s="60">
        <v>2993</v>
      </c>
      <c r="H482" s="58" t="s">
        <v>250</v>
      </c>
      <c r="I482" s="58" t="s">
        <v>295</v>
      </c>
      <c r="J482" s="58" t="s">
        <v>1610</v>
      </c>
      <c r="K482" s="58" t="s">
        <v>1791</v>
      </c>
      <c r="L482" s="58" t="s">
        <v>646</v>
      </c>
      <c r="M482" s="58"/>
      <c r="N482" s="58" t="s">
        <v>295</v>
      </c>
      <c r="O482" s="58"/>
      <c r="P482" s="63">
        <v>0.01</v>
      </c>
      <c r="Q482" s="63">
        <v>0.01</v>
      </c>
    </row>
    <row r="483" spans="2:17" ht="20.25" customHeight="1" x14ac:dyDescent="0.3">
      <c r="B483" s="59" t="s">
        <v>13</v>
      </c>
      <c r="C483" s="59" t="s">
        <v>85</v>
      </c>
      <c r="D483" s="62" t="str">
        <f t="shared" si="11"/>
        <v>BMWX7</v>
      </c>
      <c r="E483" s="59" t="s">
        <v>681</v>
      </c>
      <c r="F483" s="60">
        <v>151300000</v>
      </c>
      <c r="G483" s="60">
        <v>2993</v>
      </c>
      <c r="H483" s="58" t="s">
        <v>250</v>
      </c>
      <c r="I483" s="58" t="s">
        <v>295</v>
      </c>
      <c r="J483" s="58" t="s">
        <v>1610</v>
      </c>
      <c r="K483" s="58" t="s">
        <v>1791</v>
      </c>
      <c r="L483" s="58" t="s">
        <v>646</v>
      </c>
      <c r="M483" s="58"/>
      <c r="N483" s="58" t="s">
        <v>295</v>
      </c>
      <c r="O483" s="58"/>
      <c r="P483" s="63">
        <v>0.01</v>
      </c>
      <c r="Q483" s="63">
        <v>0.01</v>
      </c>
    </row>
    <row r="484" spans="2:17" ht="20.25" customHeight="1" x14ac:dyDescent="0.3">
      <c r="B484" s="59" t="s">
        <v>13</v>
      </c>
      <c r="C484" s="59" t="s">
        <v>85</v>
      </c>
      <c r="D484" s="62" t="str">
        <f t="shared" si="11"/>
        <v>BMWX7</v>
      </c>
      <c r="E484" s="59" t="s">
        <v>682</v>
      </c>
      <c r="F484" s="60">
        <v>145800000</v>
      </c>
      <c r="G484" s="60">
        <v>2998</v>
      </c>
      <c r="H484" s="58" t="s">
        <v>241</v>
      </c>
      <c r="I484" s="58" t="s">
        <v>322</v>
      </c>
      <c r="J484" s="58" t="s">
        <v>1610</v>
      </c>
      <c r="K484" s="58" t="s">
        <v>1791</v>
      </c>
      <c r="L484" s="58" t="s">
        <v>646</v>
      </c>
      <c r="M484" s="58"/>
      <c r="N484" s="58" t="s">
        <v>322</v>
      </c>
      <c r="O484" s="58"/>
      <c r="P484" s="63">
        <v>0.01</v>
      </c>
      <c r="Q484" s="63">
        <v>0.01</v>
      </c>
    </row>
    <row r="485" spans="2:17" ht="20.25" customHeight="1" x14ac:dyDescent="0.3">
      <c r="B485" s="59" t="s">
        <v>13</v>
      </c>
      <c r="C485" s="59" t="s">
        <v>85</v>
      </c>
      <c r="D485" s="62" t="str">
        <f t="shared" si="11"/>
        <v>BMWX7</v>
      </c>
      <c r="E485" s="59" t="s">
        <v>683</v>
      </c>
      <c r="F485" s="60">
        <v>147800000</v>
      </c>
      <c r="G485" s="60">
        <v>2998</v>
      </c>
      <c r="H485" s="58" t="s">
        <v>241</v>
      </c>
      <c r="I485" s="58" t="s">
        <v>295</v>
      </c>
      <c r="J485" s="58" t="s">
        <v>1610</v>
      </c>
      <c r="K485" s="58" t="s">
        <v>1791</v>
      </c>
      <c r="L485" s="58" t="s">
        <v>646</v>
      </c>
      <c r="M485" s="58"/>
      <c r="N485" s="58" t="s">
        <v>295</v>
      </c>
      <c r="O485" s="58"/>
      <c r="P485" s="63">
        <v>0.01</v>
      </c>
      <c r="Q485" s="63">
        <v>0.01</v>
      </c>
    </row>
    <row r="486" spans="2:17" ht="20.25" customHeight="1" x14ac:dyDescent="0.3">
      <c r="B486" s="59" t="s">
        <v>13</v>
      </c>
      <c r="C486" s="59" t="s">
        <v>85</v>
      </c>
      <c r="D486" s="62" t="str">
        <f t="shared" si="11"/>
        <v>BMWX7</v>
      </c>
      <c r="E486" s="59" t="s">
        <v>684</v>
      </c>
      <c r="F486" s="60">
        <v>150300000</v>
      </c>
      <c r="G486" s="60">
        <v>2998</v>
      </c>
      <c r="H486" s="58" t="s">
        <v>241</v>
      </c>
      <c r="I486" s="58" t="s">
        <v>295</v>
      </c>
      <c r="J486" s="58" t="s">
        <v>1610</v>
      </c>
      <c r="K486" s="58" t="s">
        <v>1791</v>
      </c>
      <c r="L486" s="58" t="s">
        <v>646</v>
      </c>
      <c r="M486" s="58"/>
      <c r="N486" s="58" t="s">
        <v>295</v>
      </c>
      <c r="O486" s="58"/>
      <c r="P486" s="63">
        <v>0.01</v>
      </c>
      <c r="Q486" s="63">
        <v>0.01</v>
      </c>
    </row>
    <row r="487" spans="2:17" ht="20.25" customHeight="1" x14ac:dyDescent="0.3">
      <c r="B487" s="59" t="s">
        <v>13</v>
      </c>
      <c r="C487" s="59" t="s">
        <v>86</v>
      </c>
      <c r="D487" s="62" t="str">
        <f t="shared" si="11"/>
        <v>BMWM</v>
      </c>
      <c r="E487" s="59" t="s">
        <v>685</v>
      </c>
      <c r="F487" s="60">
        <v>57600000</v>
      </c>
      <c r="G487" s="60">
        <v>1998</v>
      </c>
      <c r="H487" s="58" t="s">
        <v>241</v>
      </c>
      <c r="I487" s="58" t="s">
        <v>242</v>
      </c>
      <c r="J487" s="58" t="s">
        <v>1611</v>
      </c>
      <c r="K487" s="58" t="s">
        <v>86</v>
      </c>
      <c r="L487" s="58" t="s">
        <v>246</v>
      </c>
      <c r="M487" s="58"/>
      <c r="N487" s="58" t="s">
        <v>242</v>
      </c>
      <c r="O487" s="58"/>
      <c r="P487" s="63"/>
      <c r="Q487" s="63"/>
    </row>
    <row r="488" spans="2:17" ht="20.25" customHeight="1" x14ac:dyDescent="0.3">
      <c r="B488" s="59" t="s">
        <v>13</v>
      </c>
      <c r="C488" s="59" t="s">
        <v>86</v>
      </c>
      <c r="D488" s="62" t="str">
        <f t="shared" si="11"/>
        <v>BMWM</v>
      </c>
      <c r="E488" s="59" t="s">
        <v>686</v>
      </c>
      <c r="F488" s="60">
        <v>78700000</v>
      </c>
      <c r="G488" s="60">
        <v>2993</v>
      </c>
      <c r="H488" s="58" t="s">
        <v>241</v>
      </c>
      <c r="I488" s="58" t="s">
        <v>242</v>
      </c>
      <c r="J488" s="58" t="s">
        <v>1615</v>
      </c>
      <c r="K488" s="58" t="s">
        <v>86</v>
      </c>
      <c r="L488" s="58" t="s">
        <v>331</v>
      </c>
      <c r="M488" s="58"/>
      <c r="N488" s="58" t="s">
        <v>242</v>
      </c>
      <c r="O488" s="58"/>
      <c r="P488" s="63"/>
      <c r="Q488" s="63"/>
    </row>
    <row r="489" spans="2:17" ht="20.25" customHeight="1" x14ac:dyDescent="0.3">
      <c r="B489" s="59" t="s">
        <v>13</v>
      </c>
      <c r="C489" s="59" t="s">
        <v>86</v>
      </c>
      <c r="D489" s="62" t="str">
        <f t="shared" si="11"/>
        <v>BMWM</v>
      </c>
      <c r="E489" s="59" t="s">
        <v>687</v>
      </c>
      <c r="F489" s="60">
        <v>115500000</v>
      </c>
      <c r="G489" s="60">
        <v>2993</v>
      </c>
      <c r="H489" s="58" t="s">
        <v>241</v>
      </c>
      <c r="I489" s="58" t="s">
        <v>242</v>
      </c>
      <c r="J489" s="58" t="s">
        <v>1615</v>
      </c>
      <c r="K489" s="58" t="s">
        <v>86</v>
      </c>
      <c r="L489" s="58" t="s">
        <v>331</v>
      </c>
      <c r="M489" s="58"/>
      <c r="N489" s="58" t="s">
        <v>242</v>
      </c>
      <c r="O489" s="58"/>
      <c r="P489" s="63"/>
      <c r="Q489" s="63"/>
    </row>
    <row r="490" spans="2:17" ht="20.25" customHeight="1" x14ac:dyDescent="0.3">
      <c r="B490" s="59" t="s">
        <v>13</v>
      </c>
      <c r="C490" s="59" t="s">
        <v>86</v>
      </c>
      <c r="D490" s="62" t="str">
        <f t="shared" si="11"/>
        <v>BMWM</v>
      </c>
      <c r="E490" s="59" t="s">
        <v>688</v>
      </c>
      <c r="F490" s="60">
        <v>63700000</v>
      </c>
      <c r="G490" s="60">
        <v>1998</v>
      </c>
      <c r="H490" s="58" t="s">
        <v>241</v>
      </c>
      <c r="I490" s="58" t="s">
        <v>242</v>
      </c>
      <c r="J490" s="58" t="s">
        <v>1611</v>
      </c>
      <c r="K490" s="58" t="s">
        <v>86</v>
      </c>
      <c r="L490" s="58" t="s">
        <v>246</v>
      </c>
      <c r="M490" s="58"/>
      <c r="N490" s="58" t="s">
        <v>242</v>
      </c>
      <c r="O490" s="58"/>
      <c r="P490" s="63"/>
      <c r="Q490" s="63"/>
    </row>
    <row r="491" spans="2:17" ht="20.25" customHeight="1" x14ac:dyDescent="0.3">
      <c r="B491" s="59" t="s">
        <v>13</v>
      </c>
      <c r="C491" s="59" t="s">
        <v>86</v>
      </c>
      <c r="D491" s="62" t="str">
        <f t="shared" si="11"/>
        <v>BMWM</v>
      </c>
      <c r="E491" s="59" t="s">
        <v>689</v>
      </c>
      <c r="F491" s="60">
        <v>63000000</v>
      </c>
      <c r="G491" s="60">
        <v>1998</v>
      </c>
      <c r="H491" s="58" t="s">
        <v>241</v>
      </c>
      <c r="I491" s="58" t="s">
        <v>242</v>
      </c>
      <c r="J491" s="58" t="s">
        <v>1611</v>
      </c>
      <c r="K491" s="58" t="s">
        <v>86</v>
      </c>
      <c r="L491" s="58" t="s">
        <v>246</v>
      </c>
      <c r="M491" s="58"/>
      <c r="N491" s="58" t="s">
        <v>242</v>
      </c>
      <c r="O491" s="58"/>
      <c r="P491" s="63"/>
      <c r="Q491" s="63"/>
    </row>
    <row r="492" spans="2:17" ht="20.25" customHeight="1" x14ac:dyDescent="0.3">
      <c r="B492" s="59" t="s">
        <v>13</v>
      </c>
      <c r="C492" s="59" t="s">
        <v>86</v>
      </c>
      <c r="D492" s="62" t="str">
        <f t="shared" si="11"/>
        <v>BMWM</v>
      </c>
      <c r="E492" s="59" t="s">
        <v>690</v>
      </c>
      <c r="F492" s="60">
        <v>72700000</v>
      </c>
      <c r="G492" s="60">
        <v>2998</v>
      </c>
      <c r="H492" s="58" t="s">
        <v>241</v>
      </c>
      <c r="I492" s="58" t="s">
        <v>242</v>
      </c>
      <c r="J492" s="58" t="s">
        <v>1611</v>
      </c>
      <c r="K492" s="58" t="s">
        <v>86</v>
      </c>
      <c r="L492" s="58" t="s">
        <v>246</v>
      </c>
      <c r="M492" s="58"/>
      <c r="N492" s="58" t="s">
        <v>242</v>
      </c>
      <c r="O492" s="58"/>
      <c r="P492" s="63"/>
      <c r="Q492" s="63"/>
    </row>
    <row r="493" spans="2:17" ht="20.25" customHeight="1" x14ac:dyDescent="0.3">
      <c r="B493" s="59" t="s">
        <v>13</v>
      </c>
      <c r="C493" s="59" t="s">
        <v>86</v>
      </c>
      <c r="D493" s="62" t="str">
        <f t="shared" si="11"/>
        <v>BMWM</v>
      </c>
      <c r="E493" s="59" t="s">
        <v>691</v>
      </c>
      <c r="F493" s="60">
        <v>121200000</v>
      </c>
      <c r="G493" s="60">
        <v>2993</v>
      </c>
      <c r="H493" s="58" t="s">
        <v>241</v>
      </c>
      <c r="I493" s="58" t="s">
        <v>242</v>
      </c>
      <c r="J493" s="58" t="s">
        <v>1615</v>
      </c>
      <c r="K493" s="58" t="s">
        <v>86</v>
      </c>
      <c r="L493" s="58" t="s">
        <v>331</v>
      </c>
      <c r="M493" s="58"/>
      <c r="N493" s="58" t="s">
        <v>242</v>
      </c>
      <c r="O493" s="58"/>
      <c r="P493" s="63"/>
      <c r="Q493" s="63"/>
    </row>
    <row r="494" spans="2:17" ht="20.25" customHeight="1" x14ac:dyDescent="0.3">
      <c r="B494" s="59" t="s">
        <v>13</v>
      </c>
      <c r="C494" s="59" t="s">
        <v>86</v>
      </c>
      <c r="D494" s="62" t="str">
        <f t="shared" si="11"/>
        <v>BMWM</v>
      </c>
      <c r="E494" s="59" t="s">
        <v>692</v>
      </c>
      <c r="F494" s="60">
        <v>126300000</v>
      </c>
      <c r="G494" s="60">
        <v>2993</v>
      </c>
      <c r="H494" s="58" t="s">
        <v>241</v>
      </c>
      <c r="I494" s="58" t="s">
        <v>242</v>
      </c>
      <c r="J494" s="58" t="s">
        <v>1615</v>
      </c>
      <c r="K494" s="58" t="s">
        <v>86</v>
      </c>
      <c r="L494" s="58" t="s">
        <v>331</v>
      </c>
      <c r="M494" s="58"/>
      <c r="N494" s="58" t="s">
        <v>242</v>
      </c>
      <c r="O494" s="58"/>
      <c r="P494" s="63"/>
      <c r="Q494" s="63"/>
    </row>
    <row r="495" spans="2:17" ht="20.25" customHeight="1" x14ac:dyDescent="0.3">
      <c r="B495" s="59" t="s">
        <v>13</v>
      </c>
      <c r="C495" s="59" t="s">
        <v>86</v>
      </c>
      <c r="D495" s="62" t="str">
        <f t="shared" si="11"/>
        <v>BMWM</v>
      </c>
      <c r="E495" s="59" t="s">
        <v>693</v>
      </c>
      <c r="F495" s="60">
        <v>133500000</v>
      </c>
      <c r="G495" s="60">
        <v>2993</v>
      </c>
      <c r="H495" s="58" t="s">
        <v>241</v>
      </c>
      <c r="I495" s="58" t="s">
        <v>242</v>
      </c>
      <c r="J495" s="58" t="s">
        <v>1615</v>
      </c>
      <c r="K495" s="58" t="s">
        <v>86</v>
      </c>
      <c r="L495" s="58" t="s">
        <v>331</v>
      </c>
      <c r="M495" s="58"/>
      <c r="N495" s="58" t="s">
        <v>242</v>
      </c>
      <c r="O495" s="58"/>
      <c r="P495" s="63"/>
      <c r="Q495" s="63"/>
    </row>
    <row r="496" spans="2:17" ht="20.25" customHeight="1" x14ac:dyDescent="0.3">
      <c r="B496" s="59" t="s">
        <v>13</v>
      </c>
      <c r="C496" s="59" t="s">
        <v>86</v>
      </c>
      <c r="D496" s="62" t="str">
        <f t="shared" si="11"/>
        <v>BMWM</v>
      </c>
      <c r="E496" s="59" t="s">
        <v>694</v>
      </c>
      <c r="F496" s="60">
        <v>69300000</v>
      </c>
      <c r="G496" s="60">
        <v>1998</v>
      </c>
      <c r="H496" s="58" t="s">
        <v>241</v>
      </c>
      <c r="I496" s="58" t="s">
        <v>242</v>
      </c>
      <c r="J496" s="58" t="s">
        <v>1611</v>
      </c>
      <c r="K496" s="58" t="s">
        <v>86</v>
      </c>
      <c r="L496" s="58" t="s">
        <v>243</v>
      </c>
      <c r="M496" s="58"/>
      <c r="N496" s="58" t="s">
        <v>242</v>
      </c>
      <c r="O496" s="58"/>
      <c r="P496" s="63"/>
      <c r="Q496" s="63"/>
    </row>
    <row r="497" spans="2:17" ht="20.25" customHeight="1" x14ac:dyDescent="0.3">
      <c r="B497" s="59" t="s">
        <v>13</v>
      </c>
      <c r="C497" s="59" t="s">
        <v>86</v>
      </c>
      <c r="D497" s="62" t="str">
        <f t="shared" ref="D497:D558" si="12">+B497&amp;C497</f>
        <v>BMWM</v>
      </c>
      <c r="E497" s="59" t="s">
        <v>695</v>
      </c>
      <c r="F497" s="60">
        <v>81200000</v>
      </c>
      <c r="G497" s="60">
        <v>2998</v>
      </c>
      <c r="H497" s="58" t="s">
        <v>241</v>
      </c>
      <c r="I497" s="58" t="s">
        <v>242</v>
      </c>
      <c r="J497" s="58" t="s">
        <v>1611</v>
      </c>
      <c r="K497" s="58" t="s">
        <v>86</v>
      </c>
      <c r="L497" s="58" t="s">
        <v>243</v>
      </c>
      <c r="M497" s="58"/>
      <c r="N497" s="58" t="s">
        <v>242</v>
      </c>
      <c r="O497" s="58"/>
      <c r="P497" s="63"/>
      <c r="Q497" s="63"/>
    </row>
    <row r="498" spans="2:17" ht="20.25" customHeight="1" x14ac:dyDescent="0.3">
      <c r="B498" s="59" t="s">
        <v>13</v>
      </c>
      <c r="C498" s="59" t="s">
        <v>86</v>
      </c>
      <c r="D498" s="62" t="str">
        <f t="shared" si="12"/>
        <v>BMWM</v>
      </c>
      <c r="E498" s="59" t="s">
        <v>696</v>
      </c>
      <c r="F498" s="60">
        <v>86300000</v>
      </c>
      <c r="G498" s="60">
        <v>2998</v>
      </c>
      <c r="H498" s="58" t="s">
        <v>241</v>
      </c>
      <c r="I498" s="58" t="s">
        <v>242</v>
      </c>
      <c r="J498" s="58" t="s">
        <v>1611</v>
      </c>
      <c r="K498" s="58" t="s">
        <v>86</v>
      </c>
      <c r="L498" s="58" t="s">
        <v>243</v>
      </c>
      <c r="M498" s="58"/>
      <c r="N498" s="58" t="s">
        <v>242</v>
      </c>
      <c r="O498" s="58"/>
      <c r="P498" s="63"/>
      <c r="Q498" s="63"/>
    </row>
    <row r="499" spans="2:17" ht="20.25" customHeight="1" x14ac:dyDescent="0.3">
      <c r="B499" s="59" t="s">
        <v>13</v>
      </c>
      <c r="C499" s="59" t="s">
        <v>86</v>
      </c>
      <c r="D499" s="62" t="str">
        <f t="shared" si="12"/>
        <v>BMWM</v>
      </c>
      <c r="E499" s="59" t="s">
        <v>697</v>
      </c>
      <c r="F499" s="60">
        <v>82500000</v>
      </c>
      <c r="G499" s="60">
        <v>2998</v>
      </c>
      <c r="H499" s="58" t="s">
        <v>241</v>
      </c>
      <c r="I499" s="58" t="s">
        <v>242</v>
      </c>
      <c r="J499" s="58" t="s">
        <v>1611</v>
      </c>
      <c r="K499" s="58" t="s">
        <v>86</v>
      </c>
      <c r="L499" s="58" t="s">
        <v>243</v>
      </c>
      <c r="M499" s="58"/>
      <c r="N499" s="58" t="s">
        <v>242</v>
      </c>
      <c r="O499" s="58"/>
      <c r="P499" s="63"/>
      <c r="Q499" s="63"/>
    </row>
    <row r="500" spans="2:17" ht="20.25" customHeight="1" x14ac:dyDescent="0.3">
      <c r="B500" s="59" t="s">
        <v>13</v>
      </c>
      <c r="C500" s="59" t="s">
        <v>86</v>
      </c>
      <c r="D500" s="62" t="str">
        <f t="shared" si="12"/>
        <v>BMWM</v>
      </c>
      <c r="E500" s="59" t="s">
        <v>698</v>
      </c>
      <c r="F500" s="60">
        <v>128700000</v>
      </c>
      <c r="G500" s="60">
        <v>2993</v>
      </c>
      <c r="H500" s="58" t="s">
        <v>241</v>
      </c>
      <c r="I500" s="58" t="s">
        <v>242</v>
      </c>
      <c r="J500" s="58" t="s">
        <v>1615</v>
      </c>
      <c r="K500" s="58" t="s">
        <v>86</v>
      </c>
      <c r="L500" s="58" t="s">
        <v>331</v>
      </c>
      <c r="M500" s="58"/>
      <c r="N500" s="58" t="s">
        <v>242</v>
      </c>
      <c r="O500" s="58"/>
      <c r="P500" s="63"/>
      <c r="Q500" s="63"/>
    </row>
    <row r="501" spans="2:17" ht="20.25" customHeight="1" x14ac:dyDescent="0.3">
      <c r="B501" s="59" t="s">
        <v>13</v>
      </c>
      <c r="C501" s="59" t="s">
        <v>86</v>
      </c>
      <c r="D501" s="62" t="str">
        <f t="shared" si="12"/>
        <v>BMWM</v>
      </c>
      <c r="E501" s="59" t="s">
        <v>699</v>
      </c>
      <c r="F501" s="60">
        <v>134100000</v>
      </c>
      <c r="G501" s="60">
        <v>2993</v>
      </c>
      <c r="H501" s="58" t="s">
        <v>241</v>
      </c>
      <c r="I501" s="58" t="s">
        <v>242</v>
      </c>
      <c r="J501" s="58" t="s">
        <v>1615</v>
      </c>
      <c r="K501" s="58" t="s">
        <v>86</v>
      </c>
      <c r="L501" s="58" t="s">
        <v>331</v>
      </c>
      <c r="M501" s="58"/>
      <c r="N501" s="58" t="s">
        <v>242</v>
      </c>
      <c r="O501" s="58"/>
      <c r="P501" s="63"/>
      <c r="Q501" s="63"/>
    </row>
    <row r="502" spans="2:17" ht="20.25" customHeight="1" x14ac:dyDescent="0.3">
      <c r="B502" s="59" t="s">
        <v>13</v>
      </c>
      <c r="C502" s="59" t="s">
        <v>86</v>
      </c>
      <c r="D502" s="62" t="str">
        <f t="shared" si="12"/>
        <v>BMWM</v>
      </c>
      <c r="E502" s="59" t="s">
        <v>700</v>
      </c>
      <c r="F502" s="60">
        <v>89100000</v>
      </c>
      <c r="G502" s="60">
        <v>2998</v>
      </c>
      <c r="H502" s="58" t="s">
        <v>241</v>
      </c>
      <c r="I502" s="58" t="s">
        <v>242</v>
      </c>
      <c r="J502" s="58" t="s">
        <v>1612</v>
      </c>
      <c r="K502" s="58" t="s">
        <v>86</v>
      </c>
      <c r="L502" s="58" t="s">
        <v>246</v>
      </c>
      <c r="M502" s="58"/>
      <c r="N502" s="58" t="s">
        <v>242</v>
      </c>
      <c r="O502" s="58"/>
      <c r="P502" s="63"/>
      <c r="Q502" s="63"/>
    </row>
    <row r="503" spans="2:17" ht="20.25" customHeight="1" x14ac:dyDescent="0.3">
      <c r="B503" s="59" t="s">
        <v>13</v>
      </c>
      <c r="C503" s="59" t="s">
        <v>86</v>
      </c>
      <c r="D503" s="62" t="str">
        <f t="shared" si="12"/>
        <v>BMWM</v>
      </c>
      <c r="E503" s="59" t="s">
        <v>701</v>
      </c>
      <c r="F503" s="60">
        <v>86200000</v>
      </c>
      <c r="G503" s="60">
        <v>2998</v>
      </c>
      <c r="H503" s="58" t="s">
        <v>241</v>
      </c>
      <c r="I503" s="58" t="s">
        <v>242</v>
      </c>
      <c r="J503" s="58" t="s">
        <v>1612</v>
      </c>
      <c r="K503" s="58" t="s">
        <v>86</v>
      </c>
      <c r="L503" s="58" t="s">
        <v>246</v>
      </c>
      <c r="M503" s="58"/>
      <c r="N503" s="58" t="s">
        <v>242</v>
      </c>
      <c r="O503" s="58"/>
      <c r="P503" s="63"/>
      <c r="Q503" s="63"/>
    </row>
    <row r="504" spans="2:17" ht="20.25" customHeight="1" x14ac:dyDescent="0.3">
      <c r="B504" s="59" t="s">
        <v>13</v>
      </c>
      <c r="C504" s="59" t="s">
        <v>86</v>
      </c>
      <c r="D504" s="62" t="str">
        <f t="shared" si="12"/>
        <v>BMWM</v>
      </c>
      <c r="E504" s="59" t="s">
        <v>702</v>
      </c>
      <c r="F504" s="60">
        <v>86200000</v>
      </c>
      <c r="G504" s="60">
        <v>2998</v>
      </c>
      <c r="H504" s="58" t="s">
        <v>241</v>
      </c>
      <c r="I504" s="58" t="s">
        <v>242</v>
      </c>
      <c r="J504" s="58" t="s">
        <v>1612</v>
      </c>
      <c r="K504" s="58" t="s">
        <v>86</v>
      </c>
      <c r="L504" s="58" t="s">
        <v>246</v>
      </c>
      <c r="M504" s="58"/>
      <c r="N504" s="58" t="s">
        <v>242</v>
      </c>
      <c r="O504" s="58"/>
      <c r="P504" s="63"/>
      <c r="Q504" s="63"/>
    </row>
    <row r="505" spans="2:17" ht="20.25" customHeight="1" x14ac:dyDescent="0.3">
      <c r="B505" s="59" t="s">
        <v>13</v>
      </c>
      <c r="C505" s="59" t="s">
        <v>86</v>
      </c>
      <c r="D505" s="62" t="str">
        <f t="shared" si="12"/>
        <v>BMWM</v>
      </c>
      <c r="E505" s="59" t="s">
        <v>703</v>
      </c>
      <c r="F505" s="60">
        <v>91800000</v>
      </c>
      <c r="G505" s="60">
        <v>2998</v>
      </c>
      <c r="H505" s="58" t="s">
        <v>241</v>
      </c>
      <c r="I505" s="58" t="s">
        <v>242</v>
      </c>
      <c r="J505" s="58" t="s">
        <v>1612</v>
      </c>
      <c r="K505" s="58" t="s">
        <v>86</v>
      </c>
      <c r="L505" s="58" t="s">
        <v>246</v>
      </c>
      <c r="M505" s="58"/>
      <c r="N505" s="58" t="s">
        <v>242</v>
      </c>
      <c r="O505" s="58"/>
      <c r="P505" s="63"/>
      <c r="Q505" s="63"/>
    </row>
    <row r="506" spans="2:17" ht="20.25" customHeight="1" x14ac:dyDescent="0.3">
      <c r="B506" s="59" t="s">
        <v>13</v>
      </c>
      <c r="C506" s="59" t="s">
        <v>86</v>
      </c>
      <c r="D506" s="62" t="str">
        <f t="shared" si="12"/>
        <v>BMWM</v>
      </c>
      <c r="E506" s="59" t="s">
        <v>704</v>
      </c>
      <c r="F506" s="60">
        <v>120400000</v>
      </c>
      <c r="G506" s="60">
        <v>4395</v>
      </c>
      <c r="H506" s="58" t="s">
        <v>241</v>
      </c>
      <c r="I506" s="58" t="s">
        <v>242</v>
      </c>
      <c r="J506" s="58" t="s">
        <v>1613</v>
      </c>
      <c r="K506" s="58" t="s">
        <v>504</v>
      </c>
      <c r="L506" s="58" t="s">
        <v>246</v>
      </c>
      <c r="M506" s="58"/>
      <c r="N506" s="58" t="s">
        <v>242</v>
      </c>
      <c r="O506" s="58"/>
      <c r="P506" s="63"/>
      <c r="Q506" s="63"/>
    </row>
    <row r="507" spans="2:17" ht="20.25" customHeight="1" x14ac:dyDescent="0.3">
      <c r="B507" s="59" t="s">
        <v>13</v>
      </c>
      <c r="C507" s="59" t="s">
        <v>86</v>
      </c>
      <c r="D507" s="62" t="str">
        <f t="shared" si="12"/>
        <v>BMWM</v>
      </c>
      <c r="E507" s="59" t="s">
        <v>705</v>
      </c>
      <c r="F507" s="60">
        <v>161700000</v>
      </c>
      <c r="G507" s="60">
        <v>4395</v>
      </c>
      <c r="H507" s="58" t="s">
        <v>241</v>
      </c>
      <c r="I507" s="58" t="s">
        <v>242</v>
      </c>
      <c r="J507" s="58" t="s">
        <v>1589</v>
      </c>
      <c r="K507" s="58" t="s">
        <v>504</v>
      </c>
      <c r="L507" s="58" t="s">
        <v>248</v>
      </c>
      <c r="M507" s="58"/>
      <c r="N507" s="58" t="s">
        <v>242</v>
      </c>
      <c r="O507" s="58"/>
      <c r="P507" s="63"/>
      <c r="Q507" s="63"/>
    </row>
    <row r="508" spans="2:17" ht="20.25" customHeight="1" x14ac:dyDescent="0.3">
      <c r="B508" s="59" t="s">
        <v>13</v>
      </c>
      <c r="C508" s="59" t="s">
        <v>86</v>
      </c>
      <c r="D508" s="62" t="str">
        <f t="shared" si="12"/>
        <v>BMWM</v>
      </c>
      <c r="E508" s="59" t="s">
        <v>706</v>
      </c>
      <c r="F508" s="60">
        <v>233400000</v>
      </c>
      <c r="G508" s="60">
        <v>6592</v>
      </c>
      <c r="H508" s="58" t="s">
        <v>241</v>
      </c>
      <c r="I508" s="58" t="s">
        <v>242</v>
      </c>
      <c r="J508" s="58" t="s">
        <v>1614</v>
      </c>
      <c r="K508" s="58" t="s">
        <v>504</v>
      </c>
      <c r="L508" s="58" t="s">
        <v>248</v>
      </c>
      <c r="M508" s="58"/>
      <c r="N508" s="58" t="s">
        <v>242</v>
      </c>
      <c r="O508" s="58"/>
      <c r="P508" s="63"/>
      <c r="Q508" s="63"/>
    </row>
    <row r="509" spans="2:17" ht="20.25" customHeight="1" x14ac:dyDescent="0.3">
      <c r="B509" s="59" t="s">
        <v>13</v>
      </c>
      <c r="C509" s="59" t="s">
        <v>86</v>
      </c>
      <c r="D509" s="62" t="str">
        <f t="shared" si="12"/>
        <v>BMWM</v>
      </c>
      <c r="E509" s="59" t="s">
        <v>707</v>
      </c>
      <c r="F509" s="60">
        <v>240800000</v>
      </c>
      <c r="G509" s="60">
        <v>4395</v>
      </c>
      <c r="H509" s="58" t="s">
        <v>241</v>
      </c>
      <c r="I509" s="58" t="s">
        <v>242</v>
      </c>
      <c r="J509" s="58" t="s">
        <v>1589</v>
      </c>
      <c r="K509" s="58" t="s">
        <v>504</v>
      </c>
      <c r="L509" s="58" t="s">
        <v>248</v>
      </c>
      <c r="M509" s="58"/>
      <c r="N509" s="58" t="s">
        <v>242</v>
      </c>
      <c r="O509" s="58"/>
      <c r="P509" s="63"/>
      <c r="Q509" s="63"/>
    </row>
    <row r="510" spans="2:17" ht="20.25" customHeight="1" x14ac:dyDescent="0.3">
      <c r="B510" s="59" t="s">
        <v>13</v>
      </c>
      <c r="C510" s="59" t="s">
        <v>86</v>
      </c>
      <c r="D510" s="62" t="str">
        <f t="shared" si="12"/>
        <v>BMWM</v>
      </c>
      <c r="E510" s="59" t="s">
        <v>708</v>
      </c>
      <c r="F510" s="60">
        <v>240400000</v>
      </c>
      <c r="G510" s="60">
        <v>4395</v>
      </c>
      <c r="H510" s="58" t="s">
        <v>241</v>
      </c>
      <c r="I510" s="58" t="s">
        <v>242</v>
      </c>
      <c r="J510" s="58" t="s">
        <v>1589</v>
      </c>
      <c r="K510" s="58" t="s">
        <v>504</v>
      </c>
      <c r="L510" s="58" t="s">
        <v>248</v>
      </c>
      <c r="M510" s="58"/>
      <c r="N510" s="58" t="s">
        <v>242</v>
      </c>
      <c r="O510" s="58"/>
      <c r="P510" s="63"/>
      <c r="Q510" s="63"/>
    </row>
    <row r="511" spans="2:17" ht="20.25" customHeight="1" x14ac:dyDescent="0.3">
      <c r="B511" s="59" t="s">
        <v>13</v>
      </c>
      <c r="C511" s="59" t="s">
        <v>86</v>
      </c>
      <c r="D511" s="62" t="str">
        <f t="shared" si="12"/>
        <v>BMWM</v>
      </c>
      <c r="E511" s="59" t="s">
        <v>709</v>
      </c>
      <c r="F511" s="60">
        <v>71500000</v>
      </c>
      <c r="G511" s="60">
        <v>1998</v>
      </c>
      <c r="H511" s="58" t="s">
        <v>241</v>
      </c>
      <c r="I511" s="58" t="s">
        <v>295</v>
      </c>
      <c r="J511" s="58" t="s">
        <v>1675</v>
      </c>
      <c r="K511" s="58" t="s">
        <v>86</v>
      </c>
      <c r="L511" s="58" t="s">
        <v>279</v>
      </c>
      <c r="M511" s="58"/>
      <c r="N511" s="58" t="s">
        <v>295</v>
      </c>
      <c r="O511" s="58"/>
      <c r="P511" s="63"/>
      <c r="Q511" s="63"/>
    </row>
    <row r="512" spans="2:17" ht="20.25" customHeight="1" x14ac:dyDescent="0.3">
      <c r="B512" s="59" t="s">
        <v>13</v>
      </c>
      <c r="C512" s="59" t="s">
        <v>86</v>
      </c>
      <c r="D512" s="62" t="str">
        <f t="shared" si="12"/>
        <v>BMWM</v>
      </c>
      <c r="E512" s="59" t="s">
        <v>710</v>
      </c>
      <c r="F512" s="60">
        <v>68700000</v>
      </c>
      <c r="G512" s="60">
        <v>1998</v>
      </c>
      <c r="H512" s="58" t="s">
        <v>241</v>
      </c>
      <c r="I512" s="58" t="s">
        <v>295</v>
      </c>
      <c r="J512" s="58" t="s">
        <v>1675</v>
      </c>
      <c r="K512" s="58" t="s">
        <v>86</v>
      </c>
      <c r="L512" s="58" t="s">
        <v>279</v>
      </c>
      <c r="M512" s="58"/>
      <c r="N512" s="58" t="s">
        <v>295</v>
      </c>
      <c r="O512" s="58"/>
      <c r="P512" s="63"/>
      <c r="Q512" s="63"/>
    </row>
    <row r="513" spans="2:17" ht="20.25" customHeight="1" x14ac:dyDescent="0.3">
      <c r="B513" s="59" t="s">
        <v>13</v>
      </c>
      <c r="C513" s="59" t="s">
        <v>86</v>
      </c>
      <c r="D513" s="62" t="str">
        <f t="shared" si="12"/>
        <v>BMWM</v>
      </c>
      <c r="E513" s="59" t="s">
        <v>711</v>
      </c>
      <c r="F513" s="60">
        <v>123700000</v>
      </c>
      <c r="G513" s="60">
        <v>2993</v>
      </c>
      <c r="H513" s="58" t="s">
        <v>250</v>
      </c>
      <c r="I513" s="58" t="s">
        <v>295</v>
      </c>
      <c r="J513" s="58" t="s">
        <v>1675</v>
      </c>
      <c r="K513" s="58" t="s">
        <v>86</v>
      </c>
      <c r="L513" s="58" t="s">
        <v>243</v>
      </c>
      <c r="M513" s="58"/>
      <c r="N513" s="58" t="s">
        <v>295</v>
      </c>
      <c r="O513" s="58"/>
      <c r="P513" s="63"/>
      <c r="Q513" s="63"/>
    </row>
    <row r="514" spans="2:17" ht="20.25" customHeight="1" x14ac:dyDescent="0.3">
      <c r="B514" s="59" t="s">
        <v>13</v>
      </c>
      <c r="C514" s="59" t="s">
        <v>86</v>
      </c>
      <c r="D514" s="62" t="str">
        <f t="shared" si="12"/>
        <v>BMWM</v>
      </c>
      <c r="E514" s="59" t="s">
        <v>712</v>
      </c>
      <c r="F514" s="60">
        <v>96700000</v>
      </c>
      <c r="G514" s="60">
        <v>2998</v>
      </c>
      <c r="H514" s="58" t="s">
        <v>241</v>
      </c>
      <c r="I514" s="58" t="s">
        <v>295</v>
      </c>
      <c r="J514" s="58" t="s">
        <v>1675</v>
      </c>
      <c r="K514" s="58" t="s">
        <v>86</v>
      </c>
      <c r="L514" s="58" t="s">
        <v>279</v>
      </c>
      <c r="M514" s="58"/>
      <c r="N514" s="58" t="s">
        <v>295</v>
      </c>
      <c r="O514" s="58"/>
      <c r="P514" s="63"/>
      <c r="Q514" s="63"/>
    </row>
    <row r="515" spans="2:17" ht="20.25" customHeight="1" x14ac:dyDescent="0.3">
      <c r="B515" s="59" t="s">
        <v>13</v>
      </c>
      <c r="C515" s="59" t="s">
        <v>86</v>
      </c>
      <c r="D515" s="62" t="str">
        <f t="shared" si="12"/>
        <v>BMWM</v>
      </c>
      <c r="E515" s="59" t="s">
        <v>1510</v>
      </c>
      <c r="F515" s="60">
        <v>99900000</v>
      </c>
      <c r="G515" s="60">
        <v>2998</v>
      </c>
      <c r="H515" s="58" t="s">
        <v>241</v>
      </c>
      <c r="I515" s="58" t="s">
        <v>295</v>
      </c>
      <c r="J515" s="58" t="s">
        <v>1675</v>
      </c>
      <c r="K515" s="58" t="s">
        <v>86</v>
      </c>
      <c r="L515" s="58" t="s">
        <v>279</v>
      </c>
      <c r="M515" s="58"/>
      <c r="N515" s="58" t="s">
        <v>295</v>
      </c>
      <c r="O515" s="58"/>
      <c r="P515" s="63"/>
      <c r="Q515" s="63"/>
    </row>
    <row r="516" spans="2:17" ht="20.25" customHeight="1" x14ac:dyDescent="0.3">
      <c r="B516" s="59" t="s">
        <v>13</v>
      </c>
      <c r="C516" s="59" t="s">
        <v>86</v>
      </c>
      <c r="D516" s="62" t="str">
        <f t="shared" si="12"/>
        <v>BMWM</v>
      </c>
      <c r="E516" s="59" t="s">
        <v>1511</v>
      </c>
      <c r="F516" s="60">
        <v>99900000</v>
      </c>
      <c r="G516" s="60">
        <v>2998</v>
      </c>
      <c r="H516" s="58" t="s">
        <v>241</v>
      </c>
      <c r="I516" s="58" t="s">
        <v>295</v>
      </c>
      <c r="J516" s="58" t="s">
        <v>1675</v>
      </c>
      <c r="K516" s="58" t="s">
        <v>86</v>
      </c>
      <c r="L516" s="58" t="s">
        <v>279</v>
      </c>
      <c r="M516" s="58"/>
      <c r="N516" s="58" t="s">
        <v>295</v>
      </c>
      <c r="O516" s="58"/>
      <c r="P516" s="63"/>
      <c r="Q516" s="63"/>
    </row>
    <row r="517" spans="2:17" ht="20.25" customHeight="1" x14ac:dyDescent="0.3">
      <c r="B517" s="59" t="s">
        <v>13</v>
      </c>
      <c r="C517" s="59" t="s">
        <v>86</v>
      </c>
      <c r="D517" s="62" t="str">
        <f t="shared" si="12"/>
        <v>BMWM</v>
      </c>
      <c r="E517" s="59" t="s">
        <v>713</v>
      </c>
      <c r="F517" s="60">
        <v>128000000</v>
      </c>
      <c r="G517" s="60">
        <v>2993</v>
      </c>
      <c r="H517" s="58" t="s">
        <v>250</v>
      </c>
      <c r="I517" s="58" t="s">
        <v>295</v>
      </c>
      <c r="J517" s="58" t="s">
        <v>1675</v>
      </c>
      <c r="K517" s="58" t="s">
        <v>86</v>
      </c>
      <c r="L517" s="58" t="s">
        <v>243</v>
      </c>
      <c r="M517" s="58"/>
      <c r="N517" s="58" t="s">
        <v>295</v>
      </c>
      <c r="O517" s="58"/>
      <c r="P517" s="63"/>
      <c r="Q517" s="63"/>
    </row>
    <row r="518" spans="2:17" ht="20.25" customHeight="1" x14ac:dyDescent="0.3">
      <c r="B518" s="59" t="s">
        <v>13</v>
      </c>
      <c r="C518" s="59" t="s">
        <v>86</v>
      </c>
      <c r="D518" s="62" t="str">
        <f t="shared" si="12"/>
        <v>BMWM</v>
      </c>
      <c r="E518" s="59" t="s">
        <v>714</v>
      </c>
      <c r="F518" s="60">
        <v>97900000</v>
      </c>
      <c r="G518" s="60">
        <v>2998</v>
      </c>
      <c r="H518" s="58" t="s">
        <v>241</v>
      </c>
      <c r="I518" s="58" t="s">
        <v>295</v>
      </c>
      <c r="J518" s="58" t="s">
        <v>1675</v>
      </c>
      <c r="K518" s="58" t="s">
        <v>86</v>
      </c>
      <c r="L518" s="58" t="s">
        <v>279</v>
      </c>
      <c r="M518" s="58"/>
      <c r="N518" s="58" t="s">
        <v>295</v>
      </c>
      <c r="O518" s="58"/>
      <c r="P518" s="63"/>
      <c r="Q518" s="63"/>
    </row>
    <row r="519" spans="2:17" ht="20.25" customHeight="1" x14ac:dyDescent="0.3">
      <c r="B519" s="59" t="s">
        <v>13</v>
      </c>
      <c r="C519" s="59" t="s">
        <v>86</v>
      </c>
      <c r="D519" s="62" t="str">
        <f t="shared" si="12"/>
        <v>BMWM</v>
      </c>
      <c r="E519" s="59" t="s">
        <v>715</v>
      </c>
      <c r="F519" s="60">
        <v>91400000</v>
      </c>
      <c r="G519" s="60">
        <v>2993</v>
      </c>
      <c r="H519" s="58" t="s">
        <v>250</v>
      </c>
      <c r="I519" s="58" t="s">
        <v>295</v>
      </c>
      <c r="J519" s="58" t="s">
        <v>1675</v>
      </c>
      <c r="K519" s="58" t="s">
        <v>86</v>
      </c>
      <c r="L519" s="58" t="s">
        <v>243</v>
      </c>
      <c r="M519" s="58"/>
      <c r="N519" s="58" t="s">
        <v>295</v>
      </c>
      <c r="O519" s="58"/>
      <c r="P519" s="63"/>
      <c r="Q519" s="63"/>
    </row>
    <row r="520" spans="2:17" ht="20.25" customHeight="1" x14ac:dyDescent="0.3">
      <c r="B520" s="59" t="s">
        <v>13</v>
      </c>
      <c r="C520" s="59" t="s">
        <v>86</v>
      </c>
      <c r="D520" s="62" t="str">
        <f t="shared" si="12"/>
        <v>BMWM</v>
      </c>
      <c r="E520" s="59" t="s">
        <v>716</v>
      </c>
      <c r="F520" s="60">
        <v>178400000</v>
      </c>
      <c r="G520" s="60">
        <v>4395</v>
      </c>
      <c r="H520" s="58" t="s">
        <v>241</v>
      </c>
      <c r="I520" s="58" t="s">
        <v>295</v>
      </c>
      <c r="J520" s="58" t="s">
        <v>1675</v>
      </c>
      <c r="K520" s="58" t="s">
        <v>504</v>
      </c>
      <c r="L520" s="58" t="s">
        <v>246</v>
      </c>
      <c r="M520" s="58"/>
      <c r="N520" s="58" t="s">
        <v>295</v>
      </c>
      <c r="O520" s="58"/>
      <c r="P520" s="63"/>
      <c r="Q520" s="63"/>
    </row>
    <row r="521" spans="2:17" ht="20.25" customHeight="1" x14ac:dyDescent="0.3">
      <c r="B521" s="59" t="s">
        <v>13</v>
      </c>
      <c r="C521" s="59" t="s">
        <v>86</v>
      </c>
      <c r="D521" s="62" t="str">
        <f t="shared" si="12"/>
        <v>BMWM</v>
      </c>
      <c r="E521" s="59" t="s">
        <v>717</v>
      </c>
      <c r="F521" s="60">
        <v>150000000</v>
      </c>
      <c r="G521" s="60">
        <v>4395</v>
      </c>
      <c r="H521" s="58" t="s">
        <v>241</v>
      </c>
      <c r="I521" s="58" t="s">
        <v>295</v>
      </c>
      <c r="J521" s="58" t="s">
        <v>1675</v>
      </c>
      <c r="K521" s="58" t="s">
        <v>504</v>
      </c>
      <c r="L521" s="58" t="s">
        <v>243</v>
      </c>
      <c r="M521" s="58"/>
      <c r="N521" s="58" t="s">
        <v>295</v>
      </c>
      <c r="O521" s="58"/>
      <c r="P521" s="63"/>
      <c r="Q521" s="63"/>
    </row>
    <row r="522" spans="2:17" ht="20.25" customHeight="1" x14ac:dyDescent="0.3">
      <c r="B522" s="59" t="s">
        <v>13</v>
      </c>
      <c r="C522" s="59" t="s">
        <v>86</v>
      </c>
      <c r="D522" s="62" t="str">
        <f t="shared" si="12"/>
        <v>BMWM</v>
      </c>
      <c r="E522" s="59" t="s">
        <v>718</v>
      </c>
      <c r="F522" s="60">
        <v>144800000</v>
      </c>
      <c r="G522" s="60">
        <v>2993</v>
      </c>
      <c r="H522" s="58" t="s">
        <v>250</v>
      </c>
      <c r="I522" s="58" t="s">
        <v>295</v>
      </c>
      <c r="J522" s="58" t="s">
        <v>1675</v>
      </c>
      <c r="K522" s="58" t="s">
        <v>504</v>
      </c>
      <c r="L522" s="58" t="s">
        <v>246</v>
      </c>
      <c r="M522" s="58"/>
      <c r="N522" s="58" t="s">
        <v>295</v>
      </c>
      <c r="O522" s="58"/>
      <c r="P522" s="63"/>
      <c r="Q522" s="63"/>
    </row>
    <row r="523" spans="2:17" ht="20.25" customHeight="1" x14ac:dyDescent="0.3">
      <c r="B523" s="59" t="s">
        <v>13</v>
      </c>
      <c r="C523" s="59" t="s">
        <v>86</v>
      </c>
      <c r="D523" s="62" t="str">
        <f t="shared" si="12"/>
        <v>BMWM</v>
      </c>
      <c r="E523" s="59" t="s">
        <v>719</v>
      </c>
      <c r="F523" s="60">
        <v>158000000</v>
      </c>
      <c r="G523" s="60">
        <v>4395</v>
      </c>
      <c r="H523" s="58" t="s">
        <v>241</v>
      </c>
      <c r="I523" s="58" t="s">
        <v>295</v>
      </c>
      <c r="J523" s="58" t="s">
        <v>1675</v>
      </c>
      <c r="K523" s="58" t="s">
        <v>504</v>
      </c>
      <c r="L523" s="58" t="s">
        <v>243</v>
      </c>
      <c r="M523" s="58"/>
      <c r="N523" s="58" t="s">
        <v>295</v>
      </c>
      <c r="O523" s="58"/>
      <c r="P523" s="63"/>
      <c r="Q523" s="63"/>
    </row>
    <row r="524" spans="2:17" ht="20.25" customHeight="1" x14ac:dyDescent="0.3">
      <c r="B524" s="59" t="s">
        <v>13</v>
      </c>
      <c r="C524" s="59" t="s">
        <v>86</v>
      </c>
      <c r="D524" s="62" t="str">
        <f t="shared" si="12"/>
        <v>BMWM</v>
      </c>
      <c r="E524" s="59" t="s">
        <v>720</v>
      </c>
      <c r="F524" s="60">
        <v>181500000</v>
      </c>
      <c r="G524" s="60">
        <v>4395</v>
      </c>
      <c r="H524" s="58" t="s">
        <v>241</v>
      </c>
      <c r="I524" s="58" t="s">
        <v>295</v>
      </c>
      <c r="J524" s="58" t="s">
        <v>1675</v>
      </c>
      <c r="K524" s="58" t="s">
        <v>504</v>
      </c>
      <c r="L524" s="58" t="s">
        <v>246</v>
      </c>
      <c r="M524" s="58"/>
      <c r="N524" s="58" t="s">
        <v>295</v>
      </c>
      <c r="O524" s="58"/>
      <c r="P524" s="63"/>
      <c r="Q524" s="63"/>
    </row>
    <row r="525" spans="2:17" ht="20.25" customHeight="1" x14ac:dyDescent="0.3">
      <c r="B525" s="59" t="s">
        <v>13</v>
      </c>
      <c r="C525" s="59" t="s">
        <v>86</v>
      </c>
      <c r="D525" s="62" t="str">
        <f t="shared" si="12"/>
        <v>BMWM</v>
      </c>
      <c r="E525" s="59" t="s">
        <v>721</v>
      </c>
      <c r="F525" s="60">
        <v>152000000</v>
      </c>
      <c r="G525" s="60">
        <v>4395</v>
      </c>
      <c r="H525" s="58" t="s">
        <v>241</v>
      </c>
      <c r="I525" s="58" t="s">
        <v>295</v>
      </c>
      <c r="J525" s="58" t="s">
        <v>1675</v>
      </c>
      <c r="K525" s="58" t="s">
        <v>504</v>
      </c>
      <c r="L525" s="58" t="s">
        <v>243</v>
      </c>
      <c r="M525" s="58"/>
      <c r="N525" s="58" t="s">
        <v>295</v>
      </c>
      <c r="O525" s="58"/>
      <c r="P525" s="63"/>
      <c r="Q525" s="63"/>
    </row>
    <row r="526" spans="2:17" ht="20.25" customHeight="1" x14ac:dyDescent="0.3">
      <c r="B526" s="59" t="s">
        <v>13</v>
      </c>
      <c r="C526" s="59" t="s">
        <v>86</v>
      </c>
      <c r="D526" s="62" t="str">
        <f t="shared" si="12"/>
        <v>BMWM</v>
      </c>
      <c r="E526" s="59" t="s">
        <v>722</v>
      </c>
      <c r="F526" s="60">
        <v>152100000</v>
      </c>
      <c r="G526" s="60">
        <v>2993</v>
      </c>
      <c r="H526" s="58" t="s">
        <v>250</v>
      </c>
      <c r="I526" s="58" t="s">
        <v>295</v>
      </c>
      <c r="J526" s="58" t="s">
        <v>1675</v>
      </c>
      <c r="K526" s="58" t="s">
        <v>504</v>
      </c>
      <c r="L526" s="58" t="s">
        <v>246</v>
      </c>
      <c r="M526" s="58"/>
      <c r="N526" s="58" t="s">
        <v>295</v>
      </c>
      <c r="O526" s="58"/>
      <c r="P526" s="63"/>
      <c r="Q526" s="63"/>
    </row>
    <row r="527" spans="2:17" ht="20.25" customHeight="1" x14ac:dyDescent="0.3">
      <c r="B527" s="59" t="s">
        <v>13</v>
      </c>
      <c r="C527" s="59" t="s">
        <v>86</v>
      </c>
      <c r="D527" s="62" t="str">
        <f t="shared" si="12"/>
        <v>BMWM</v>
      </c>
      <c r="E527" s="59" t="s">
        <v>723</v>
      </c>
      <c r="F527" s="60">
        <v>159100000</v>
      </c>
      <c r="G527" s="60">
        <v>4395</v>
      </c>
      <c r="H527" s="58" t="s">
        <v>241</v>
      </c>
      <c r="I527" s="58" t="s">
        <v>295</v>
      </c>
      <c r="J527" s="58" t="s">
        <v>1675</v>
      </c>
      <c r="K527" s="58" t="s">
        <v>504</v>
      </c>
      <c r="L527" s="58" t="s">
        <v>243</v>
      </c>
      <c r="M527" s="58"/>
      <c r="N527" s="58" t="s">
        <v>295</v>
      </c>
      <c r="O527" s="58"/>
      <c r="P527" s="63"/>
      <c r="Q527" s="63"/>
    </row>
    <row r="528" spans="2:17" ht="20.25" customHeight="1" x14ac:dyDescent="0.3">
      <c r="B528" s="59" t="s">
        <v>13</v>
      </c>
      <c r="C528" s="59" t="s">
        <v>86</v>
      </c>
      <c r="D528" s="62" t="str">
        <f t="shared" si="12"/>
        <v>BMWM</v>
      </c>
      <c r="E528" s="59" t="s">
        <v>724</v>
      </c>
      <c r="F528" s="60">
        <v>166200000</v>
      </c>
      <c r="G528" s="60">
        <v>4395</v>
      </c>
      <c r="H528" s="58" t="s">
        <v>241</v>
      </c>
      <c r="I528" s="58" t="s">
        <v>295</v>
      </c>
      <c r="J528" s="58" t="s">
        <v>1675</v>
      </c>
      <c r="K528" s="58" t="s">
        <v>504</v>
      </c>
      <c r="L528" s="58" t="s">
        <v>243</v>
      </c>
      <c r="M528" s="58"/>
      <c r="N528" s="58" t="s">
        <v>295</v>
      </c>
      <c r="O528" s="58"/>
      <c r="P528" s="63"/>
      <c r="Q528" s="63"/>
    </row>
    <row r="529" spans="2:17" ht="20.25" customHeight="1" x14ac:dyDescent="0.3">
      <c r="B529" s="59" t="s">
        <v>13</v>
      </c>
      <c r="C529" s="59" t="s">
        <v>86</v>
      </c>
      <c r="D529" s="62" t="str">
        <f t="shared" si="12"/>
        <v>BMWM</v>
      </c>
      <c r="E529" s="59" t="s">
        <v>725</v>
      </c>
      <c r="F529" s="60">
        <v>162700000</v>
      </c>
      <c r="G529" s="60">
        <v>2993</v>
      </c>
      <c r="H529" s="58" t="s">
        <v>250</v>
      </c>
      <c r="I529" s="58" t="s">
        <v>295</v>
      </c>
      <c r="J529" s="58" t="s">
        <v>1675</v>
      </c>
      <c r="K529" s="58" t="s">
        <v>504</v>
      </c>
      <c r="L529" s="58" t="s">
        <v>246</v>
      </c>
      <c r="M529" s="58"/>
      <c r="N529" s="58" t="s">
        <v>295</v>
      </c>
      <c r="O529" s="58"/>
      <c r="P529" s="63"/>
      <c r="Q529" s="63"/>
    </row>
    <row r="530" spans="2:17" ht="20.25" customHeight="1" x14ac:dyDescent="0.3">
      <c r="B530" s="59" t="s">
        <v>13</v>
      </c>
      <c r="C530" s="59" t="s">
        <v>86</v>
      </c>
      <c r="D530" s="62" t="str">
        <f t="shared" si="12"/>
        <v>BMWM</v>
      </c>
      <c r="E530" s="59" t="s">
        <v>726</v>
      </c>
      <c r="F530" s="60">
        <v>179600000</v>
      </c>
      <c r="G530" s="60">
        <v>4395</v>
      </c>
      <c r="H530" s="58" t="s">
        <v>241</v>
      </c>
      <c r="I530" s="58" t="s">
        <v>295</v>
      </c>
      <c r="J530" s="58" t="s">
        <v>1675</v>
      </c>
      <c r="K530" s="58" t="s">
        <v>504</v>
      </c>
      <c r="L530" s="58" t="s">
        <v>243</v>
      </c>
      <c r="M530" s="58"/>
      <c r="N530" s="58" t="s">
        <v>295</v>
      </c>
      <c r="O530" s="58"/>
      <c r="P530" s="63"/>
      <c r="Q530" s="63"/>
    </row>
    <row r="531" spans="2:17" ht="20.25" customHeight="1" x14ac:dyDescent="0.3">
      <c r="B531" s="59" t="s">
        <v>13</v>
      </c>
      <c r="C531" s="59" t="s">
        <v>86</v>
      </c>
      <c r="D531" s="62" t="str">
        <f t="shared" si="12"/>
        <v>BMWM</v>
      </c>
      <c r="E531" s="59" t="s">
        <v>727</v>
      </c>
      <c r="F531" s="60">
        <v>221900000</v>
      </c>
      <c r="G531" s="60">
        <v>4395</v>
      </c>
      <c r="H531" s="58" t="s">
        <v>241</v>
      </c>
      <c r="I531" s="58" t="s">
        <v>295</v>
      </c>
      <c r="J531" s="58" t="s">
        <v>1676</v>
      </c>
      <c r="K531" s="58" t="s">
        <v>243</v>
      </c>
      <c r="L531" s="58" t="s">
        <v>728</v>
      </c>
      <c r="M531" s="58"/>
      <c r="N531" s="58" t="s">
        <v>295</v>
      </c>
      <c r="O531" s="58"/>
      <c r="P531" s="63"/>
      <c r="Q531" s="63"/>
    </row>
    <row r="532" spans="2:17" ht="20.25" customHeight="1" x14ac:dyDescent="0.3">
      <c r="B532" s="59" t="s">
        <v>13</v>
      </c>
      <c r="C532" s="59" t="s">
        <v>86</v>
      </c>
      <c r="D532" s="62" t="str">
        <f t="shared" si="12"/>
        <v>BMWM</v>
      </c>
      <c r="E532" s="59" t="s">
        <v>729</v>
      </c>
      <c r="F532" s="60">
        <v>96400000</v>
      </c>
      <c r="G532" s="60">
        <v>2998</v>
      </c>
      <c r="H532" s="58" t="s">
        <v>241</v>
      </c>
      <c r="I532" s="58" t="s">
        <v>242</v>
      </c>
      <c r="J532" s="58" t="s">
        <v>1677</v>
      </c>
      <c r="K532" s="58" t="s">
        <v>284</v>
      </c>
      <c r="L532" s="58" t="s">
        <v>246</v>
      </c>
      <c r="M532" s="58"/>
      <c r="N532" s="58" t="s">
        <v>242</v>
      </c>
      <c r="O532" s="58"/>
      <c r="P532" s="63"/>
      <c r="Q532" s="63"/>
    </row>
    <row r="533" spans="2:17" ht="20.25" customHeight="1" x14ac:dyDescent="0.3">
      <c r="B533" s="59"/>
      <c r="C533" s="59"/>
      <c r="D533" s="62"/>
      <c r="E533" s="59"/>
      <c r="F533" s="60"/>
      <c r="G533" s="60"/>
      <c r="H533" s="58"/>
      <c r="I533" s="58"/>
      <c r="J533" s="58"/>
      <c r="K533" s="58"/>
      <c r="L533" s="58"/>
      <c r="M533" s="58"/>
      <c r="N533" s="58"/>
      <c r="O533" s="58"/>
      <c r="P533" s="63"/>
      <c r="Q533" s="63"/>
    </row>
    <row r="534" spans="2:17" ht="20.25" customHeight="1" x14ac:dyDescent="0.3">
      <c r="B534" s="59"/>
      <c r="C534" s="59"/>
      <c r="D534" s="62"/>
      <c r="E534" s="59"/>
      <c r="F534" s="60"/>
      <c r="G534" s="60"/>
      <c r="H534" s="58"/>
      <c r="I534" s="58"/>
      <c r="J534" s="58"/>
      <c r="K534" s="58"/>
      <c r="L534" s="58"/>
      <c r="M534" s="58"/>
      <c r="N534" s="58"/>
      <c r="O534" s="58"/>
      <c r="P534" s="63"/>
      <c r="Q534" s="63"/>
    </row>
    <row r="535" spans="2:17" ht="20.25" customHeight="1" x14ac:dyDescent="0.3">
      <c r="B535" s="59"/>
      <c r="C535" s="59"/>
      <c r="D535" s="62"/>
      <c r="E535" s="59"/>
      <c r="F535" s="60"/>
      <c r="G535" s="60"/>
      <c r="H535" s="58"/>
      <c r="I535" s="58"/>
      <c r="J535" s="58"/>
      <c r="K535" s="58"/>
      <c r="L535" s="58"/>
      <c r="M535" s="58"/>
      <c r="N535" s="58"/>
      <c r="O535" s="58"/>
      <c r="P535" s="63"/>
      <c r="Q535" s="63"/>
    </row>
    <row r="536" spans="2:17" ht="20.25" customHeight="1" x14ac:dyDescent="0.3">
      <c r="B536" s="59"/>
      <c r="C536" s="59"/>
      <c r="D536" s="62"/>
      <c r="E536" s="59"/>
      <c r="F536" s="60"/>
      <c r="G536" s="60"/>
      <c r="H536" s="58"/>
      <c r="I536" s="58"/>
      <c r="J536" s="58"/>
      <c r="K536" s="58"/>
      <c r="L536" s="58"/>
      <c r="M536" s="58"/>
      <c r="N536" s="58"/>
      <c r="O536" s="58"/>
      <c r="P536" s="63"/>
      <c r="Q536" s="63"/>
    </row>
    <row r="537" spans="2:17" ht="20.25" customHeight="1" x14ac:dyDescent="0.3">
      <c r="B537" s="59"/>
      <c r="C537" s="59"/>
      <c r="D537" s="62"/>
      <c r="E537" s="59"/>
      <c r="F537" s="60"/>
      <c r="G537" s="60"/>
      <c r="H537" s="58"/>
      <c r="I537" s="58"/>
      <c r="J537" s="58"/>
      <c r="K537" s="58"/>
      <c r="L537" s="58"/>
      <c r="M537" s="58"/>
      <c r="N537" s="58"/>
      <c r="O537" s="58"/>
      <c r="P537" s="63"/>
      <c r="Q537" s="63"/>
    </row>
    <row r="538" spans="2:17" ht="20.25" customHeight="1" x14ac:dyDescent="0.3">
      <c r="B538" s="59"/>
      <c r="C538" s="59"/>
      <c r="D538" s="62"/>
      <c r="E538" s="59"/>
      <c r="F538" s="60"/>
      <c r="G538" s="60"/>
      <c r="H538" s="58"/>
      <c r="I538" s="58"/>
      <c r="J538" s="58"/>
      <c r="K538" s="58"/>
      <c r="L538" s="58"/>
      <c r="M538" s="58"/>
      <c r="N538" s="58"/>
      <c r="O538" s="58"/>
      <c r="P538" s="63"/>
      <c r="Q538" s="63"/>
    </row>
    <row r="539" spans="2:17" ht="20.25" customHeight="1" x14ac:dyDescent="0.3">
      <c r="B539" s="59"/>
      <c r="C539" s="59"/>
      <c r="D539" s="62"/>
      <c r="E539" s="59"/>
      <c r="F539" s="60"/>
      <c r="G539" s="60"/>
      <c r="H539" s="58"/>
      <c r="I539" s="58"/>
      <c r="J539" s="58"/>
      <c r="K539" s="58"/>
      <c r="L539" s="58"/>
      <c r="M539" s="58"/>
      <c r="N539" s="58"/>
      <c r="O539" s="58"/>
      <c r="P539" s="63"/>
      <c r="Q539" s="63"/>
    </row>
    <row r="540" spans="2:17" ht="20.25" customHeight="1" x14ac:dyDescent="0.3">
      <c r="B540" s="59"/>
      <c r="C540" s="59"/>
      <c r="D540" s="62"/>
      <c r="E540" s="59"/>
      <c r="F540" s="60"/>
      <c r="G540" s="60"/>
      <c r="H540" s="58"/>
      <c r="I540" s="58"/>
      <c r="J540" s="58"/>
      <c r="K540" s="58"/>
      <c r="L540" s="58"/>
      <c r="M540" s="58"/>
      <c r="N540" s="58"/>
      <c r="O540" s="58"/>
      <c r="P540" s="63"/>
      <c r="Q540" s="63"/>
    </row>
    <row r="541" spans="2:17" ht="20.25" customHeight="1" x14ac:dyDescent="0.3">
      <c r="B541" s="59"/>
      <c r="C541" s="59"/>
      <c r="D541" s="62" t="str">
        <f t="shared" si="12"/>
        <v/>
      </c>
      <c r="E541" s="59"/>
      <c r="F541" s="60"/>
      <c r="G541" s="60"/>
      <c r="H541" s="58"/>
      <c r="I541" s="58"/>
      <c r="J541" s="58"/>
      <c r="K541" s="58"/>
      <c r="L541" s="58"/>
      <c r="M541" s="58"/>
      <c r="N541" s="58"/>
      <c r="O541" s="58"/>
      <c r="P541" s="63"/>
      <c r="Q541" s="63"/>
    </row>
    <row r="542" spans="2:17" ht="20.25" customHeight="1" x14ac:dyDescent="0.3">
      <c r="B542" s="59" t="s">
        <v>730</v>
      </c>
      <c r="C542" s="59" t="s">
        <v>89</v>
      </c>
      <c r="D542" s="62" t="str">
        <f t="shared" si="12"/>
        <v>CADILLACCT4</v>
      </c>
      <c r="E542" s="59" t="s">
        <v>731</v>
      </c>
      <c r="F542" s="60">
        <v>49350000</v>
      </c>
      <c r="G542" s="60">
        <v>1998</v>
      </c>
      <c r="H542" s="58" t="s">
        <v>241</v>
      </c>
      <c r="I542" s="58" t="s">
        <v>242</v>
      </c>
      <c r="J542" s="58" t="s">
        <v>1612</v>
      </c>
      <c r="K542" s="58"/>
      <c r="L542" s="58" t="s">
        <v>86</v>
      </c>
      <c r="M542" s="58"/>
      <c r="N542" s="58" t="s">
        <v>242</v>
      </c>
      <c r="O542" s="58"/>
      <c r="P542" s="63"/>
      <c r="Q542" s="63"/>
    </row>
    <row r="543" spans="2:17" ht="20.25" customHeight="1" x14ac:dyDescent="0.3">
      <c r="B543" s="59" t="s">
        <v>730</v>
      </c>
      <c r="C543" s="59" t="s">
        <v>90</v>
      </c>
      <c r="D543" s="62" t="str">
        <f t="shared" si="12"/>
        <v>CADILLACCT5</v>
      </c>
      <c r="E543" s="59" t="s">
        <v>732</v>
      </c>
      <c r="F543" s="60">
        <v>55780000</v>
      </c>
      <c r="G543" s="60">
        <v>1998</v>
      </c>
      <c r="H543" s="58" t="s">
        <v>241</v>
      </c>
      <c r="I543" s="58" t="s">
        <v>242</v>
      </c>
      <c r="J543" s="58" t="s">
        <v>1612</v>
      </c>
      <c r="K543" s="58"/>
      <c r="L543" s="58" t="s">
        <v>86</v>
      </c>
      <c r="M543" s="58"/>
      <c r="N543" s="58" t="s">
        <v>242</v>
      </c>
      <c r="O543" s="58"/>
      <c r="P543" s="63"/>
      <c r="Q543" s="63"/>
    </row>
    <row r="544" spans="2:17" ht="20.25" customHeight="1" x14ac:dyDescent="0.3">
      <c r="B544" s="59" t="s">
        <v>730</v>
      </c>
      <c r="C544" s="59" t="s">
        <v>90</v>
      </c>
      <c r="D544" s="62" t="str">
        <f t="shared" si="12"/>
        <v>CADILLACCT5</v>
      </c>
      <c r="E544" s="59" t="s">
        <v>733</v>
      </c>
      <c r="F544" s="60">
        <v>60710000</v>
      </c>
      <c r="G544" s="60">
        <v>1998</v>
      </c>
      <c r="H544" s="58" t="s">
        <v>241</v>
      </c>
      <c r="I544" s="58" t="s">
        <v>242</v>
      </c>
      <c r="J544" s="58" t="s">
        <v>1612</v>
      </c>
      <c r="K544" s="58"/>
      <c r="L544" s="58" t="s">
        <v>86</v>
      </c>
      <c r="M544" s="58"/>
      <c r="N544" s="58" t="s">
        <v>242</v>
      </c>
      <c r="O544" s="58"/>
      <c r="P544" s="63"/>
      <c r="Q544" s="63"/>
    </row>
    <row r="545" spans="2:17" ht="20.25" customHeight="1" x14ac:dyDescent="0.3">
      <c r="B545" s="59" t="s">
        <v>730</v>
      </c>
      <c r="C545" s="59" t="s">
        <v>90</v>
      </c>
      <c r="D545" s="62" t="str">
        <f t="shared" si="12"/>
        <v>CADILLACCT5</v>
      </c>
      <c r="E545" s="59" t="s">
        <v>734</v>
      </c>
      <c r="F545" s="60">
        <v>138570000</v>
      </c>
      <c r="G545" s="60">
        <v>6162</v>
      </c>
      <c r="H545" s="58" t="s">
        <v>241</v>
      </c>
      <c r="I545" s="58" t="s">
        <v>242</v>
      </c>
      <c r="J545" s="58" t="s">
        <v>1612</v>
      </c>
      <c r="K545" s="58"/>
      <c r="L545" s="58" t="s">
        <v>286</v>
      </c>
      <c r="M545" s="58"/>
      <c r="N545" s="58" t="s">
        <v>242</v>
      </c>
      <c r="O545" s="58"/>
      <c r="P545" s="63"/>
      <c r="Q545" s="63"/>
    </row>
    <row r="546" spans="2:17" ht="20.25" customHeight="1" x14ac:dyDescent="0.3">
      <c r="B546" s="59" t="s">
        <v>730</v>
      </c>
      <c r="C546" s="59" t="s">
        <v>91</v>
      </c>
      <c r="D546" s="62" t="str">
        <f t="shared" si="12"/>
        <v>CADILLACCT6</v>
      </c>
      <c r="E546" s="59" t="s">
        <v>735</v>
      </c>
      <c r="F546" s="60">
        <v>88880000</v>
      </c>
      <c r="G546" s="60">
        <v>3649</v>
      </c>
      <c r="H546" s="58" t="s">
        <v>241</v>
      </c>
      <c r="I546" s="58" t="s">
        <v>242</v>
      </c>
      <c r="J546" s="58" t="s">
        <v>1613</v>
      </c>
      <c r="K546" s="58"/>
      <c r="L546" s="58" t="s">
        <v>86</v>
      </c>
      <c r="M546" s="58"/>
      <c r="N546" s="58" t="s">
        <v>242</v>
      </c>
      <c r="O546" s="58"/>
      <c r="P546" s="63"/>
      <c r="Q546" s="63"/>
    </row>
    <row r="547" spans="2:17" ht="20.25" customHeight="1" x14ac:dyDescent="0.3">
      <c r="B547" s="59" t="s">
        <v>730</v>
      </c>
      <c r="C547" s="59" t="s">
        <v>91</v>
      </c>
      <c r="D547" s="62" t="str">
        <f t="shared" si="12"/>
        <v>CADILLACCT6</v>
      </c>
      <c r="E547" s="59" t="s">
        <v>736</v>
      </c>
      <c r="F547" s="60">
        <v>97680000</v>
      </c>
      <c r="G547" s="60">
        <v>3649</v>
      </c>
      <c r="H547" s="58" t="s">
        <v>241</v>
      </c>
      <c r="I547" s="58" t="s">
        <v>242</v>
      </c>
      <c r="J547" s="58" t="s">
        <v>1613</v>
      </c>
      <c r="K547" s="58"/>
      <c r="L547" s="58" t="s">
        <v>86</v>
      </c>
      <c r="M547" s="58"/>
      <c r="N547" s="58" t="s">
        <v>242</v>
      </c>
      <c r="O547" s="58"/>
      <c r="P547" s="63"/>
      <c r="Q547" s="63"/>
    </row>
    <row r="548" spans="2:17" ht="20.25" customHeight="1" x14ac:dyDescent="0.3">
      <c r="B548" s="59" t="s">
        <v>730</v>
      </c>
      <c r="C548" s="59" t="s">
        <v>91</v>
      </c>
      <c r="D548" s="62" t="str">
        <f t="shared" si="12"/>
        <v>CADILLACCT6</v>
      </c>
      <c r="E548" s="59" t="s">
        <v>737</v>
      </c>
      <c r="F548" s="60">
        <v>103370000</v>
      </c>
      <c r="G548" s="60">
        <v>3649</v>
      </c>
      <c r="H548" s="58" t="s">
        <v>241</v>
      </c>
      <c r="I548" s="58" t="s">
        <v>242</v>
      </c>
      <c r="J548" s="58" t="s">
        <v>1613</v>
      </c>
      <c r="K548" s="58"/>
      <c r="L548" s="58" t="s">
        <v>86</v>
      </c>
      <c r="M548" s="58"/>
      <c r="N548" s="58" t="s">
        <v>242</v>
      </c>
      <c r="O548" s="58"/>
      <c r="P548" s="63"/>
      <c r="Q548" s="63"/>
    </row>
    <row r="549" spans="2:17" ht="20.25" customHeight="1" x14ac:dyDescent="0.3">
      <c r="B549" s="59" t="s">
        <v>730</v>
      </c>
      <c r="C549" s="59" t="s">
        <v>92</v>
      </c>
      <c r="D549" s="62" t="str">
        <f t="shared" si="12"/>
        <v>CADILLACXT4</v>
      </c>
      <c r="E549" s="59" t="s">
        <v>738</v>
      </c>
      <c r="F549" s="60">
        <v>58510000</v>
      </c>
      <c r="G549" s="60">
        <v>1998</v>
      </c>
      <c r="H549" s="58" t="s">
        <v>241</v>
      </c>
      <c r="I549" s="58" t="s">
        <v>242</v>
      </c>
      <c r="J549" s="58" t="s">
        <v>1612</v>
      </c>
      <c r="K549" s="58"/>
      <c r="L549" s="58" t="s">
        <v>528</v>
      </c>
      <c r="M549" s="58"/>
      <c r="N549" s="58" t="s">
        <v>295</v>
      </c>
      <c r="O549" s="58"/>
      <c r="P549" s="63"/>
      <c r="Q549" s="63"/>
    </row>
    <row r="550" spans="2:17" ht="20.25" customHeight="1" x14ac:dyDescent="0.3">
      <c r="B550" s="59" t="s">
        <v>730</v>
      </c>
      <c r="C550" s="59" t="s">
        <v>93</v>
      </c>
      <c r="D550" s="62" t="str">
        <f t="shared" si="12"/>
        <v>CADILLACXT5</v>
      </c>
      <c r="E550" s="59" t="s">
        <v>739</v>
      </c>
      <c r="F550" s="60">
        <v>68430000</v>
      </c>
      <c r="G550" s="60">
        <v>3649</v>
      </c>
      <c r="H550" s="58" t="s">
        <v>241</v>
      </c>
      <c r="I550" s="58" t="s">
        <v>295</v>
      </c>
      <c r="J550" s="58" t="s">
        <v>1612</v>
      </c>
      <c r="K550" s="58"/>
      <c r="L550" s="58" t="s">
        <v>528</v>
      </c>
      <c r="M550" s="58"/>
      <c r="N550" s="58" t="s">
        <v>295</v>
      </c>
      <c r="O550" s="58"/>
      <c r="P550" s="63"/>
      <c r="Q550" s="63"/>
    </row>
    <row r="551" spans="2:17" ht="20.25" customHeight="1" x14ac:dyDescent="0.3">
      <c r="B551" s="59" t="s">
        <v>730</v>
      </c>
      <c r="C551" s="59" t="s">
        <v>93</v>
      </c>
      <c r="D551" s="62" t="str">
        <f t="shared" si="12"/>
        <v>CADILLACXT5</v>
      </c>
      <c r="E551" s="59" t="s">
        <v>740</v>
      </c>
      <c r="F551" s="60">
        <v>73930000</v>
      </c>
      <c r="G551" s="60">
        <v>3649</v>
      </c>
      <c r="H551" s="58" t="s">
        <v>241</v>
      </c>
      <c r="I551" s="58" t="s">
        <v>295</v>
      </c>
      <c r="J551" s="58" t="s">
        <v>1612</v>
      </c>
      <c r="K551" s="58"/>
      <c r="L551" s="58" t="s">
        <v>528</v>
      </c>
      <c r="M551" s="58"/>
      <c r="N551" s="58" t="s">
        <v>295</v>
      </c>
      <c r="O551" s="58"/>
      <c r="P551" s="63"/>
      <c r="Q551" s="63"/>
    </row>
    <row r="552" spans="2:17" ht="20.25" customHeight="1" x14ac:dyDescent="0.3">
      <c r="B552" s="59" t="s">
        <v>730</v>
      </c>
      <c r="C552" s="59" t="s">
        <v>93</v>
      </c>
      <c r="D552" s="62" t="str">
        <f t="shared" si="12"/>
        <v>CADILLACXT5</v>
      </c>
      <c r="E552" s="59" t="s">
        <v>741</v>
      </c>
      <c r="F552" s="60">
        <v>76320000</v>
      </c>
      <c r="G552" s="60">
        <v>3649</v>
      </c>
      <c r="H552" s="58" t="s">
        <v>241</v>
      </c>
      <c r="I552" s="58" t="s">
        <v>295</v>
      </c>
      <c r="J552" s="58" t="s">
        <v>1612</v>
      </c>
      <c r="K552" s="58"/>
      <c r="L552" s="58" t="s">
        <v>528</v>
      </c>
      <c r="M552" s="58"/>
      <c r="N552" s="58" t="s">
        <v>295</v>
      </c>
      <c r="O552" s="58"/>
      <c r="P552" s="63"/>
      <c r="Q552" s="63"/>
    </row>
    <row r="553" spans="2:17" ht="20.25" customHeight="1" x14ac:dyDescent="0.3">
      <c r="B553" s="59" t="s">
        <v>730</v>
      </c>
      <c r="C553" s="59" t="s">
        <v>94</v>
      </c>
      <c r="D553" s="62" t="str">
        <f t="shared" si="12"/>
        <v>CADILLACXT6</v>
      </c>
      <c r="E553" s="59" t="s">
        <v>742</v>
      </c>
      <c r="F553" s="60">
        <v>84410000</v>
      </c>
      <c r="G553" s="60">
        <v>3649</v>
      </c>
      <c r="H553" s="58" t="s">
        <v>241</v>
      </c>
      <c r="I553" s="58" t="s">
        <v>295</v>
      </c>
      <c r="J553" s="58" t="s">
        <v>1612</v>
      </c>
      <c r="K553" s="58"/>
      <c r="L553" s="58" t="s">
        <v>528</v>
      </c>
      <c r="M553" s="58"/>
      <c r="N553" s="58" t="s">
        <v>295</v>
      </c>
      <c r="O553" s="58"/>
      <c r="P553" s="63"/>
      <c r="Q553" s="63"/>
    </row>
    <row r="554" spans="2:17" ht="20.25" customHeight="1" x14ac:dyDescent="0.3">
      <c r="B554" s="59" t="s">
        <v>730</v>
      </c>
      <c r="C554" s="59" t="s">
        <v>95</v>
      </c>
      <c r="D554" s="62" t="str">
        <f t="shared" si="12"/>
        <v>CADILLACLyriq</v>
      </c>
      <c r="E554" s="59" t="s">
        <v>743</v>
      </c>
      <c r="F554" s="60">
        <v>106960000</v>
      </c>
      <c r="G554" s="60">
        <v>0</v>
      </c>
      <c r="H554" s="58" t="s">
        <v>308</v>
      </c>
      <c r="I554" s="58" t="s">
        <v>308</v>
      </c>
      <c r="J554" s="58" t="s">
        <v>1589</v>
      </c>
      <c r="K554" s="58"/>
      <c r="L554" s="58" t="s">
        <v>728</v>
      </c>
      <c r="M554" s="58"/>
      <c r="N554" s="58" t="s">
        <v>295</v>
      </c>
      <c r="O554" s="58"/>
      <c r="P554" s="63"/>
      <c r="Q554" s="63"/>
    </row>
    <row r="555" spans="2:17" ht="20.25" customHeight="1" x14ac:dyDescent="0.3">
      <c r="B555" s="59" t="s">
        <v>730</v>
      </c>
      <c r="C555" s="59" t="s">
        <v>744</v>
      </c>
      <c r="D555" s="62" t="str">
        <f t="shared" si="12"/>
        <v>CADILLACESCALADE</v>
      </c>
      <c r="E555" s="59" t="s">
        <v>745</v>
      </c>
      <c r="F555" s="60">
        <v>157000000</v>
      </c>
      <c r="G555" s="60">
        <v>6162</v>
      </c>
      <c r="H555" s="58" t="s">
        <v>241</v>
      </c>
      <c r="I555" s="58" t="s">
        <v>322</v>
      </c>
      <c r="J555" s="58" t="s">
        <v>1614</v>
      </c>
      <c r="K555" s="58" t="s">
        <v>1737</v>
      </c>
      <c r="L555" s="58" t="s">
        <v>279</v>
      </c>
      <c r="M555" s="58"/>
      <c r="N555" s="58" t="s">
        <v>322</v>
      </c>
      <c r="O555" s="58"/>
      <c r="P555" s="63"/>
      <c r="Q555" s="63"/>
    </row>
    <row r="556" spans="2:17" ht="20.25" customHeight="1" x14ac:dyDescent="0.3">
      <c r="B556" s="59" t="s">
        <v>730</v>
      </c>
      <c r="C556" s="59" t="s">
        <v>744</v>
      </c>
      <c r="D556" s="62" t="str">
        <f t="shared" si="12"/>
        <v>CADILLACESCALADE</v>
      </c>
      <c r="E556" s="59" t="s">
        <v>746</v>
      </c>
      <c r="F556" s="60">
        <v>157000000</v>
      </c>
      <c r="G556" s="60">
        <v>6162</v>
      </c>
      <c r="H556" s="58" t="s">
        <v>241</v>
      </c>
      <c r="I556" s="58" t="s">
        <v>322</v>
      </c>
      <c r="J556" s="58" t="s">
        <v>1614</v>
      </c>
      <c r="K556" s="58" t="s">
        <v>1737</v>
      </c>
      <c r="L556" s="58" t="s">
        <v>279</v>
      </c>
      <c r="M556" s="58"/>
      <c r="N556" s="58" t="s">
        <v>322</v>
      </c>
      <c r="O556" s="58"/>
      <c r="P556" s="63"/>
      <c r="Q556" s="63"/>
    </row>
    <row r="557" spans="2:17" ht="20.25" customHeight="1" x14ac:dyDescent="0.3">
      <c r="B557" s="59" t="s">
        <v>730</v>
      </c>
      <c r="C557" s="59" t="s">
        <v>744</v>
      </c>
      <c r="D557" s="62" t="str">
        <f t="shared" si="12"/>
        <v>CADILLACESCALADE</v>
      </c>
      <c r="E557" s="59" t="s">
        <v>747</v>
      </c>
      <c r="F557" s="60">
        <v>167000000</v>
      </c>
      <c r="G557" s="60">
        <v>6162</v>
      </c>
      <c r="H557" s="58" t="s">
        <v>241</v>
      </c>
      <c r="I557" s="58" t="s">
        <v>322</v>
      </c>
      <c r="J557" s="58" t="s">
        <v>1614</v>
      </c>
      <c r="K557" s="58" t="s">
        <v>1737</v>
      </c>
      <c r="L557" s="58" t="s">
        <v>279</v>
      </c>
      <c r="M557" s="58"/>
      <c r="N557" s="58" t="s">
        <v>322</v>
      </c>
      <c r="O557" s="58"/>
      <c r="P557" s="63"/>
      <c r="Q557" s="63"/>
    </row>
    <row r="558" spans="2:17" ht="20.25" customHeight="1" x14ac:dyDescent="0.3">
      <c r="B558" s="59" t="s">
        <v>730</v>
      </c>
      <c r="C558" s="59" t="s">
        <v>744</v>
      </c>
      <c r="D558" s="62" t="str">
        <f t="shared" si="12"/>
        <v>CADILLACESCALADE</v>
      </c>
      <c r="E558" s="59" t="s">
        <v>748</v>
      </c>
      <c r="F558" s="60">
        <v>167000000</v>
      </c>
      <c r="G558" s="60">
        <v>6162</v>
      </c>
      <c r="H558" s="58" t="s">
        <v>241</v>
      </c>
      <c r="I558" s="58" t="s">
        <v>322</v>
      </c>
      <c r="J558" s="58" t="s">
        <v>1614</v>
      </c>
      <c r="K558" s="58" t="s">
        <v>1737</v>
      </c>
      <c r="L558" s="58" t="s">
        <v>279</v>
      </c>
      <c r="M558" s="58"/>
      <c r="N558" s="58" t="s">
        <v>322</v>
      </c>
      <c r="O558" s="58"/>
      <c r="P558" s="63"/>
      <c r="Q558" s="63"/>
    </row>
    <row r="559" spans="2:17" ht="20.25" customHeight="1" x14ac:dyDescent="0.3">
      <c r="B559" s="59"/>
      <c r="C559" s="59"/>
      <c r="D559" s="62"/>
      <c r="E559" s="59"/>
      <c r="F559" s="60"/>
      <c r="G559" s="60"/>
      <c r="H559" s="58"/>
      <c r="I559" s="58"/>
      <c r="J559" s="58"/>
      <c r="K559" s="58"/>
      <c r="L559" s="58"/>
      <c r="M559" s="58"/>
      <c r="N559" s="58"/>
      <c r="O559" s="58"/>
      <c r="P559" s="63"/>
      <c r="Q559" s="63"/>
    </row>
    <row r="560" spans="2:17" ht="20.25" customHeight="1" x14ac:dyDescent="0.3">
      <c r="B560" s="59"/>
      <c r="C560" s="59"/>
      <c r="D560" s="62"/>
      <c r="E560" s="59"/>
      <c r="F560" s="60"/>
      <c r="G560" s="60"/>
      <c r="H560" s="58"/>
      <c r="I560" s="58"/>
      <c r="J560" s="58"/>
      <c r="K560" s="58"/>
      <c r="L560" s="58"/>
      <c r="M560" s="58"/>
      <c r="N560" s="58"/>
      <c r="O560" s="58"/>
      <c r="P560" s="63"/>
      <c r="Q560" s="63"/>
    </row>
    <row r="561" spans="2:17" ht="20.25" customHeight="1" x14ac:dyDescent="0.3">
      <c r="B561" s="59"/>
      <c r="C561" s="59"/>
      <c r="D561" s="62"/>
      <c r="E561" s="59"/>
      <c r="F561" s="60"/>
      <c r="G561" s="60"/>
      <c r="H561" s="58"/>
      <c r="I561" s="58"/>
      <c r="J561" s="58"/>
      <c r="K561" s="58"/>
      <c r="L561" s="58"/>
      <c r="M561" s="58"/>
      <c r="N561" s="58"/>
      <c r="O561" s="58"/>
      <c r="P561" s="63"/>
      <c r="Q561" s="63"/>
    </row>
    <row r="562" spans="2:17" ht="20.25" customHeight="1" x14ac:dyDescent="0.3">
      <c r="B562" s="59"/>
      <c r="C562" s="59"/>
      <c r="D562" s="62"/>
      <c r="E562" s="59"/>
      <c r="F562" s="60"/>
      <c r="G562" s="60"/>
      <c r="H562" s="58"/>
      <c r="I562" s="58"/>
      <c r="J562" s="58"/>
      <c r="K562" s="58"/>
      <c r="L562" s="58"/>
      <c r="M562" s="58"/>
      <c r="N562" s="58"/>
      <c r="O562" s="58"/>
      <c r="P562" s="63"/>
      <c r="Q562" s="63"/>
    </row>
    <row r="563" spans="2:17" ht="20.25" customHeight="1" x14ac:dyDescent="0.3">
      <c r="B563" s="59"/>
      <c r="C563" s="59"/>
      <c r="D563" s="62"/>
      <c r="E563" s="59"/>
      <c r="F563" s="60"/>
      <c r="G563" s="60"/>
      <c r="H563" s="58"/>
      <c r="I563" s="58"/>
      <c r="J563" s="58"/>
      <c r="K563" s="58"/>
      <c r="L563" s="58"/>
      <c r="M563" s="58"/>
      <c r="N563" s="58"/>
      <c r="O563" s="58"/>
      <c r="P563" s="63"/>
      <c r="Q563" s="63"/>
    </row>
    <row r="564" spans="2:17" ht="20.25" customHeight="1" x14ac:dyDescent="0.3">
      <c r="B564" s="59"/>
      <c r="C564" s="59"/>
      <c r="D564" s="62"/>
      <c r="E564" s="59"/>
      <c r="F564" s="60"/>
      <c r="G564" s="60"/>
      <c r="H564" s="58"/>
      <c r="I564" s="58"/>
      <c r="J564" s="58"/>
      <c r="K564" s="58"/>
      <c r="L564" s="58"/>
      <c r="M564" s="58"/>
      <c r="N564" s="58"/>
      <c r="O564" s="58"/>
      <c r="P564" s="63"/>
      <c r="Q564" s="63"/>
    </row>
    <row r="565" spans="2:17" ht="20.25" customHeight="1" x14ac:dyDescent="0.3">
      <c r="B565" s="59"/>
      <c r="C565" s="59"/>
      <c r="D565" s="62"/>
      <c r="E565" s="59"/>
      <c r="F565" s="60"/>
      <c r="G565" s="60"/>
      <c r="H565" s="58"/>
      <c r="I565" s="58"/>
      <c r="J565" s="58"/>
      <c r="K565" s="58"/>
      <c r="L565" s="58"/>
      <c r="M565" s="58"/>
      <c r="N565" s="58"/>
      <c r="O565" s="58"/>
      <c r="P565" s="63"/>
      <c r="Q565" s="63"/>
    </row>
    <row r="566" spans="2:17" ht="20.25" customHeight="1" x14ac:dyDescent="0.3">
      <c r="B566" s="59" t="s">
        <v>16</v>
      </c>
      <c r="C566" s="59" t="s">
        <v>16</v>
      </c>
      <c r="D566" s="62" t="str">
        <f t="shared" ref="D566:D604" si="13">+B566&amp;C566</f>
        <v>CitroenCitroen</v>
      </c>
      <c r="E566" s="59" t="s">
        <v>749</v>
      </c>
      <c r="F566" s="60">
        <v>29510000</v>
      </c>
      <c r="G566" s="60">
        <v>1499</v>
      </c>
      <c r="H566" s="58" t="s">
        <v>250</v>
      </c>
      <c r="I566" s="58" t="s">
        <v>295</v>
      </c>
      <c r="J566" s="58" t="s">
        <v>1614</v>
      </c>
      <c r="K566" s="58"/>
      <c r="L566" s="58" t="s">
        <v>86</v>
      </c>
      <c r="M566" s="58"/>
      <c r="N566" s="58" t="s">
        <v>295</v>
      </c>
      <c r="O566" s="58"/>
      <c r="P566" s="63"/>
      <c r="Q566" s="63"/>
    </row>
    <row r="567" spans="2:17" ht="20.25" customHeight="1" x14ac:dyDescent="0.3">
      <c r="B567" s="59" t="s">
        <v>16</v>
      </c>
      <c r="C567" s="59" t="s">
        <v>16</v>
      </c>
      <c r="D567" s="62" t="str">
        <f t="shared" si="13"/>
        <v>CitroenCitroen</v>
      </c>
      <c r="E567" s="59" t="s">
        <v>750</v>
      </c>
      <c r="F567" s="60">
        <v>32580000</v>
      </c>
      <c r="G567" s="60">
        <v>1499</v>
      </c>
      <c r="H567" s="58" t="s">
        <v>250</v>
      </c>
      <c r="I567" s="58" t="s">
        <v>295</v>
      </c>
      <c r="J567" s="58" t="s">
        <v>1614</v>
      </c>
      <c r="K567" s="58"/>
      <c r="L567" s="58" t="s">
        <v>86</v>
      </c>
      <c r="M567" s="58"/>
      <c r="N567" s="58" t="s">
        <v>295</v>
      </c>
      <c r="O567" s="58"/>
      <c r="P567" s="63"/>
      <c r="Q567" s="63"/>
    </row>
    <row r="568" spans="2:17" ht="20.25" customHeight="1" x14ac:dyDescent="0.3">
      <c r="B568" s="59" t="s">
        <v>16</v>
      </c>
      <c r="C568" s="59" t="s">
        <v>16</v>
      </c>
      <c r="D568" s="62" t="str">
        <f t="shared" si="13"/>
        <v>CitroenCitroen</v>
      </c>
      <c r="E568" s="59" t="s">
        <v>751</v>
      </c>
      <c r="F568" s="60">
        <v>32380000</v>
      </c>
      <c r="G568" s="60">
        <v>1499</v>
      </c>
      <c r="H568" s="58" t="s">
        <v>250</v>
      </c>
      <c r="I568" s="58" t="s">
        <v>295</v>
      </c>
      <c r="J568" s="58" t="s">
        <v>1614</v>
      </c>
      <c r="K568" s="58"/>
      <c r="L568" s="58" t="s">
        <v>86</v>
      </c>
      <c r="M568" s="58"/>
      <c r="N568" s="58" t="s">
        <v>295</v>
      </c>
      <c r="O568" s="58"/>
      <c r="P568" s="63"/>
      <c r="Q568" s="63"/>
    </row>
    <row r="569" spans="2:17" ht="20.25" customHeight="1" x14ac:dyDescent="0.3">
      <c r="B569" s="59" t="s">
        <v>16</v>
      </c>
      <c r="C569" s="59" t="s">
        <v>16</v>
      </c>
      <c r="D569" s="62" t="str">
        <f t="shared" si="13"/>
        <v>CitroenCitroen</v>
      </c>
      <c r="E569" s="59" t="s">
        <v>752</v>
      </c>
      <c r="F569" s="60">
        <v>42290000</v>
      </c>
      <c r="G569" s="60">
        <v>1499</v>
      </c>
      <c r="H569" s="58" t="s">
        <v>250</v>
      </c>
      <c r="I569" s="58" t="s">
        <v>322</v>
      </c>
      <c r="J569" s="58" t="s">
        <v>1614</v>
      </c>
      <c r="K569" s="58"/>
      <c r="L569" s="58" t="s">
        <v>248</v>
      </c>
      <c r="M569" s="58"/>
      <c r="N569" s="58" t="s">
        <v>322</v>
      </c>
      <c r="O569" s="58"/>
      <c r="P569" s="63"/>
      <c r="Q569" s="63"/>
    </row>
    <row r="570" spans="2:17" ht="20.25" customHeight="1" x14ac:dyDescent="0.3">
      <c r="B570" s="59" t="s">
        <v>16</v>
      </c>
      <c r="C570" s="59" t="s">
        <v>16</v>
      </c>
      <c r="D570" s="62" t="str">
        <f t="shared" si="13"/>
        <v>CitroenCitroen</v>
      </c>
      <c r="E570" s="59" t="s">
        <v>753</v>
      </c>
      <c r="F570" s="60">
        <v>45850000</v>
      </c>
      <c r="G570" s="60">
        <v>1499</v>
      </c>
      <c r="H570" s="58" t="s">
        <v>250</v>
      </c>
      <c r="I570" s="58" t="s">
        <v>322</v>
      </c>
      <c r="J570" s="58" t="s">
        <v>1614</v>
      </c>
      <c r="K570" s="58"/>
      <c r="L570" s="58" t="s">
        <v>248</v>
      </c>
      <c r="M570" s="58"/>
      <c r="N570" s="58" t="s">
        <v>322</v>
      </c>
      <c r="O570" s="58"/>
      <c r="P570" s="63"/>
      <c r="Q570" s="63"/>
    </row>
    <row r="571" spans="2:17" ht="20.25" customHeight="1" x14ac:dyDescent="0.3">
      <c r="B571" s="59" t="s">
        <v>16</v>
      </c>
      <c r="C571" s="59" t="s">
        <v>16</v>
      </c>
      <c r="D571" s="62" t="str">
        <f t="shared" si="13"/>
        <v>CitroenCitroen</v>
      </c>
      <c r="E571" s="59" t="s">
        <v>754</v>
      </c>
      <c r="F571" s="60">
        <v>39780000</v>
      </c>
      <c r="G571" s="60">
        <v>1499</v>
      </c>
      <c r="H571" s="58" t="s">
        <v>250</v>
      </c>
      <c r="I571" s="58" t="s">
        <v>295</v>
      </c>
      <c r="J571" s="58" t="s">
        <v>1614</v>
      </c>
      <c r="K571" s="58"/>
      <c r="L571" s="58" t="s">
        <v>86</v>
      </c>
      <c r="M571" s="58"/>
      <c r="N571" s="58" t="s">
        <v>295</v>
      </c>
      <c r="O571" s="58"/>
      <c r="P571" s="63"/>
      <c r="Q571" s="63"/>
    </row>
    <row r="572" spans="2:17" ht="20.25" customHeight="1" x14ac:dyDescent="0.3">
      <c r="B572" s="59" t="s">
        <v>16</v>
      </c>
      <c r="C572" s="59" t="s">
        <v>16</v>
      </c>
      <c r="D572" s="62" t="str">
        <f t="shared" si="13"/>
        <v>CitroenCitroen</v>
      </c>
      <c r="E572" s="59" t="s">
        <v>755</v>
      </c>
      <c r="F572" s="60">
        <v>40750000</v>
      </c>
      <c r="G572" s="60">
        <v>1499</v>
      </c>
      <c r="H572" s="58" t="s">
        <v>250</v>
      </c>
      <c r="I572" s="58" t="s">
        <v>295</v>
      </c>
      <c r="J572" s="58" t="s">
        <v>1614</v>
      </c>
      <c r="K572" s="58"/>
      <c r="L572" s="58" t="s">
        <v>86</v>
      </c>
      <c r="M572" s="58"/>
      <c r="N572" s="58" t="s">
        <v>295</v>
      </c>
      <c r="O572" s="58"/>
      <c r="P572" s="63"/>
      <c r="Q572" s="63"/>
    </row>
    <row r="573" spans="2:17" ht="20.25" customHeight="1" x14ac:dyDescent="0.3">
      <c r="B573" s="59" t="s">
        <v>16</v>
      </c>
      <c r="C573" s="59" t="s">
        <v>16</v>
      </c>
      <c r="D573" s="62" t="str">
        <f t="shared" si="13"/>
        <v>CitroenCitroen</v>
      </c>
      <c r="E573" s="59" t="s">
        <v>756</v>
      </c>
      <c r="F573" s="60">
        <v>47790000</v>
      </c>
      <c r="G573" s="60">
        <v>1997</v>
      </c>
      <c r="H573" s="58" t="s">
        <v>250</v>
      </c>
      <c r="I573" s="58" t="s">
        <v>295</v>
      </c>
      <c r="J573" s="58" t="s">
        <v>1614</v>
      </c>
      <c r="K573" s="58"/>
      <c r="L573" s="58" t="s">
        <v>86</v>
      </c>
      <c r="M573" s="58"/>
      <c r="N573" s="58" t="s">
        <v>295</v>
      </c>
      <c r="O573" s="58"/>
      <c r="P573" s="63"/>
      <c r="Q573" s="63"/>
    </row>
    <row r="574" spans="2:17" ht="20.25" customHeight="1" x14ac:dyDescent="0.3">
      <c r="B574" s="59"/>
      <c r="C574" s="59"/>
      <c r="D574" s="62" t="str">
        <f t="shared" si="13"/>
        <v/>
      </c>
      <c r="E574" s="59"/>
      <c r="F574" s="60"/>
      <c r="G574" s="60"/>
      <c r="H574" s="58"/>
      <c r="I574" s="58"/>
      <c r="J574" s="58"/>
      <c r="K574" s="58"/>
      <c r="L574" s="58"/>
      <c r="M574" s="58"/>
      <c r="N574" s="58"/>
      <c r="O574" s="58"/>
      <c r="P574" s="63"/>
      <c r="Q574" s="63"/>
    </row>
    <row r="575" spans="2:17" ht="20.25" customHeight="1" x14ac:dyDescent="0.3">
      <c r="B575" s="59"/>
      <c r="C575" s="59"/>
      <c r="D575" s="62" t="str">
        <f t="shared" si="13"/>
        <v/>
      </c>
      <c r="E575" s="59"/>
      <c r="F575" s="60"/>
      <c r="G575" s="60"/>
      <c r="H575" s="58"/>
      <c r="I575" s="58"/>
      <c r="J575" s="58"/>
      <c r="K575" s="58"/>
      <c r="L575" s="58"/>
      <c r="M575" s="58"/>
      <c r="N575" s="58"/>
      <c r="O575" s="58"/>
      <c r="P575" s="63"/>
      <c r="Q575" s="63"/>
    </row>
    <row r="576" spans="2:17" ht="20.25" customHeight="1" x14ac:dyDescent="0.3">
      <c r="B576" s="59"/>
      <c r="C576" s="59"/>
      <c r="D576" s="62" t="str">
        <f t="shared" si="13"/>
        <v/>
      </c>
      <c r="E576" s="59"/>
      <c r="F576" s="60"/>
      <c r="G576" s="60"/>
      <c r="H576" s="58"/>
      <c r="I576" s="58"/>
      <c r="J576" s="58"/>
      <c r="K576" s="58"/>
      <c r="L576" s="58"/>
      <c r="M576" s="58"/>
      <c r="N576" s="58"/>
      <c r="O576" s="58"/>
      <c r="P576" s="63"/>
      <c r="Q576" s="63"/>
    </row>
    <row r="577" spans="2:17" ht="20.25" customHeight="1" x14ac:dyDescent="0.3">
      <c r="B577" s="59"/>
      <c r="C577" s="59"/>
      <c r="D577" s="62" t="str">
        <f t="shared" si="13"/>
        <v/>
      </c>
      <c r="E577" s="59"/>
      <c r="F577" s="60"/>
      <c r="G577" s="60"/>
      <c r="H577" s="58"/>
      <c r="I577" s="58"/>
      <c r="J577" s="58"/>
      <c r="K577" s="58"/>
      <c r="L577" s="58"/>
      <c r="M577" s="58"/>
      <c r="N577" s="58"/>
      <c r="O577" s="58"/>
      <c r="P577" s="63"/>
      <c r="Q577" s="63"/>
    </row>
    <row r="578" spans="2:17" ht="20.25" customHeight="1" x14ac:dyDescent="0.3">
      <c r="B578" s="59"/>
      <c r="C578" s="59"/>
      <c r="D578" s="62" t="str">
        <f t="shared" si="13"/>
        <v/>
      </c>
      <c r="E578" s="59"/>
      <c r="F578" s="60"/>
      <c r="G578" s="60"/>
      <c r="H578" s="58"/>
      <c r="I578" s="58"/>
      <c r="J578" s="58"/>
      <c r="K578" s="58"/>
      <c r="L578" s="58"/>
      <c r="M578" s="58"/>
      <c r="N578" s="58"/>
      <c r="O578" s="58"/>
      <c r="P578" s="63"/>
      <c r="Q578" s="63"/>
    </row>
    <row r="579" spans="2:17" ht="20.25" customHeight="1" x14ac:dyDescent="0.3">
      <c r="B579" s="59"/>
      <c r="C579" s="59"/>
      <c r="D579" s="62" t="str">
        <f t="shared" si="13"/>
        <v/>
      </c>
      <c r="E579" s="59"/>
      <c r="F579" s="60"/>
      <c r="G579" s="60"/>
      <c r="H579" s="58"/>
      <c r="I579" s="58"/>
      <c r="J579" s="58"/>
      <c r="K579" s="58"/>
      <c r="L579" s="58"/>
      <c r="M579" s="58"/>
      <c r="N579" s="58"/>
      <c r="O579" s="58"/>
      <c r="P579" s="63"/>
      <c r="Q579" s="63"/>
    </row>
    <row r="580" spans="2:17" ht="20.25" customHeight="1" x14ac:dyDescent="0.3">
      <c r="B580" s="59"/>
      <c r="C580" s="59"/>
      <c r="D580" s="62" t="str">
        <f t="shared" si="13"/>
        <v/>
      </c>
      <c r="E580" s="59"/>
      <c r="F580" s="60"/>
      <c r="G580" s="60"/>
      <c r="H580" s="58"/>
      <c r="I580" s="58"/>
      <c r="J580" s="58"/>
      <c r="K580" s="58"/>
      <c r="L580" s="58"/>
      <c r="M580" s="58"/>
      <c r="N580" s="58"/>
      <c r="O580" s="58"/>
      <c r="P580" s="63"/>
      <c r="Q580" s="63"/>
    </row>
    <row r="581" spans="2:17" ht="20.25" customHeight="1" x14ac:dyDescent="0.3">
      <c r="B581" s="59" t="s">
        <v>757</v>
      </c>
      <c r="C581" s="59" t="s">
        <v>97</v>
      </c>
      <c r="D581" s="62" t="str">
        <f t="shared" si="13"/>
        <v>FORDMustang</v>
      </c>
      <c r="E581" s="59" t="s">
        <v>758</v>
      </c>
      <c r="F581" s="60">
        <v>56650000</v>
      </c>
      <c r="G581" s="60">
        <v>2261</v>
      </c>
      <c r="H581" s="58" t="s">
        <v>241</v>
      </c>
      <c r="I581" s="58" t="s">
        <v>242</v>
      </c>
      <c r="J581" s="58" t="s">
        <v>1515</v>
      </c>
      <c r="K581" s="58"/>
      <c r="L581" s="58" t="s">
        <v>286</v>
      </c>
      <c r="M581" s="58"/>
      <c r="N581" s="58" t="s">
        <v>242</v>
      </c>
      <c r="O581" s="58"/>
      <c r="P581" s="63"/>
      <c r="Q581" s="63"/>
    </row>
    <row r="582" spans="2:17" ht="20.25" customHeight="1" x14ac:dyDescent="0.3">
      <c r="B582" s="59" t="s">
        <v>757</v>
      </c>
      <c r="C582" s="59" t="s">
        <v>97</v>
      </c>
      <c r="D582" s="62" t="str">
        <f t="shared" si="13"/>
        <v>FORDMustang</v>
      </c>
      <c r="E582" s="59" t="s">
        <v>759</v>
      </c>
      <c r="F582" s="60">
        <v>50850000</v>
      </c>
      <c r="G582" s="60">
        <v>2261</v>
      </c>
      <c r="H582" s="58" t="s">
        <v>241</v>
      </c>
      <c r="I582" s="58" t="s">
        <v>242</v>
      </c>
      <c r="J582" s="58" t="s">
        <v>1614</v>
      </c>
      <c r="K582" s="58"/>
      <c r="L582" s="58" t="s">
        <v>286</v>
      </c>
      <c r="M582" s="58"/>
      <c r="N582" s="58" t="s">
        <v>242</v>
      </c>
      <c r="O582" s="58"/>
      <c r="P582" s="63"/>
      <c r="Q582" s="63"/>
    </row>
    <row r="583" spans="2:17" ht="20.25" customHeight="1" x14ac:dyDescent="0.3">
      <c r="B583" s="59" t="s">
        <v>757</v>
      </c>
      <c r="C583" s="59" t="s">
        <v>97</v>
      </c>
      <c r="D583" s="62" t="str">
        <f t="shared" si="13"/>
        <v>FORDMustang</v>
      </c>
      <c r="E583" s="59" t="s">
        <v>760</v>
      </c>
      <c r="F583" s="60">
        <v>72350000</v>
      </c>
      <c r="G583" s="60">
        <v>4951</v>
      </c>
      <c r="H583" s="58" t="s">
        <v>241</v>
      </c>
      <c r="I583" s="58" t="s">
        <v>242</v>
      </c>
      <c r="J583" s="58" t="s">
        <v>1515</v>
      </c>
      <c r="K583" s="58"/>
      <c r="L583" s="58" t="s">
        <v>286</v>
      </c>
      <c r="M583" s="58"/>
      <c r="N583" s="58" t="s">
        <v>242</v>
      </c>
      <c r="O583" s="58"/>
      <c r="P583" s="63"/>
      <c r="Q583" s="63"/>
    </row>
    <row r="584" spans="2:17" ht="20.25" customHeight="1" x14ac:dyDescent="0.3">
      <c r="B584" s="59" t="s">
        <v>757</v>
      </c>
      <c r="C584" s="59" t="s">
        <v>97</v>
      </c>
      <c r="D584" s="62" t="str">
        <f t="shared" si="13"/>
        <v>FORDMustang</v>
      </c>
      <c r="E584" s="59" t="s">
        <v>761</v>
      </c>
      <c r="F584" s="60">
        <v>67350000</v>
      </c>
      <c r="G584" s="60">
        <v>4951</v>
      </c>
      <c r="H584" s="58" t="s">
        <v>241</v>
      </c>
      <c r="I584" s="58" t="s">
        <v>242</v>
      </c>
      <c r="J584" s="58" t="s">
        <v>1614</v>
      </c>
      <c r="K584" s="58"/>
      <c r="L584" s="58" t="s">
        <v>286</v>
      </c>
      <c r="M584" s="58"/>
      <c r="N584" s="58" t="s">
        <v>242</v>
      </c>
      <c r="O584" s="58"/>
      <c r="P584" s="63"/>
      <c r="Q584" s="63"/>
    </row>
    <row r="585" spans="2:17" ht="20.25" customHeight="1" x14ac:dyDescent="0.3">
      <c r="B585" s="59" t="s">
        <v>757</v>
      </c>
      <c r="C585" s="59" t="s">
        <v>98</v>
      </c>
      <c r="D585" s="62" t="str">
        <f t="shared" si="13"/>
        <v>FORDExplorer</v>
      </c>
      <c r="E585" s="59" t="s">
        <v>762</v>
      </c>
      <c r="F585" s="60">
        <v>67650000</v>
      </c>
      <c r="G585" s="60">
        <v>2261</v>
      </c>
      <c r="H585" s="58" t="s">
        <v>241</v>
      </c>
      <c r="I585" s="58" t="s">
        <v>322</v>
      </c>
      <c r="J585" s="58" t="s">
        <v>1611</v>
      </c>
      <c r="K585" s="58"/>
      <c r="L585" s="58" t="s">
        <v>599</v>
      </c>
      <c r="M585" s="58"/>
      <c r="N585" s="58" t="s">
        <v>322</v>
      </c>
      <c r="O585" s="58"/>
      <c r="P585" s="63"/>
      <c r="Q585" s="63"/>
    </row>
    <row r="586" spans="2:17" ht="20.25" customHeight="1" x14ac:dyDescent="0.3">
      <c r="B586" s="59" t="s">
        <v>757</v>
      </c>
      <c r="C586" s="59" t="s">
        <v>98</v>
      </c>
      <c r="D586" s="62" t="str">
        <f t="shared" si="13"/>
        <v>FORDExplorer</v>
      </c>
      <c r="E586" s="59" t="s">
        <v>763</v>
      </c>
      <c r="F586" s="60">
        <v>77750000</v>
      </c>
      <c r="G586" s="60">
        <v>2956</v>
      </c>
      <c r="H586" s="58" t="s">
        <v>241</v>
      </c>
      <c r="I586" s="58" t="s">
        <v>322</v>
      </c>
      <c r="J586" s="58" t="s">
        <v>1611</v>
      </c>
      <c r="K586" s="58"/>
      <c r="L586" s="58" t="s">
        <v>599</v>
      </c>
      <c r="M586" s="58"/>
      <c r="N586" s="58" t="s">
        <v>322</v>
      </c>
      <c r="O586" s="58"/>
      <c r="P586" s="63"/>
      <c r="Q586" s="63"/>
    </row>
    <row r="587" spans="2:17" ht="20.25" customHeight="1" x14ac:dyDescent="0.3">
      <c r="B587" s="59" t="s">
        <v>757</v>
      </c>
      <c r="C587" s="59" t="s">
        <v>98</v>
      </c>
      <c r="D587" s="62" t="str">
        <f t="shared" si="13"/>
        <v>FORDExplorer</v>
      </c>
      <c r="E587" s="59" t="s">
        <v>764</v>
      </c>
      <c r="F587" s="60">
        <v>80750000</v>
      </c>
      <c r="G587" s="60">
        <v>3339</v>
      </c>
      <c r="H587" s="58" t="s">
        <v>241</v>
      </c>
      <c r="I587" s="58" t="s">
        <v>322</v>
      </c>
      <c r="J587" s="58" t="s">
        <v>1611</v>
      </c>
      <c r="K587" s="58"/>
      <c r="L587" s="58" t="s">
        <v>86</v>
      </c>
      <c r="M587" s="58"/>
      <c r="N587" s="58" t="s">
        <v>322</v>
      </c>
      <c r="O587" s="58"/>
      <c r="P587" s="63"/>
      <c r="Q587" s="63"/>
    </row>
    <row r="588" spans="2:17" ht="20.25" customHeight="1" x14ac:dyDescent="0.3">
      <c r="B588" s="59" t="s">
        <v>757</v>
      </c>
      <c r="C588" s="59" t="s">
        <v>100</v>
      </c>
      <c r="D588" s="62" t="str">
        <f t="shared" si="13"/>
        <v>FORDBronco</v>
      </c>
      <c r="E588" s="59" t="s">
        <v>765</v>
      </c>
      <c r="F588" s="60">
        <v>80400000</v>
      </c>
      <c r="G588" s="60">
        <v>2694</v>
      </c>
      <c r="H588" s="58" t="s">
        <v>241</v>
      </c>
      <c r="I588" s="58" t="s">
        <v>295</v>
      </c>
      <c r="J588" s="58" t="s">
        <v>1612</v>
      </c>
      <c r="K588" s="58"/>
      <c r="L588" s="58" t="s">
        <v>599</v>
      </c>
      <c r="M588" s="58"/>
      <c r="N588" s="58" t="s">
        <v>295</v>
      </c>
      <c r="O588" s="58"/>
      <c r="P588" s="63"/>
      <c r="Q588" s="63"/>
    </row>
    <row r="589" spans="2:17" ht="20.25" customHeight="1" x14ac:dyDescent="0.3">
      <c r="B589" s="59" t="s">
        <v>757</v>
      </c>
      <c r="C589" s="59" t="s">
        <v>101</v>
      </c>
      <c r="D589" s="62" t="str">
        <f t="shared" si="13"/>
        <v>FORDCorsair</v>
      </c>
      <c r="E589" s="59" t="s">
        <v>766</v>
      </c>
      <c r="F589" s="60">
        <v>58500000</v>
      </c>
      <c r="G589" s="60">
        <v>1999</v>
      </c>
      <c r="H589" s="58" t="s">
        <v>241</v>
      </c>
      <c r="I589" s="58" t="s">
        <v>295</v>
      </c>
      <c r="J589" s="58" t="s">
        <v>1614</v>
      </c>
      <c r="K589" s="58"/>
      <c r="L589" s="58" t="s">
        <v>286</v>
      </c>
      <c r="M589" s="58"/>
      <c r="N589" s="58" t="s">
        <v>295</v>
      </c>
      <c r="O589" s="58"/>
      <c r="P589" s="63"/>
      <c r="Q589" s="63"/>
    </row>
    <row r="590" spans="2:17" ht="20.25" customHeight="1" x14ac:dyDescent="0.3">
      <c r="B590" s="59" t="s">
        <v>757</v>
      </c>
      <c r="C590" s="59" t="s">
        <v>99</v>
      </c>
      <c r="D590" s="62" t="str">
        <f t="shared" si="13"/>
        <v>FORDExpedition</v>
      </c>
      <c r="E590" s="59" t="s">
        <v>767</v>
      </c>
      <c r="F590" s="60">
        <v>111100000</v>
      </c>
      <c r="G590" s="60">
        <v>3496</v>
      </c>
      <c r="H590" s="58" t="s">
        <v>241</v>
      </c>
      <c r="I590" s="58" t="s">
        <v>322</v>
      </c>
      <c r="J590" s="58" t="s">
        <v>1613</v>
      </c>
      <c r="K590" s="58"/>
      <c r="L590" s="58" t="s">
        <v>331</v>
      </c>
      <c r="M590" s="58"/>
      <c r="N590" s="58" t="s">
        <v>322</v>
      </c>
      <c r="O590" s="58"/>
      <c r="P590" s="63"/>
      <c r="Q590" s="63"/>
    </row>
    <row r="591" spans="2:17" ht="20.25" customHeight="1" x14ac:dyDescent="0.3">
      <c r="B591" s="59" t="s">
        <v>757</v>
      </c>
      <c r="C591" s="59" t="s">
        <v>108</v>
      </c>
      <c r="D591" s="62" t="str">
        <f t="shared" si="13"/>
        <v>FORDRanger</v>
      </c>
      <c r="E591" s="59" t="s">
        <v>768</v>
      </c>
      <c r="F591" s="60">
        <v>63500000</v>
      </c>
      <c r="G591" s="60">
        <v>1996</v>
      </c>
      <c r="H591" s="58" t="s">
        <v>250</v>
      </c>
      <c r="I591" s="58" t="s">
        <v>769</v>
      </c>
      <c r="J591" s="58" t="s">
        <v>1610</v>
      </c>
      <c r="K591" s="58"/>
      <c r="L591" s="58" t="s">
        <v>331</v>
      </c>
      <c r="M591" s="58"/>
      <c r="N591" s="58" t="s">
        <v>295</v>
      </c>
      <c r="O591" s="58"/>
      <c r="P591" s="63"/>
      <c r="Q591" s="63"/>
    </row>
    <row r="592" spans="2:17" ht="20.25" customHeight="1" x14ac:dyDescent="0.3">
      <c r="B592" s="59" t="s">
        <v>757</v>
      </c>
      <c r="C592" s="59" t="s">
        <v>108</v>
      </c>
      <c r="D592" s="62" t="str">
        <f t="shared" si="13"/>
        <v>FORDRanger</v>
      </c>
      <c r="E592" s="59" t="s">
        <v>770</v>
      </c>
      <c r="F592" s="60">
        <v>79900000</v>
      </c>
      <c r="G592" s="60">
        <v>1996</v>
      </c>
      <c r="H592" s="58" t="s">
        <v>250</v>
      </c>
      <c r="I592" s="58" t="s">
        <v>769</v>
      </c>
      <c r="J592" s="58" t="s">
        <v>1610</v>
      </c>
      <c r="K592" s="58"/>
      <c r="L592" s="58" t="s">
        <v>331</v>
      </c>
      <c r="M592" s="58"/>
      <c r="N592" s="58" t="s">
        <v>295</v>
      </c>
      <c r="O592" s="58"/>
      <c r="P592" s="63"/>
      <c r="Q592" s="63"/>
    </row>
    <row r="593" spans="2:17" ht="20.25" customHeight="1" x14ac:dyDescent="0.3">
      <c r="B593" s="59" t="s">
        <v>757</v>
      </c>
      <c r="C593" s="59" t="s">
        <v>102</v>
      </c>
      <c r="D593" s="62" t="str">
        <f t="shared" si="13"/>
        <v>FORDMKZ</v>
      </c>
      <c r="E593" s="59" t="s">
        <v>771</v>
      </c>
      <c r="F593" s="60">
        <v>57150000</v>
      </c>
      <c r="G593" s="60">
        <v>1999</v>
      </c>
      <c r="H593" s="58" t="s">
        <v>241</v>
      </c>
      <c r="I593" s="58" t="s">
        <v>242</v>
      </c>
      <c r="J593" s="58"/>
      <c r="K593" s="58"/>
      <c r="L593" s="58" t="s">
        <v>248</v>
      </c>
      <c r="M593" s="58"/>
      <c r="N593" s="58" t="s">
        <v>242</v>
      </c>
      <c r="O593" s="58"/>
      <c r="P593" s="63"/>
      <c r="Q593" s="63"/>
    </row>
    <row r="594" spans="2:17" ht="20.25" customHeight="1" x14ac:dyDescent="0.3">
      <c r="B594" s="59" t="s">
        <v>757</v>
      </c>
      <c r="C594" s="59" t="s">
        <v>102</v>
      </c>
      <c r="D594" s="62" t="str">
        <f t="shared" si="13"/>
        <v>FORDMKZ</v>
      </c>
      <c r="E594" s="59" t="s">
        <v>772</v>
      </c>
      <c r="F594" s="60">
        <v>56820000</v>
      </c>
      <c r="G594" s="60">
        <v>1999</v>
      </c>
      <c r="H594" s="58" t="s">
        <v>241</v>
      </c>
      <c r="I594" s="58" t="s">
        <v>242</v>
      </c>
      <c r="J594" s="58"/>
      <c r="K594" s="58"/>
      <c r="L594" s="58" t="s">
        <v>248</v>
      </c>
      <c r="M594" s="58"/>
      <c r="N594" s="58" t="s">
        <v>242</v>
      </c>
      <c r="O594" s="58"/>
      <c r="P594" s="63"/>
      <c r="Q594" s="63"/>
    </row>
    <row r="595" spans="2:17" ht="20.25" customHeight="1" x14ac:dyDescent="0.3">
      <c r="B595" s="59" t="s">
        <v>757</v>
      </c>
      <c r="C595" s="59" t="s">
        <v>103</v>
      </c>
      <c r="D595" s="62" t="str">
        <f t="shared" si="13"/>
        <v>FORDContinental</v>
      </c>
      <c r="E595" s="59" t="s">
        <v>774</v>
      </c>
      <c r="F595" s="60">
        <v>81400000</v>
      </c>
      <c r="G595" s="60">
        <v>2956</v>
      </c>
      <c r="H595" s="58" t="s">
        <v>241</v>
      </c>
      <c r="I595" s="58" t="s">
        <v>242</v>
      </c>
      <c r="J595" s="58" t="s">
        <v>1614</v>
      </c>
      <c r="K595" s="58"/>
      <c r="L595" s="58" t="s">
        <v>248</v>
      </c>
      <c r="M595" s="58"/>
      <c r="N595" s="58" t="s">
        <v>242</v>
      </c>
      <c r="O595" s="58"/>
      <c r="P595" s="63"/>
      <c r="Q595" s="63"/>
    </row>
    <row r="596" spans="2:17" ht="20.25" customHeight="1" x14ac:dyDescent="0.3">
      <c r="B596" s="59" t="s">
        <v>757</v>
      </c>
      <c r="C596" s="59" t="s">
        <v>103</v>
      </c>
      <c r="D596" s="62" t="str">
        <f t="shared" si="13"/>
        <v>FORDContinental</v>
      </c>
      <c r="E596" s="59" t="s">
        <v>775</v>
      </c>
      <c r="F596" s="60">
        <v>88200000</v>
      </c>
      <c r="G596" s="60">
        <v>2956</v>
      </c>
      <c r="H596" s="58" t="s">
        <v>241</v>
      </c>
      <c r="I596" s="58" t="s">
        <v>242</v>
      </c>
      <c r="J596" s="58" t="s">
        <v>1614</v>
      </c>
      <c r="K596" s="58"/>
      <c r="L596" s="58" t="s">
        <v>248</v>
      </c>
      <c r="M596" s="58"/>
      <c r="N596" s="58" t="s">
        <v>242</v>
      </c>
      <c r="O596" s="58"/>
      <c r="P596" s="63"/>
      <c r="Q596" s="63"/>
    </row>
    <row r="597" spans="2:17" ht="20.25" customHeight="1" x14ac:dyDescent="0.3">
      <c r="B597" s="59" t="s">
        <v>757</v>
      </c>
      <c r="C597" s="59" t="s">
        <v>104</v>
      </c>
      <c r="D597" s="62" t="str">
        <f t="shared" si="13"/>
        <v>FORDNavigator</v>
      </c>
      <c r="E597" s="59" t="s">
        <v>776</v>
      </c>
      <c r="F597" s="60">
        <v>124600000</v>
      </c>
      <c r="G597" s="60">
        <v>3496</v>
      </c>
      <c r="H597" s="58" t="s">
        <v>241</v>
      </c>
      <c r="I597" s="58" t="s">
        <v>322</v>
      </c>
      <c r="J597" s="58" t="s">
        <v>1613</v>
      </c>
      <c r="K597" s="58"/>
      <c r="L597" s="58" t="s">
        <v>331</v>
      </c>
      <c r="M597" s="58"/>
      <c r="N597" s="58" t="s">
        <v>322</v>
      </c>
      <c r="O597" s="58"/>
      <c r="P597" s="63"/>
      <c r="Q597" s="63"/>
    </row>
    <row r="598" spans="2:17" ht="20.25" customHeight="1" x14ac:dyDescent="0.3">
      <c r="B598" s="59" t="s">
        <v>757</v>
      </c>
      <c r="C598" s="59" t="s">
        <v>105</v>
      </c>
      <c r="D598" s="62" t="str">
        <f t="shared" si="13"/>
        <v>FORDMondeo</v>
      </c>
      <c r="E598" s="59" t="s">
        <v>777</v>
      </c>
      <c r="F598" s="60">
        <v>42400000</v>
      </c>
      <c r="G598" s="60">
        <v>1995</v>
      </c>
      <c r="H598" s="58" t="s">
        <v>250</v>
      </c>
      <c r="I598" s="58" t="s">
        <v>242</v>
      </c>
      <c r="J598" s="58"/>
      <c r="K598" s="58"/>
      <c r="L598" s="58" t="s">
        <v>248</v>
      </c>
      <c r="M598" s="58"/>
      <c r="N598" s="58" t="s">
        <v>242</v>
      </c>
      <c r="O598" s="58"/>
      <c r="P598" s="63"/>
      <c r="Q598" s="63"/>
    </row>
    <row r="599" spans="2:17" ht="20.25" customHeight="1" x14ac:dyDescent="0.3">
      <c r="B599" s="59" t="s">
        <v>757</v>
      </c>
      <c r="C599" s="59" t="s">
        <v>106</v>
      </c>
      <c r="D599" s="62" t="str">
        <f t="shared" si="13"/>
        <v>FORDNautilus</v>
      </c>
      <c r="E599" s="59" t="s">
        <v>778</v>
      </c>
      <c r="F599" s="60">
        <v>60400000</v>
      </c>
      <c r="G599" s="60">
        <v>2694</v>
      </c>
      <c r="H599" s="58" t="s">
        <v>241</v>
      </c>
      <c r="I599" s="58" t="s">
        <v>295</v>
      </c>
      <c r="J599" s="58" t="s">
        <v>1613</v>
      </c>
      <c r="K599" s="58"/>
      <c r="L599" s="58" t="s">
        <v>248</v>
      </c>
      <c r="M599" s="58"/>
      <c r="N599" s="58" t="s">
        <v>295</v>
      </c>
      <c r="O599" s="58"/>
      <c r="P599" s="63"/>
      <c r="Q599" s="63"/>
    </row>
    <row r="600" spans="2:17" ht="20.25" customHeight="1" x14ac:dyDescent="0.3">
      <c r="B600" s="59" t="s">
        <v>757</v>
      </c>
      <c r="C600" s="59" t="s">
        <v>106</v>
      </c>
      <c r="D600" s="62" t="str">
        <f t="shared" si="13"/>
        <v>FORDNautilus</v>
      </c>
      <c r="E600" s="59" t="s">
        <v>779</v>
      </c>
      <c r="F600" s="60">
        <v>73600000</v>
      </c>
      <c r="G600" s="60">
        <v>2694</v>
      </c>
      <c r="H600" s="58" t="s">
        <v>241</v>
      </c>
      <c r="I600" s="58" t="s">
        <v>295</v>
      </c>
      <c r="J600" s="58" t="s">
        <v>1613</v>
      </c>
      <c r="K600" s="58"/>
      <c r="L600" s="58" t="s">
        <v>248</v>
      </c>
      <c r="M600" s="58"/>
      <c r="N600" s="58" t="s">
        <v>295</v>
      </c>
      <c r="O600" s="58"/>
      <c r="P600" s="63"/>
      <c r="Q600" s="63"/>
    </row>
    <row r="601" spans="2:17" ht="20.25" customHeight="1" x14ac:dyDescent="0.3">
      <c r="B601" s="59" t="s">
        <v>757</v>
      </c>
      <c r="C601" s="59" t="s">
        <v>107</v>
      </c>
      <c r="D601" s="62" t="str">
        <f t="shared" si="13"/>
        <v>FORDAviator</v>
      </c>
      <c r="E601" s="59" t="s">
        <v>780</v>
      </c>
      <c r="F601" s="60">
        <v>91450000</v>
      </c>
      <c r="G601" s="60">
        <v>2956</v>
      </c>
      <c r="H601" s="58" t="s">
        <v>241</v>
      </c>
      <c r="I601" s="58" t="s">
        <v>322</v>
      </c>
      <c r="J601" s="58" t="s">
        <v>1612</v>
      </c>
      <c r="K601" s="58"/>
      <c r="L601" s="58" t="s">
        <v>246</v>
      </c>
      <c r="M601" s="58"/>
      <c r="N601" s="58" t="s">
        <v>322</v>
      </c>
      <c r="O601" s="58"/>
      <c r="P601" s="63"/>
      <c r="Q601" s="63"/>
    </row>
    <row r="602" spans="2:17" ht="20.25" customHeight="1" x14ac:dyDescent="0.3">
      <c r="B602" s="59" t="s">
        <v>757</v>
      </c>
      <c r="C602" s="59" t="s">
        <v>107</v>
      </c>
      <c r="D602" s="62" t="str">
        <f t="shared" si="13"/>
        <v>FORDAviator</v>
      </c>
      <c r="E602" s="59" t="s">
        <v>781</v>
      </c>
      <c r="F602" s="60">
        <v>94650000</v>
      </c>
      <c r="G602" s="60">
        <v>2956</v>
      </c>
      <c r="H602" s="58" t="s">
        <v>241</v>
      </c>
      <c r="I602" s="58" t="s">
        <v>322</v>
      </c>
      <c r="J602" s="58" t="s">
        <v>1612</v>
      </c>
      <c r="K602" s="58"/>
      <c r="L602" s="58" t="s">
        <v>246</v>
      </c>
      <c r="M602" s="58"/>
      <c r="N602" s="58" t="s">
        <v>322</v>
      </c>
      <c r="O602" s="58"/>
      <c r="P602" s="63"/>
      <c r="Q602" s="63"/>
    </row>
    <row r="603" spans="2:17" ht="20.25" customHeight="1" x14ac:dyDescent="0.3">
      <c r="B603" s="59" t="s">
        <v>757</v>
      </c>
      <c r="C603" s="59" t="s">
        <v>107</v>
      </c>
      <c r="D603" s="62" t="str">
        <f t="shared" si="13"/>
        <v>FORDAviator</v>
      </c>
      <c r="E603" s="59" t="s">
        <v>782</v>
      </c>
      <c r="F603" s="60">
        <v>105950000</v>
      </c>
      <c r="G603" s="60">
        <v>2956</v>
      </c>
      <c r="H603" s="58" t="s">
        <v>241</v>
      </c>
      <c r="I603" s="58" t="s">
        <v>322</v>
      </c>
      <c r="J603" s="58" t="s">
        <v>1612</v>
      </c>
      <c r="K603" s="58"/>
      <c r="L603" s="58" t="s">
        <v>246</v>
      </c>
      <c r="M603" s="58"/>
      <c r="N603" s="58" t="s">
        <v>322</v>
      </c>
      <c r="O603" s="58"/>
      <c r="P603" s="63"/>
      <c r="Q603" s="63"/>
    </row>
    <row r="604" spans="2:17" ht="20.25" customHeight="1" x14ac:dyDescent="0.3">
      <c r="B604" s="59" t="s">
        <v>757</v>
      </c>
      <c r="C604" s="59" t="s">
        <v>107</v>
      </c>
      <c r="D604" s="62" t="str">
        <f t="shared" si="13"/>
        <v>FORDAviator</v>
      </c>
      <c r="E604" s="59" t="s">
        <v>783</v>
      </c>
      <c r="F604" s="60">
        <v>102700000</v>
      </c>
      <c r="G604" s="60">
        <v>2956</v>
      </c>
      <c r="H604" s="58" t="s">
        <v>241</v>
      </c>
      <c r="I604" s="58" t="s">
        <v>322</v>
      </c>
      <c r="J604" s="58" t="s">
        <v>1612</v>
      </c>
      <c r="K604" s="58"/>
      <c r="L604" s="58" t="s">
        <v>246</v>
      </c>
      <c r="M604" s="58"/>
      <c r="N604" s="58" t="s">
        <v>322</v>
      </c>
      <c r="O604" s="58"/>
      <c r="P604" s="63"/>
      <c r="Q604" s="63"/>
    </row>
    <row r="605" spans="2:17" ht="20.25" customHeight="1" x14ac:dyDescent="0.3">
      <c r="B605" s="59"/>
      <c r="C605" s="59"/>
      <c r="D605" s="62"/>
      <c r="E605" s="59"/>
      <c r="F605" s="60"/>
      <c r="G605" s="60"/>
      <c r="H605" s="58"/>
      <c r="I605" s="58"/>
      <c r="J605" s="58"/>
      <c r="K605" s="58"/>
      <c r="L605" s="58"/>
      <c r="M605" s="58"/>
      <c r="N605" s="58"/>
      <c r="O605" s="58"/>
      <c r="P605" s="63"/>
      <c r="Q605" s="63"/>
    </row>
    <row r="606" spans="2:17" ht="20.25" customHeight="1" x14ac:dyDescent="0.3">
      <c r="B606" s="59"/>
      <c r="C606" s="59"/>
      <c r="D606" s="62"/>
      <c r="E606" s="59"/>
      <c r="F606" s="60"/>
      <c r="G606" s="60"/>
      <c r="H606" s="58"/>
      <c r="I606" s="58"/>
      <c r="J606" s="58"/>
      <c r="K606" s="58"/>
      <c r="L606" s="58"/>
      <c r="M606" s="58"/>
      <c r="N606" s="58"/>
      <c r="O606" s="58"/>
      <c r="P606" s="63"/>
      <c r="Q606" s="63"/>
    </row>
    <row r="607" spans="2:17" ht="20.25" customHeight="1" x14ac:dyDescent="0.3">
      <c r="B607" s="59"/>
      <c r="C607" s="59"/>
      <c r="D607" s="62"/>
      <c r="E607" s="59"/>
      <c r="F607" s="60"/>
      <c r="G607" s="60"/>
      <c r="H607" s="58"/>
      <c r="I607" s="58"/>
      <c r="J607" s="58"/>
      <c r="K607" s="58"/>
      <c r="L607" s="58"/>
      <c r="M607" s="58"/>
      <c r="N607" s="58"/>
      <c r="O607" s="58"/>
      <c r="P607" s="63"/>
      <c r="Q607" s="63"/>
    </row>
    <row r="608" spans="2:17" ht="20.25" customHeight="1" x14ac:dyDescent="0.3">
      <c r="B608" s="59"/>
      <c r="C608" s="59"/>
      <c r="D608" s="62"/>
      <c r="E608" s="59"/>
      <c r="F608" s="60"/>
      <c r="G608" s="60"/>
      <c r="H608" s="58"/>
      <c r="I608" s="58"/>
      <c r="J608" s="58"/>
      <c r="K608" s="58"/>
      <c r="L608" s="58"/>
      <c r="M608" s="58"/>
      <c r="N608" s="58"/>
      <c r="O608" s="58"/>
      <c r="P608" s="63"/>
      <c r="Q608" s="63"/>
    </row>
    <row r="609" spans="2:17" ht="20.25" customHeight="1" x14ac:dyDescent="0.3">
      <c r="B609" s="59"/>
      <c r="C609" s="59"/>
      <c r="D609" s="62"/>
      <c r="E609" s="59"/>
      <c r="F609" s="60"/>
      <c r="G609" s="60"/>
      <c r="H609" s="58"/>
      <c r="I609" s="58"/>
      <c r="J609" s="58"/>
      <c r="K609" s="58"/>
      <c r="L609" s="58"/>
      <c r="M609" s="58"/>
      <c r="N609" s="58"/>
      <c r="O609" s="58"/>
      <c r="P609" s="63"/>
      <c r="Q609" s="63"/>
    </row>
    <row r="610" spans="2:17" ht="20.25" customHeight="1" x14ac:dyDescent="0.3">
      <c r="B610" s="59"/>
      <c r="C610" s="59"/>
      <c r="D610" s="62" t="str">
        <f t="shared" ref="D610:D659" si="14">+B610&amp;C610</f>
        <v/>
      </c>
      <c r="E610" s="59"/>
      <c r="F610" s="60"/>
      <c r="G610" s="60"/>
      <c r="H610" s="58"/>
      <c r="I610" s="58"/>
      <c r="J610" s="58"/>
      <c r="K610" s="58"/>
      <c r="L610" s="58"/>
      <c r="M610" s="58"/>
      <c r="N610" s="58"/>
      <c r="O610" s="58"/>
      <c r="P610" s="63"/>
      <c r="Q610" s="63"/>
    </row>
    <row r="611" spans="2:17" ht="20.25" customHeight="1" x14ac:dyDescent="0.3">
      <c r="B611" s="59" t="s">
        <v>784</v>
      </c>
      <c r="C611" s="59" t="s">
        <v>109</v>
      </c>
      <c r="D611" s="62" t="str">
        <f t="shared" si="14"/>
        <v>HONDAAccord</v>
      </c>
      <c r="E611" s="59" t="s">
        <v>785</v>
      </c>
      <c r="F611" s="60">
        <v>46500000</v>
      </c>
      <c r="G611" s="60">
        <v>1993</v>
      </c>
      <c r="H611" s="58" t="s">
        <v>241</v>
      </c>
      <c r="I611" s="58" t="s">
        <v>242</v>
      </c>
      <c r="J611" s="58" t="s">
        <v>1611</v>
      </c>
      <c r="K611" s="58"/>
      <c r="L611" s="58" t="s">
        <v>86</v>
      </c>
      <c r="M611" s="58"/>
      <c r="N611" s="58" t="s">
        <v>242</v>
      </c>
      <c r="O611" s="58"/>
      <c r="P611" s="63"/>
      <c r="Q611" s="63"/>
    </row>
    <row r="612" spans="2:17" ht="20.25" customHeight="1" x14ac:dyDescent="0.3">
      <c r="B612" s="59" t="s">
        <v>784</v>
      </c>
      <c r="C612" s="59" t="s">
        <v>109</v>
      </c>
      <c r="D612" s="62" t="str">
        <f t="shared" si="14"/>
        <v>HONDAAccord</v>
      </c>
      <c r="E612" s="59" t="s">
        <v>786</v>
      </c>
      <c r="F612" s="60">
        <v>37900000</v>
      </c>
      <c r="G612" s="60">
        <v>1498</v>
      </c>
      <c r="H612" s="58" t="s">
        <v>241</v>
      </c>
      <c r="I612" s="58" t="s">
        <v>242</v>
      </c>
      <c r="J612" s="58" t="s">
        <v>1611</v>
      </c>
      <c r="K612" s="58"/>
      <c r="L612" s="58" t="s">
        <v>86</v>
      </c>
      <c r="M612" s="58"/>
      <c r="N612" s="58" t="s">
        <v>242</v>
      </c>
      <c r="O612" s="58"/>
      <c r="P612" s="63"/>
      <c r="Q612" s="63"/>
    </row>
    <row r="613" spans="2:17" ht="20.25" customHeight="1" x14ac:dyDescent="0.3">
      <c r="B613" s="59" t="s">
        <v>784</v>
      </c>
      <c r="C613" s="59" t="s">
        <v>109</v>
      </c>
      <c r="D613" s="62" t="str">
        <f t="shared" si="14"/>
        <v>HONDAAccord</v>
      </c>
      <c r="E613" s="59" t="s">
        <v>787</v>
      </c>
      <c r="F613" s="60">
        <v>42300000</v>
      </c>
      <c r="G613" s="60">
        <v>1996</v>
      </c>
      <c r="H613" s="58" t="s">
        <v>241</v>
      </c>
      <c r="I613" s="58" t="s">
        <v>242</v>
      </c>
      <c r="J613" s="58" t="s">
        <v>1611</v>
      </c>
      <c r="K613" s="58"/>
      <c r="L613" s="58" t="s">
        <v>86</v>
      </c>
      <c r="M613" s="58"/>
      <c r="N613" s="58" t="s">
        <v>242</v>
      </c>
      <c r="O613" s="58"/>
      <c r="P613" s="63"/>
      <c r="Q613" s="63"/>
    </row>
    <row r="614" spans="2:17" ht="20.25" customHeight="1" x14ac:dyDescent="0.3">
      <c r="B614" s="59" t="s">
        <v>784</v>
      </c>
      <c r="C614" s="59" t="s">
        <v>110</v>
      </c>
      <c r="D614" s="62" t="str">
        <f t="shared" si="14"/>
        <v xml:space="preserve">HONDACivic </v>
      </c>
      <c r="E614" s="59" t="s">
        <v>788</v>
      </c>
      <c r="F614" s="60">
        <v>32900000</v>
      </c>
      <c r="G614" s="60">
        <v>1498</v>
      </c>
      <c r="H614" s="58" t="s">
        <v>241</v>
      </c>
      <c r="I614" s="58" t="s">
        <v>242</v>
      </c>
      <c r="J614" s="58" t="s">
        <v>1611</v>
      </c>
      <c r="K614" s="58"/>
      <c r="L614" s="58" t="s">
        <v>286</v>
      </c>
      <c r="M614" s="58"/>
      <c r="N614" s="58" t="s">
        <v>242</v>
      </c>
      <c r="O614" s="58"/>
      <c r="P614" s="63"/>
      <c r="Q614" s="63"/>
    </row>
    <row r="615" spans="2:17" ht="20.25" customHeight="1" x14ac:dyDescent="0.3">
      <c r="B615" s="59" t="s">
        <v>784</v>
      </c>
      <c r="C615" s="59" t="s">
        <v>111</v>
      </c>
      <c r="D615" s="62" t="str">
        <f t="shared" si="14"/>
        <v>HONDACR_V</v>
      </c>
      <c r="E615" s="59" t="s">
        <v>789</v>
      </c>
      <c r="F615" s="60">
        <v>39000000</v>
      </c>
      <c r="G615" s="60">
        <v>1498</v>
      </c>
      <c r="H615" s="58" t="s">
        <v>241</v>
      </c>
      <c r="I615" s="58" t="s">
        <v>295</v>
      </c>
      <c r="J615" s="58" t="s">
        <v>1611</v>
      </c>
      <c r="K615" s="58"/>
      <c r="L615" s="58" t="s">
        <v>246</v>
      </c>
      <c r="M615" s="58"/>
      <c r="N615" s="58" t="s">
        <v>295</v>
      </c>
      <c r="O615" s="58"/>
      <c r="P615" s="63"/>
      <c r="Q615" s="63"/>
    </row>
    <row r="616" spans="2:17" ht="20.25" customHeight="1" x14ac:dyDescent="0.3">
      <c r="B616" s="59" t="s">
        <v>784</v>
      </c>
      <c r="C616" s="59" t="s">
        <v>111</v>
      </c>
      <c r="D616" s="62" t="str">
        <f t="shared" si="14"/>
        <v>HONDACR_V</v>
      </c>
      <c r="E616" s="59" t="s">
        <v>790</v>
      </c>
      <c r="F616" s="60">
        <v>48500000</v>
      </c>
      <c r="G616" s="60">
        <v>1993</v>
      </c>
      <c r="H616" s="58" t="s">
        <v>241</v>
      </c>
      <c r="I616" s="58" t="s">
        <v>242</v>
      </c>
      <c r="J616" s="58" t="s">
        <v>1611</v>
      </c>
      <c r="K616" s="58"/>
      <c r="L616" s="58" t="s">
        <v>246</v>
      </c>
      <c r="M616" s="58"/>
      <c r="N616" s="58" t="s">
        <v>295</v>
      </c>
      <c r="O616" s="58"/>
      <c r="P616" s="63"/>
      <c r="Q616" s="63"/>
    </row>
    <row r="617" spans="2:17" ht="20.25" customHeight="1" x14ac:dyDescent="0.3">
      <c r="B617" s="59" t="s">
        <v>784</v>
      </c>
      <c r="C617" s="59" t="s">
        <v>111</v>
      </c>
      <c r="D617" s="62" t="str">
        <f t="shared" si="14"/>
        <v>HONDACR_V</v>
      </c>
      <c r="E617" s="59" t="s">
        <v>791</v>
      </c>
      <c r="F617" s="60">
        <v>45100000</v>
      </c>
      <c r="G617" s="60">
        <v>1993</v>
      </c>
      <c r="H617" s="58" t="s">
        <v>241</v>
      </c>
      <c r="I617" s="58" t="s">
        <v>295</v>
      </c>
      <c r="J617" s="58" t="s">
        <v>1611</v>
      </c>
      <c r="K617" s="58"/>
      <c r="L617" s="58" t="s">
        <v>246</v>
      </c>
      <c r="M617" s="58"/>
      <c r="N617" s="58" t="s">
        <v>295</v>
      </c>
      <c r="O617" s="58"/>
      <c r="P617" s="63"/>
      <c r="Q617" s="63"/>
    </row>
    <row r="618" spans="2:17" ht="20.25" customHeight="1" x14ac:dyDescent="0.3">
      <c r="B618" s="59" t="s">
        <v>784</v>
      </c>
      <c r="C618" s="59" t="s">
        <v>112</v>
      </c>
      <c r="D618" s="62" t="str">
        <f t="shared" si="14"/>
        <v>HONDAHR_V</v>
      </c>
      <c r="E618" s="59" t="s">
        <v>792</v>
      </c>
      <c r="F618" s="60">
        <v>31900000</v>
      </c>
      <c r="G618" s="60">
        <v>1799</v>
      </c>
      <c r="H618" s="58" t="s">
        <v>241</v>
      </c>
      <c r="I618" s="58" t="s">
        <v>295</v>
      </c>
      <c r="J618" s="58" t="s">
        <v>1611</v>
      </c>
      <c r="K618" s="58"/>
      <c r="L618" s="58" t="s">
        <v>286</v>
      </c>
      <c r="M618" s="58"/>
      <c r="N618" s="58" t="s">
        <v>295</v>
      </c>
      <c r="O618" s="58"/>
      <c r="P618" s="63"/>
      <c r="Q618" s="63"/>
    </row>
    <row r="619" spans="2:17" ht="20.25" customHeight="1" x14ac:dyDescent="0.3">
      <c r="B619" s="59" t="s">
        <v>784</v>
      </c>
      <c r="C619" s="59" t="s">
        <v>113</v>
      </c>
      <c r="D619" s="62" t="str">
        <f t="shared" si="14"/>
        <v>HONDAOdyssey</v>
      </c>
      <c r="E619" s="59" t="s">
        <v>793</v>
      </c>
      <c r="F619" s="60">
        <v>59700000</v>
      </c>
      <c r="G619" s="60">
        <v>3471</v>
      </c>
      <c r="H619" s="58" t="s">
        <v>241</v>
      </c>
      <c r="I619" s="58" t="s">
        <v>322</v>
      </c>
      <c r="J619" s="58" t="s">
        <v>1613</v>
      </c>
      <c r="K619" s="58"/>
      <c r="L619" s="58" t="s">
        <v>286</v>
      </c>
      <c r="M619" s="58"/>
      <c r="N619" s="58" t="s">
        <v>322</v>
      </c>
      <c r="O619" s="58"/>
      <c r="P619" s="63"/>
      <c r="Q619" s="63"/>
    </row>
    <row r="620" spans="2:17" ht="20.25" customHeight="1" x14ac:dyDescent="0.3">
      <c r="B620" s="59" t="s">
        <v>784</v>
      </c>
      <c r="C620" s="59" t="s">
        <v>114</v>
      </c>
      <c r="D620" s="62" t="str">
        <f t="shared" si="14"/>
        <v>HONDAPilot</v>
      </c>
      <c r="E620" s="59" t="s">
        <v>794</v>
      </c>
      <c r="F620" s="60">
        <v>55700000</v>
      </c>
      <c r="G620" s="60">
        <v>3471</v>
      </c>
      <c r="H620" s="58" t="s">
        <v>241</v>
      </c>
      <c r="I620" s="58" t="s">
        <v>322</v>
      </c>
      <c r="J620" s="58" t="s">
        <v>1613</v>
      </c>
      <c r="K620" s="58"/>
      <c r="L620" s="58" t="s">
        <v>286</v>
      </c>
      <c r="M620" s="58"/>
      <c r="N620" s="58" t="s">
        <v>322</v>
      </c>
      <c r="O620" s="58"/>
      <c r="P620" s="63"/>
      <c r="Q620" s="63"/>
    </row>
    <row r="621" spans="2:17" ht="20.25" customHeight="1" x14ac:dyDescent="0.3">
      <c r="B621" s="59" t="s">
        <v>784</v>
      </c>
      <c r="C621" s="59" t="s">
        <v>114</v>
      </c>
      <c r="D621" s="62" t="str">
        <f t="shared" si="14"/>
        <v>HONDAPilot</v>
      </c>
      <c r="E621" s="59" t="s">
        <v>795</v>
      </c>
      <c r="F621" s="60">
        <v>60500000</v>
      </c>
      <c r="G621" s="60">
        <v>3471</v>
      </c>
      <c r="H621" s="58" t="s">
        <v>241</v>
      </c>
      <c r="I621" s="58" t="s">
        <v>322</v>
      </c>
      <c r="J621" s="58" t="s">
        <v>1613</v>
      </c>
      <c r="K621" s="58"/>
      <c r="L621" s="58" t="s">
        <v>286</v>
      </c>
      <c r="M621" s="58"/>
      <c r="N621" s="58" t="s">
        <v>322</v>
      </c>
      <c r="O621" s="58"/>
      <c r="P621" s="63"/>
      <c r="Q621" s="63"/>
    </row>
    <row r="622" spans="2:17" ht="20.25" customHeight="1" x14ac:dyDescent="0.3">
      <c r="B622" s="59"/>
      <c r="C622" s="59"/>
      <c r="D622" s="62"/>
      <c r="E622" s="59"/>
      <c r="F622" s="60"/>
      <c r="G622" s="60"/>
      <c r="H622" s="58"/>
      <c r="I622" s="58"/>
      <c r="J622" s="58"/>
      <c r="K622" s="58"/>
      <c r="L622" s="58"/>
      <c r="M622" s="58"/>
      <c r="N622" s="58"/>
      <c r="O622" s="58"/>
      <c r="P622" s="63"/>
      <c r="Q622" s="63"/>
    </row>
    <row r="623" spans="2:17" ht="20.25" customHeight="1" x14ac:dyDescent="0.3">
      <c r="B623" s="59"/>
      <c r="C623" s="59"/>
      <c r="D623" s="62"/>
      <c r="E623" s="59"/>
      <c r="F623" s="60"/>
      <c r="G623" s="60"/>
      <c r="H623" s="58"/>
      <c r="I623" s="58"/>
      <c r="J623" s="58"/>
      <c r="K623" s="58"/>
      <c r="L623" s="58"/>
      <c r="M623" s="58"/>
      <c r="N623" s="58"/>
      <c r="O623" s="58"/>
      <c r="P623" s="63"/>
      <c r="Q623" s="63"/>
    </row>
    <row r="624" spans="2:17" ht="20.25" customHeight="1" x14ac:dyDescent="0.3">
      <c r="B624" s="59"/>
      <c r="C624" s="59"/>
      <c r="D624" s="62"/>
      <c r="E624" s="59"/>
      <c r="F624" s="60"/>
      <c r="G624" s="60"/>
      <c r="H624" s="58"/>
      <c r="I624" s="58"/>
      <c r="J624" s="58"/>
      <c r="K624" s="58"/>
      <c r="L624" s="58"/>
      <c r="M624" s="58"/>
      <c r="N624" s="58"/>
      <c r="O624" s="58"/>
      <c r="P624" s="63"/>
      <c r="Q624" s="63"/>
    </row>
    <row r="625" spans="2:17" ht="20.25" customHeight="1" x14ac:dyDescent="0.3">
      <c r="B625" s="59"/>
      <c r="C625" s="59"/>
      <c r="D625" s="62" t="str">
        <f t="shared" si="14"/>
        <v/>
      </c>
      <c r="E625" s="59"/>
      <c r="F625" s="60"/>
      <c r="G625" s="60"/>
      <c r="H625" s="58"/>
      <c r="I625" s="58"/>
      <c r="J625" s="58"/>
      <c r="K625" s="58"/>
      <c r="L625" s="58"/>
      <c r="M625" s="58"/>
      <c r="N625" s="58"/>
      <c r="O625" s="58"/>
      <c r="P625" s="63"/>
      <c r="Q625" s="63"/>
    </row>
    <row r="626" spans="2:17" ht="20.25" customHeight="1" x14ac:dyDescent="0.3">
      <c r="B626" s="59" t="s">
        <v>796</v>
      </c>
      <c r="C626" s="59" t="s">
        <v>115</v>
      </c>
      <c r="D626" s="62" t="str">
        <f t="shared" si="14"/>
        <v xml:space="preserve">JAGUARE_Pace </v>
      </c>
      <c r="E626" s="59" t="s">
        <v>797</v>
      </c>
      <c r="F626" s="60">
        <v>55500000</v>
      </c>
      <c r="G626" s="60">
        <v>1998</v>
      </c>
      <c r="H626" s="58" t="s">
        <v>250</v>
      </c>
      <c r="I626" s="58" t="s">
        <v>295</v>
      </c>
      <c r="J626" s="58"/>
      <c r="K626" s="58"/>
      <c r="L626" s="58"/>
      <c r="M626" s="58"/>
      <c r="N626" s="58" t="s">
        <v>295</v>
      </c>
      <c r="O626" s="58"/>
      <c r="P626" s="63"/>
      <c r="Q626" s="63"/>
    </row>
    <row r="627" spans="2:17" ht="20.25" customHeight="1" x14ac:dyDescent="0.3">
      <c r="B627" s="59" t="s">
        <v>796</v>
      </c>
      <c r="C627" s="59" t="s">
        <v>115</v>
      </c>
      <c r="D627" s="62" t="str">
        <f t="shared" si="14"/>
        <v xml:space="preserve">JAGUARE_Pace </v>
      </c>
      <c r="E627" s="59" t="s">
        <v>798</v>
      </c>
      <c r="F627" s="60">
        <v>60100000</v>
      </c>
      <c r="G627" s="60">
        <v>1998</v>
      </c>
      <c r="H627" s="58" t="s">
        <v>250</v>
      </c>
      <c r="I627" s="58" t="s">
        <v>295</v>
      </c>
      <c r="J627" s="58"/>
      <c r="K627" s="58"/>
      <c r="L627" s="58"/>
      <c r="M627" s="58"/>
      <c r="N627" s="58" t="s">
        <v>295</v>
      </c>
      <c r="O627" s="58"/>
      <c r="P627" s="63"/>
      <c r="Q627" s="63"/>
    </row>
    <row r="628" spans="2:17" ht="20.25" customHeight="1" x14ac:dyDescent="0.3">
      <c r="B628" s="59" t="s">
        <v>796</v>
      </c>
      <c r="C628" s="59" t="s">
        <v>115</v>
      </c>
      <c r="D628" s="62" t="str">
        <f t="shared" si="14"/>
        <v xml:space="preserve">JAGUARE_Pace </v>
      </c>
      <c r="E628" s="59" t="s">
        <v>799</v>
      </c>
      <c r="F628" s="60">
        <v>60700000</v>
      </c>
      <c r="G628" s="60">
        <v>1998</v>
      </c>
      <c r="H628" s="58" t="s">
        <v>250</v>
      </c>
      <c r="I628" s="58" t="s">
        <v>295</v>
      </c>
      <c r="J628" s="58"/>
      <c r="K628" s="58"/>
      <c r="L628" s="58"/>
      <c r="M628" s="58"/>
      <c r="N628" s="58" t="s">
        <v>295</v>
      </c>
      <c r="O628" s="58"/>
      <c r="P628" s="63"/>
      <c r="Q628" s="63"/>
    </row>
    <row r="629" spans="2:17" ht="20.25" customHeight="1" x14ac:dyDescent="0.3">
      <c r="B629" s="59" t="s">
        <v>796</v>
      </c>
      <c r="C629" s="59" t="s">
        <v>115</v>
      </c>
      <c r="D629" s="62" t="str">
        <f t="shared" si="14"/>
        <v xml:space="preserve">JAGUARE_Pace </v>
      </c>
      <c r="E629" s="59" t="s">
        <v>800</v>
      </c>
      <c r="F629" s="60">
        <v>60400000</v>
      </c>
      <c r="G629" s="60">
        <v>1998</v>
      </c>
      <c r="H629" s="58" t="s">
        <v>241</v>
      </c>
      <c r="I629" s="58" t="s">
        <v>295</v>
      </c>
      <c r="J629" s="58"/>
      <c r="K629" s="58"/>
      <c r="L629" s="58"/>
      <c r="M629" s="58"/>
      <c r="N629" s="58" t="s">
        <v>295</v>
      </c>
      <c r="O629" s="58"/>
      <c r="P629" s="63"/>
      <c r="Q629" s="63"/>
    </row>
    <row r="630" spans="2:17" ht="20.25" customHeight="1" x14ac:dyDescent="0.3">
      <c r="B630" s="59" t="s">
        <v>796</v>
      </c>
      <c r="C630" s="59" t="s">
        <v>115</v>
      </c>
      <c r="D630" s="62" t="str">
        <f t="shared" si="14"/>
        <v xml:space="preserve">JAGUARE_Pace </v>
      </c>
      <c r="E630" s="59" t="s">
        <v>801</v>
      </c>
      <c r="F630" s="60">
        <v>61100000</v>
      </c>
      <c r="G630" s="60">
        <v>1998</v>
      </c>
      <c r="H630" s="58" t="s">
        <v>241</v>
      </c>
      <c r="I630" s="58" t="s">
        <v>295</v>
      </c>
      <c r="J630" s="58"/>
      <c r="K630" s="58"/>
      <c r="L630" s="58"/>
      <c r="M630" s="58"/>
      <c r="N630" s="58" t="s">
        <v>295</v>
      </c>
      <c r="O630" s="58"/>
      <c r="P630" s="63"/>
      <c r="Q630" s="63"/>
    </row>
    <row r="631" spans="2:17" ht="20.25" customHeight="1" x14ac:dyDescent="0.3">
      <c r="B631" s="59" t="s">
        <v>796</v>
      </c>
      <c r="C631" s="59" t="s">
        <v>115</v>
      </c>
      <c r="D631" s="62" t="str">
        <f t="shared" si="14"/>
        <v xml:space="preserve">JAGUARE_Pace </v>
      </c>
      <c r="E631" s="59" t="s">
        <v>802</v>
      </c>
      <c r="F631" s="60">
        <v>64300000</v>
      </c>
      <c r="G631" s="60">
        <v>1998</v>
      </c>
      <c r="H631" s="58" t="s">
        <v>241</v>
      </c>
      <c r="I631" s="58" t="s">
        <v>295</v>
      </c>
      <c r="J631" s="58"/>
      <c r="K631" s="58"/>
      <c r="L631" s="58"/>
      <c r="M631" s="58"/>
      <c r="N631" s="58" t="s">
        <v>295</v>
      </c>
      <c r="O631" s="58"/>
      <c r="P631" s="63"/>
      <c r="Q631" s="63"/>
    </row>
    <row r="632" spans="2:17" ht="20.25" customHeight="1" x14ac:dyDescent="0.3">
      <c r="B632" s="59" t="s">
        <v>796</v>
      </c>
      <c r="C632" s="59" t="s">
        <v>116</v>
      </c>
      <c r="D632" s="62" t="str">
        <f t="shared" si="14"/>
        <v xml:space="preserve">JAGUARF_Pace </v>
      </c>
      <c r="E632" s="59" t="s">
        <v>803</v>
      </c>
      <c r="F632" s="60">
        <v>73500000</v>
      </c>
      <c r="G632" s="60">
        <v>1999</v>
      </c>
      <c r="H632" s="58" t="s">
        <v>250</v>
      </c>
      <c r="I632" s="58" t="s">
        <v>295</v>
      </c>
      <c r="J632" s="58"/>
      <c r="K632" s="58"/>
      <c r="L632" s="58" t="s">
        <v>331</v>
      </c>
      <c r="M632" s="58"/>
      <c r="N632" s="58" t="s">
        <v>295</v>
      </c>
      <c r="O632" s="58"/>
      <c r="P632" s="63"/>
      <c r="Q632" s="63"/>
    </row>
    <row r="633" spans="2:17" ht="20.25" customHeight="1" x14ac:dyDescent="0.3">
      <c r="B633" s="59" t="s">
        <v>796</v>
      </c>
      <c r="C633" s="59" t="s">
        <v>116</v>
      </c>
      <c r="D633" s="62" t="str">
        <f t="shared" si="14"/>
        <v xml:space="preserve">JAGUARF_Pace </v>
      </c>
      <c r="E633" s="59" t="s">
        <v>804</v>
      </c>
      <c r="F633" s="60">
        <v>79600000</v>
      </c>
      <c r="G633" s="60">
        <v>1999</v>
      </c>
      <c r="H633" s="58" t="s">
        <v>250</v>
      </c>
      <c r="I633" s="58" t="s">
        <v>295</v>
      </c>
      <c r="J633" s="58"/>
      <c r="K633" s="58"/>
      <c r="L633" s="58" t="s">
        <v>331</v>
      </c>
      <c r="M633" s="58"/>
      <c r="N633" s="58" t="s">
        <v>295</v>
      </c>
      <c r="O633" s="58"/>
      <c r="P633" s="63"/>
      <c r="Q633" s="63"/>
    </row>
    <row r="634" spans="2:17" ht="20.25" customHeight="1" x14ac:dyDescent="0.3">
      <c r="B634" s="59" t="s">
        <v>796</v>
      </c>
      <c r="C634" s="59" t="s">
        <v>116</v>
      </c>
      <c r="D634" s="62" t="str">
        <f t="shared" si="14"/>
        <v xml:space="preserve">JAGUARF_Pace </v>
      </c>
      <c r="E634" s="59" t="s">
        <v>805</v>
      </c>
      <c r="F634" s="60">
        <v>102800000</v>
      </c>
      <c r="G634" s="60">
        <v>2993</v>
      </c>
      <c r="H634" s="58" t="s">
        <v>250</v>
      </c>
      <c r="I634" s="58" t="s">
        <v>295</v>
      </c>
      <c r="J634" s="58"/>
      <c r="K634" s="58"/>
      <c r="L634" s="58"/>
      <c r="M634" s="58"/>
      <c r="N634" s="58" t="s">
        <v>295</v>
      </c>
      <c r="O634" s="58"/>
      <c r="P634" s="63"/>
      <c r="Q634" s="63"/>
    </row>
    <row r="635" spans="2:17" ht="20.25" customHeight="1" x14ac:dyDescent="0.3">
      <c r="B635" s="59" t="s">
        <v>796</v>
      </c>
      <c r="C635" s="59" t="s">
        <v>116</v>
      </c>
      <c r="D635" s="62" t="str">
        <f t="shared" si="14"/>
        <v xml:space="preserve">JAGUARF_Pace </v>
      </c>
      <c r="E635" s="59" t="s">
        <v>806</v>
      </c>
      <c r="F635" s="60">
        <v>77100000</v>
      </c>
      <c r="G635" s="60">
        <v>1997</v>
      </c>
      <c r="H635" s="58" t="s">
        <v>241</v>
      </c>
      <c r="I635" s="58" t="s">
        <v>295</v>
      </c>
      <c r="J635" s="58"/>
      <c r="K635" s="58"/>
      <c r="L635" s="58" t="s">
        <v>331</v>
      </c>
      <c r="M635" s="58"/>
      <c r="N635" s="58" t="s">
        <v>295</v>
      </c>
      <c r="O635" s="58"/>
      <c r="P635" s="63"/>
      <c r="Q635" s="63"/>
    </row>
    <row r="636" spans="2:17" ht="20.25" customHeight="1" x14ac:dyDescent="0.3">
      <c r="B636" s="59" t="s">
        <v>796</v>
      </c>
      <c r="C636" s="59" t="s">
        <v>116</v>
      </c>
      <c r="D636" s="62" t="str">
        <f t="shared" si="14"/>
        <v xml:space="preserve">JAGUARF_Pace </v>
      </c>
      <c r="E636" s="59" t="s">
        <v>807</v>
      </c>
      <c r="F636" s="60">
        <v>82300000</v>
      </c>
      <c r="G636" s="60">
        <v>1997</v>
      </c>
      <c r="H636" s="58" t="s">
        <v>241</v>
      </c>
      <c r="I636" s="58" t="s">
        <v>295</v>
      </c>
      <c r="J636" s="58"/>
      <c r="K636" s="58"/>
      <c r="L636" s="58" t="s">
        <v>331</v>
      </c>
      <c r="M636" s="58"/>
      <c r="N636" s="58" t="s">
        <v>295</v>
      </c>
      <c r="O636" s="58"/>
      <c r="P636" s="63"/>
      <c r="Q636" s="63"/>
    </row>
    <row r="637" spans="2:17" ht="20.25" customHeight="1" x14ac:dyDescent="0.3">
      <c r="B637" s="59" t="s">
        <v>796</v>
      </c>
      <c r="C637" s="59" t="s">
        <v>116</v>
      </c>
      <c r="D637" s="62" t="str">
        <f t="shared" si="14"/>
        <v xml:space="preserve">JAGUARF_Pace </v>
      </c>
      <c r="E637" s="59" t="s">
        <v>808</v>
      </c>
      <c r="F637" s="60">
        <v>126500000</v>
      </c>
      <c r="G637" s="60">
        <v>5000</v>
      </c>
      <c r="H637" s="58" t="s">
        <v>241</v>
      </c>
      <c r="I637" s="58" t="s">
        <v>295</v>
      </c>
      <c r="J637" s="58"/>
      <c r="K637" s="58"/>
      <c r="L637" s="58"/>
      <c r="M637" s="58"/>
      <c r="N637" s="58" t="s">
        <v>295</v>
      </c>
      <c r="O637" s="58"/>
      <c r="P637" s="63"/>
      <c r="Q637" s="63"/>
    </row>
    <row r="638" spans="2:17" ht="20.25" customHeight="1" x14ac:dyDescent="0.3">
      <c r="B638" s="59" t="s">
        <v>796</v>
      </c>
      <c r="C638" s="59" t="s">
        <v>117</v>
      </c>
      <c r="D638" s="62" t="str">
        <f t="shared" si="14"/>
        <v xml:space="preserve">JAGUARF_Type </v>
      </c>
      <c r="E638" s="59" t="s">
        <v>809</v>
      </c>
      <c r="F638" s="60">
        <v>103510000</v>
      </c>
      <c r="G638" s="60">
        <v>1997</v>
      </c>
      <c r="H638" s="58" t="s">
        <v>241</v>
      </c>
      <c r="I638" s="58" t="s">
        <v>242</v>
      </c>
      <c r="J638" s="58"/>
      <c r="K638" s="58"/>
      <c r="L638" s="58" t="s">
        <v>286</v>
      </c>
      <c r="M638" s="58"/>
      <c r="N638" s="58" t="s">
        <v>242</v>
      </c>
      <c r="O638" s="58"/>
      <c r="P638" s="63"/>
      <c r="Q638" s="63"/>
    </row>
    <row r="639" spans="2:17" ht="20.25" customHeight="1" x14ac:dyDescent="0.3">
      <c r="B639" s="59" t="s">
        <v>796</v>
      </c>
      <c r="C639" s="59" t="s">
        <v>117</v>
      </c>
      <c r="D639" s="62" t="str">
        <f t="shared" si="14"/>
        <v xml:space="preserve">JAGUARF_Type </v>
      </c>
      <c r="E639" s="59" t="s">
        <v>810</v>
      </c>
      <c r="F639" s="60">
        <v>137070000</v>
      </c>
      <c r="G639" s="60">
        <v>2995</v>
      </c>
      <c r="H639" s="58" t="s">
        <v>241</v>
      </c>
      <c r="I639" s="58" t="s">
        <v>242</v>
      </c>
      <c r="J639" s="58"/>
      <c r="K639" s="58"/>
      <c r="L639" s="58" t="s">
        <v>286</v>
      </c>
      <c r="M639" s="58"/>
      <c r="N639" s="58" t="s">
        <v>242</v>
      </c>
      <c r="O639" s="58"/>
      <c r="P639" s="63"/>
      <c r="Q639" s="63"/>
    </row>
    <row r="640" spans="2:17" ht="20.25" customHeight="1" x14ac:dyDescent="0.3">
      <c r="B640" s="59" t="s">
        <v>796</v>
      </c>
      <c r="C640" s="59" t="s">
        <v>117</v>
      </c>
      <c r="D640" s="62" t="str">
        <f t="shared" si="14"/>
        <v xml:space="preserve">JAGUARF_Type </v>
      </c>
      <c r="E640" s="59" t="s">
        <v>811</v>
      </c>
      <c r="F640" s="60">
        <v>196270000</v>
      </c>
      <c r="G640" s="60">
        <v>5000</v>
      </c>
      <c r="H640" s="58" t="s">
        <v>241</v>
      </c>
      <c r="I640" s="58" t="s">
        <v>242</v>
      </c>
      <c r="J640" s="58"/>
      <c r="K640" s="58"/>
      <c r="L640" s="58" t="s">
        <v>286</v>
      </c>
      <c r="M640" s="58"/>
      <c r="N640" s="58" t="s">
        <v>242</v>
      </c>
      <c r="O640" s="58"/>
      <c r="P640" s="63"/>
      <c r="Q640" s="63"/>
    </row>
    <row r="641" spans="2:17" ht="20.25" customHeight="1" x14ac:dyDescent="0.3">
      <c r="B641" s="59" t="s">
        <v>796</v>
      </c>
      <c r="C641" s="59" t="s">
        <v>117</v>
      </c>
      <c r="D641" s="62" t="str">
        <f t="shared" si="14"/>
        <v xml:space="preserve">JAGUARF_Type </v>
      </c>
      <c r="E641" s="59" t="s">
        <v>812</v>
      </c>
      <c r="F641" s="60">
        <v>108510000</v>
      </c>
      <c r="G641" s="60">
        <v>1997</v>
      </c>
      <c r="H641" s="58" t="s">
        <v>241</v>
      </c>
      <c r="I641" s="58" t="s">
        <v>242</v>
      </c>
      <c r="J641" s="58"/>
      <c r="K641" s="58"/>
      <c r="L641" s="58" t="s">
        <v>286</v>
      </c>
      <c r="M641" s="58"/>
      <c r="N641" s="58" t="s">
        <v>242</v>
      </c>
      <c r="O641" s="58"/>
      <c r="P641" s="63"/>
      <c r="Q641" s="63"/>
    </row>
    <row r="642" spans="2:17" ht="20.25" customHeight="1" x14ac:dyDescent="0.3">
      <c r="B642" s="59" t="s">
        <v>796</v>
      </c>
      <c r="C642" s="59" t="s">
        <v>117</v>
      </c>
      <c r="D642" s="62" t="str">
        <f t="shared" si="14"/>
        <v xml:space="preserve">JAGUARF_Type </v>
      </c>
      <c r="E642" s="59" t="s">
        <v>813</v>
      </c>
      <c r="F642" s="60">
        <v>142070000</v>
      </c>
      <c r="G642" s="60">
        <v>2995</v>
      </c>
      <c r="H642" s="58" t="s">
        <v>241</v>
      </c>
      <c r="I642" s="58" t="s">
        <v>242</v>
      </c>
      <c r="J642" s="58"/>
      <c r="K642" s="58"/>
      <c r="L642" s="58" t="s">
        <v>286</v>
      </c>
      <c r="M642" s="58"/>
      <c r="N642" s="58" t="s">
        <v>242</v>
      </c>
      <c r="O642" s="58"/>
      <c r="P642" s="63"/>
      <c r="Q642" s="63"/>
    </row>
    <row r="643" spans="2:17" ht="20.25" customHeight="1" x14ac:dyDescent="0.3">
      <c r="B643" s="59" t="s">
        <v>796</v>
      </c>
      <c r="C643" s="59" t="s">
        <v>117</v>
      </c>
      <c r="D643" s="62" t="str">
        <f t="shared" si="14"/>
        <v xml:space="preserve">JAGUARF_Type </v>
      </c>
      <c r="E643" s="59" t="s">
        <v>814</v>
      </c>
      <c r="F643" s="60">
        <v>201270000</v>
      </c>
      <c r="G643" s="60">
        <v>5000</v>
      </c>
      <c r="H643" s="58" t="s">
        <v>241</v>
      </c>
      <c r="I643" s="58" t="s">
        <v>242</v>
      </c>
      <c r="J643" s="58"/>
      <c r="K643" s="58"/>
      <c r="L643" s="58" t="s">
        <v>286</v>
      </c>
      <c r="M643" s="58"/>
      <c r="N643" s="58" t="s">
        <v>242</v>
      </c>
      <c r="O643" s="58"/>
      <c r="P643" s="63"/>
      <c r="Q643" s="63"/>
    </row>
    <row r="644" spans="2:17" ht="20.25" customHeight="1" x14ac:dyDescent="0.3">
      <c r="B644" s="59" t="s">
        <v>796</v>
      </c>
      <c r="C644" s="59" t="s">
        <v>815</v>
      </c>
      <c r="D644" s="62" t="str">
        <f t="shared" si="14"/>
        <v>JAGUARI_Pace</v>
      </c>
      <c r="E644" s="59" t="s">
        <v>816</v>
      </c>
      <c r="F644" s="60">
        <v>116900000</v>
      </c>
      <c r="G644" s="60">
        <v>0</v>
      </c>
      <c r="H644" s="58" t="s">
        <v>308</v>
      </c>
      <c r="I644" s="58" t="s">
        <v>295</v>
      </c>
      <c r="J644" s="58"/>
      <c r="K644" s="58"/>
      <c r="L644" s="58">
        <v>0</v>
      </c>
      <c r="M644" s="58"/>
      <c r="N644" s="58" t="s">
        <v>295</v>
      </c>
      <c r="O644" s="58"/>
      <c r="P644" s="63"/>
      <c r="Q644" s="63"/>
    </row>
    <row r="645" spans="2:17" ht="20.25" customHeight="1" x14ac:dyDescent="0.3">
      <c r="B645" s="59" t="s">
        <v>796</v>
      </c>
      <c r="C645" s="59" t="s">
        <v>815</v>
      </c>
      <c r="D645" s="62" t="str">
        <f t="shared" si="14"/>
        <v>JAGUARI_Pace</v>
      </c>
      <c r="E645" s="59" t="s">
        <v>817</v>
      </c>
      <c r="F645" s="60">
        <v>128500000</v>
      </c>
      <c r="G645" s="60">
        <v>0</v>
      </c>
      <c r="H645" s="58" t="s">
        <v>308</v>
      </c>
      <c r="I645" s="58" t="s">
        <v>295</v>
      </c>
      <c r="J645" s="58"/>
      <c r="K645" s="58"/>
      <c r="L645" s="58">
        <v>0</v>
      </c>
      <c r="M645" s="58"/>
      <c r="N645" s="58" t="s">
        <v>295</v>
      </c>
      <c r="O645" s="58"/>
      <c r="P645" s="63"/>
      <c r="Q645" s="63"/>
    </row>
    <row r="646" spans="2:17" ht="20.25" customHeight="1" x14ac:dyDescent="0.3">
      <c r="B646" s="59" t="s">
        <v>796</v>
      </c>
      <c r="C646" s="59" t="s">
        <v>815</v>
      </c>
      <c r="D646" s="62" t="str">
        <f t="shared" si="14"/>
        <v>JAGUARI_Pace</v>
      </c>
      <c r="E646" s="59" t="s">
        <v>818</v>
      </c>
      <c r="F646" s="60">
        <v>124100000</v>
      </c>
      <c r="G646" s="60">
        <v>0</v>
      </c>
      <c r="H646" s="58" t="s">
        <v>308</v>
      </c>
      <c r="I646" s="58" t="s">
        <v>295</v>
      </c>
      <c r="J646" s="58"/>
      <c r="K646" s="58"/>
      <c r="L646" s="58">
        <v>0</v>
      </c>
      <c r="M646" s="58"/>
      <c r="N646" s="58" t="s">
        <v>295</v>
      </c>
      <c r="O646" s="58"/>
      <c r="P646" s="63"/>
      <c r="Q646" s="63"/>
    </row>
    <row r="647" spans="2:17" ht="20.25" customHeight="1" x14ac:dyDescent="0.3">
      <c r="B647" s="59" t="s">
        <v>796</v>
      </c>
      <c r="C647" s="59" t="s">
        <v>119</v>
      </c>
      <c r="D647" s="62" t="str">
        <f t="shared" si="14"/>
        <v>JAGUARXE</v>
      </c>
      <c r="E647" s="59" t="s">
        <v>819</v>
      </c>
      <c r="F647" s="60">
        <v>58500000</v>
      </c>
      <c r="G647" s="60">
        <v>1999</v>
      </c>
      <c r="H647" s="58" t="s">
        <v>250</v>
      </c>
      <c r="I647" s="58" t="s">
        <v>242</v>
      </c>
      <c r="J647" s="58"/>
      <c r="K647" s="58"/>
      <c r="L647" s="58">
        <v>0</v>
      </c>
      <c r="M647" s="58"/>
      <c r="N647" s="58" t="s">
        <v>242</v>
      </c>
      <c r="O647" s="58"/>
      <c r="P647" s="63"/>
      <c r="Q647" s="63"/>
    </row>
    <row r="648" spans="2:17" ht="20.25" customHeight="1" x14ac:dyDescent="0.3">
      <c r="B648" s="59" t="s">
        <v>796</v>
      </c>
      <c r="C648" s="59" t="s">
        <v>119</v>
      </c>
      <c r="D648" s="62" t="str">
        <f t="shared" si="14"/>
        <v>JAGUARXE</v>
      </c>
      <c r="E648" s="59" t="s">
        <v>820</v>
      </c>
      <c r="F648" s="60">
        <v>58500000</v>
      </c>
      <c r="G648" s="60">
        <v>1999</v>
      </c>
      <c r="H648" s="58" t="s">
        <v>241</v>
      </c>
      <c r="I648" s="58" t="s">
        <v>242</v>
      </c>
      <c r="J648" s="58"/>
      <c r="K648" s="58"/>
      <c r="L648" s="58">
        <v>0</v>
      </c>
      <c r="M648" s="58"/>
      <c r="N648" s="58" t="s">
        <v>242</v>
      </c>
      <c r="O648" s="58"/>
      <c r="P648" s="63"/>
      <c r="Q648" s="63"/>
    </row>
    <row r="649" spans="2:17" ht="20.25" customHeight="1" x14ac:dyDescent="0.3">
      <c r="B649" s="59" t="s">
        <v>796</v>
      </c>
      <c r="C649" s="59" t="s">
        <v>119</v>
      </c>
      <c r="D649" s="62" t="str">
        <f t="shared" si="14"/>
        <v>JAGUARXE</v>
      </c>
      <c r="E649" s="59" t="s">
        <v>821</v>
      </c>
      <c r="F649" s="60">
        <v>76300000</v>
      </c>
      <c r="G649" s="60">
        <v>1999</v>
      </c>
      <c r="H649" s="58" t="s">
        <v>241</v>
      </c>
      <c r="I649" s="58" t="s">
        <v>242</v>
      </c>
      <c r="J649" s="58"/>
      <c r="K649" s="58"/>
      <c r="L649" s="58">
        <v>0</v>
      </c>
      <c r="M649" s="58"/>
      <c r="N649" s="58" t="s">
        <v>242</v>
      </c>
      <c r="O649" s="58"/>
      <c r="P649" s="63"/>
      <c r="Q649" s="63"/>
    </row>
    <row r="650" spans="2:17" ht="20.25" customHeight="1" x14ac:dyDescent="0.3">
      <c r="B650" s="59" t="s">
        <v>796</v>
      </c>
      <c r="C650" s="59" t="s">
        <v>120</v>
      </c>
      <c r="D650" s="62" t="str">
        <f t="shared" si="14"/>
        <v>JAGUARXF</v>
      </c>
      <c r="E650" s="59" t="s">
        <v>822</v>
      </c>
      <c r="F650" s="60">
        <v>72300000</v>
      </c>
      <c r="G650" s="60">
        <v>1999</v>
      </c>
      <c r="H650" s="58" t="s">
        <v>250</v>
      </c>
      <c r="I650" s="58" t="s">
        <v>242</v>
      </c>
      <c r="J650" s="58"/>
      <c r="K650" s="58"/>
      <c r="L650" s="58">
        <v>0</v>
      </c>
      <c r="M650" s="58"/>
      <c r="N650" s="58" t="s">
        <v>242</v>
      </c>
      <c r="O650" s="58"/>
      <c r="P650" s="63"/>
      <c r="Q650" s="63"/>
    </row>
    <row r="651" spans="2:17" ht="20.25" customHeight="1" x14ac:dyDescent="0.3">
      <c r="B651" s="59" t="s">
        <v>796</v>
      </c>
      <c r="C651" s="59" t="s">
        <v>120</v>
      </c>
      <c r="D651" s="62" t="str">
        <f t="shared" si="14"/>
        <v>JAGUARXF</v>
      </c>
      <c r="E651" s="59" t="s">
        <v>823</v>
      </c>
      <c r="F651" s="60">
        <v>76300000</v>
      </c>
      <c r="G651" s="60">
        <v>1999</v>
      </c>
      <c r="H651" s="58" t="s">
        <v>250</v>
      </c>
      <c r="I651" s="58" t="s">
        <v>242</v>
      </c>
      <c r="J651" s="58"/>
      <c r="K651" s="58"/>
      <c r="L651" s="58">
        <v>0</v>
      </c>
      <c r="M651" s="58"/>
      <c r="N651" s="58" t="s">
        <v>242</v>
      </c>
      <c r="O651" s="58"/>
      <c r="P651" s="63"/>
      <c r="Q651" s="63"/>
    </row>
    <row r="652" spans="2:17" ht="20.25" customHeight="1" x14ac:dyDescent="0.3">
      <c r="B652" s="59" t="s">
        <v>796</v>
      </c>
      <c r="C652" s="59" t="s">
        <v>120</v>
      </c>
      <c r="D652" s="62" t="str">
        <f t="shared" si="14"/>
        <v>JAGUARXF</v>
      </c>
      <c r="E652" s="59" t="s">
        <v>824</v>
      </c>
      <c r="F652" s="60">
        <v>71900000</v>
      </c>
      <c r="G652" s="60">
        <v>1999</v>
      </c>
      <c r="H652" s="58" t="s">
        <v>250</v>
      </c>
      <c r="I652" s="58" t="s">
        <v>242</v>
      </c>
      <c r="J652" s="58"/>
      <c r="K652" s="58"/>
      <c r="L652" s="58">
        <v>0</v>
      </c>
      <c r="M652" s="58"/>
      <c r="N652" s="58" t="s">
        <v>242</v>
      </c>
      <c r="O652" s="58"/>
      <c r="P652" s="63"/>
      <c r="Q652" s="63"/>
    </row>
    <row r="653" spans="2:17" ht="20.25" customHeight="1" x14ac:dyDescent="0.3">
      <c r="B653" s="59" t="s">
        <v>796</v>
      </c>
      <c r="C653" s="59" t="s">
        <v>120</v>
      </c>
      <c r="D653" s="62" t="str">
        <f t="shared" si="14"/>
        <v>JAGUARXF</v>
      </c>
      <c r="E653" s="59" t="s">
        <v>825</v>
      </c>
      <c r="F653" s="60">
        <v>63100000</v>
      </c>
      <c r="G653" s="60">
        <v>1999</v>
      </c>
      <c r="H653" s="58" t="s">
        <v>250</v>
      </c>
      <c r="I653" s="58" t="s">
        <v>242</v>
      </c>
      <c r="J653" s="58"/>
      <c r="K653" s="58"/>
      <c r="L653" s="58">
        <v>0</v>
      </c>
      <c r="M653" s="58"/>
      <c r="N653" s="58" t="s">
        <v>242</v>
      </c>
      <c r="O653" s="58"/>
      <c r="P653" s="63"/>
      <c r="Q653" s="63"/>
    </row>
    <row r="654" spans="2:17" ht="20.25" customHeight="1" x14ac:dyDescent="0.3">
      <c r="B654" s="59" t="s">
        <v>796</v>
      </c>
      <c r="C654" s="59" t="s">
        <v>120</v>
      </c>
      <c r="D654" s="62" t="str">
        <f t="shared" si="14"/>
        <v>JAGUARXF</v>
      </c>
      <c r="E654" s="59" t="s">
        <v>826</v>
      </c>
      <c r="F654" s="60">
        <v>68100000</v>
      </c>
      <c r="G654" s="60">
        <v>1997</v>
      </c>
      <c r="H654" s="58" t="s">
        <v>241</v>
      </c>
      <c r="I654" s="58" t="s">
        <v>242</v>
      </c>
      <c r="J654" s="58"/>
      <c r="K654" s="58"/>
      <c r="L654" s="58" t="s">
        <v>248</v>
      </c>
      <c r="M654" s="58"/>
      <c r="N654" s="58" t="s">
        <v>242</v>
      </c>
      <c r="O654" s="58"/>
      <c r="P654" s="63"/>
      <c r="Q654" s="63"/>
    </row>
    <row r="655" spans="2:17" ht="20.25" customHeight="1" x14ac:dyDescent="0.3">
      <c r="B655" s="59" t="s">
        <v>796</v>
      </c>
      <c r="C655" s="59" t="s">
        <v>120</v>
      </c>
      <c r="D655" s="62" t="str">
        <f t="shared" si="14"/>
        <v>JAGUARXF</v>
      </c>
      <c r="E655" s="59" t="s">
        <v>827</v>
      </c>
      <c r="F655" s="60">
        <v>72900000</v>
      </c>
      <c r="G655" s="60">
        <v>1997</v>
      </c>
      <c r="H655" s="58" t="s">
        <v>241</v>
      </c>
      <c r="I655" s="58" t="s">
        <v>242</v>
      </c>
      <c r="J655" s="58"/>
      <c r="K655" s="58"/>
      <c r="L655" s="58" t="s">
        <v>248</v>
      </c>
      <c r="M655" s="58"/>
      <c r="N655" s="58" t="s">
        <v>242</v>
      </c>
      <c r="O655" s="58"/>
      <c r="P655" s="63"/>
      <c r="Q655" s="63"/>
    </row>
    <row r="656" spans="2:17" ht="20.25" customHeight="1" x14ac:dyDescent="0.3">
      <c r="B656" s="59" t="s">
        <v>796</v>
      </c>
      <c r="C656" s="59" t="s">
        <v>120</v>
      </c>
      <c r="D656" s="62" t="str">
        <f t="shared" si="14"/>
        <v>JAGUARXF</v>
      </c>
      <c r="E656" s="59" t="s">
        <v>828</v>
      </c>
      <c r="F656" s="60">
        <v>94700000</v>
      </c>
      <c r="G656" s="60">
        <v>2995</v>
      </c>
      <c r="H656" s="58" t="s">
        <v>241</v>
      </c>
      <c r="I656" s="58" t="s">
        <v>242</v>
      </c>
      <c r="J656" s="58"/>
      <c r="K656" s="58"/>
      <c r="L656" s="58">
        <v>0</v>
      </c>
      <c r="M656" s="58"/>
      <c r="N656" s="58" t="s">
        <v>242</v>
      </c>
      <c r="O656" s="58"/>
      <c r="P656" s="63"/>
      <c r="Q656" s="63"/>
    </row>
    <row r="657" spans="2:17" ht="20.25" customHeight="1" x14ac:dyDescent="0.3">
      <c r="B657" s="59" t="s">
        <v>796</v>
      </c>
      <c r="C657" s="59" t="s">
        <v>121</v>
      </c>
      <c r="D657" s="62" t="str">
        <f t="shared" si="14"/>
        <v>JAGUARXJ</v>
      </c>
      <c r="E657" s="59" t="s">
        <v>829</v>
      </c>
      <c r="F657" s="60">
        <v>147000000</v>
      </c>
      <c r="G657" s="60">
        <v>2993</v>
      </c>
      <c r="H657" s="58" t="s">
        <v>250</v>
      </c>
      <c r="I657" s="58" t="s">
        <v>242</v>
      </c>
      <c r="J657" s="58"/>
      <c r="K657" s="58"/>
      <c r="L657" s="58">
        <v>0</v>
      </c>
      <c r="M657" s="58"/>
      <c r="N657" s="58" t="s">
        <v>242</v>
      </c>
      <c r="O657" s="58"/>
      <c r="P657" s="63"/>
      <c r="Q657" s="63"/>
    </row>
    <row r="658" spans="2:17" ht="20.25" customHeight="1" x14ac:dyDescent="0.3">
      <c r="B658" s="59" t="s">
        <v>796</v>
      </c>
      <c r="C658" s="59" t="s">
        <v>121</v>
      </c>
      <c r="D658" s="62" t="str">
        <f t="shared" si="14"/>
        <v>JAGUARXJ</v>
      </c>
      <c r="E658" s="59" t="s">
        <v>830</v>
      </c>
      <c r="F658" s="60">
        <v>150900000</v>
      </c>
      <c r="G658" s="60">
        <v>2993</v>
      </c>
      <c r="H658" s="58" t="s">
        <v>250</v>
      </c>
      <c r="I658" s="58" t="s">
        <v>242</v>
      </c>
      <c r="J658" s="58"/>
      <c r="K658" s="58"/>
      <c r="L658" s="58">
        <v>0</v>
      </c>
      <c r="M658" s="58"/>
      <c r="N658" s="58" t="s">
        <v>242</v>
      </c>
      <c r="O658" s="58"/>
      <c r="P658" s="63"/>
      <c r="Q658" s="63"/>
    </row>
    <row r="659" spans="2:17" ht="20.25" customHeight="1" x14ac:dyDescent="0.3">
      <c r="B659" s="59" t="s">
        <v>796</v>
      </c>
      <c r="C659" s="59" t="s">
        <v>121</v>
      </c>
      <c r="D659" s="62" t="str">
        <f t="shared" si="14"/>
        <v>JAGUARXJ</v>
      </c>
      <c r="E659" s="59" t="s">
        <v>831</v>
      </c>
      <c r="F659" s="60">
        <v>166000000</v>
      </c>
      <c r="G659" s="60">
        <v>2995</v>
      </c>
      <c r="H659" s="58" t="s">
        <v>241</v>
      </c>
      <c r="I659" s="58" t="s">
        <v>242</v>
      </c>
      <c r="J659" s="58"/>
      <c r="K659" s="58"/>
      <c r="L659" s="58">
        <v>0</v>
      </c>
      <c r="M659" s="58"/>
      <c r="N659" s="58" t="s">
        <v>242</v>
      </c>
      <c r="O659" s="58"/>
      <c r="P659" s="63"/>
      <c r="Q659" s="63"/>
    </row>
    <row r="660" spans="2:17" ht="20.25" customHeight="1" x14ac:dyDescent="0.3">
      <c r="B660" s="59"/>
      <c r="C660" s="59"/>
      <c r="D660" s="62"/>
      <c r="E660" s="59"/>
      <c r="F660" s="60"/>
      <c r="G660" s="60"/>
      <c r="H660" s="58"/>
      <c r="I660" s="58"/>
      <c r="J660" s="58"/>
      <c r="K660" s="58"/>
      <c r="L660" s="58"/>
      <c r="M660" s="58"/>
      <c r="N660" s="58"/>
      <c r="O660" s="58"/>
      <c r="P660" s="63"/>
      <c r="Q660" s="63"/>
    </row>
    <row r="661" spans="2:17" ht="20.25" customHeight="1" x14ac:dyDescent="0.3">
      <c r="B661" s="59"/>
      <c r="C661" s="59"/>
      <c r="D661" s="62"/>
      <c r="E661" s="59"/>
      <c r="F661" s="60"/>
      <c r="G661" s="60"/>
      <c r="H661" s="58"/>
      <c r="I661" s="58"/>
      <c r="J661" s="58"/>
      <c r="K661" s="58"/>
      <c r="L661" s="58"/>
      <c r="M661" s="58"/>
      <c r="N661" s="58"/>
      <c r="O661" s="58"/>
      <c r="P661" s="63"/>
      <c r="Q661" s="63"/>
    </row>
    <row r="662" spans="2:17" ht="20.25" customHeight="1" x14ac:dyDescent="0.3">
      <c r="B662" s="59"/>
      <c r="C662" s="59"/>
      <c r="D662" s="62"/>
      <c r="E662" s="59"/>
      <c r="F662" s="60"/>
      <c r="G662" s="60"/>
      <c r="H662" s="58"/>
      <c r="I662" s="58"/>
      <c r="J662" s="58"/>
      <c r="K662" s="58"/>
      <c r="L662" s="58"/>
      <c r="M662" s="58"/>
      <c r="N662" s="58"/>
      <c r="O662" s="58"/>
      <c r="P662" s="63"/>
      <c r="Q662" s="63"/>
    </row>
    <row r="663" spans="2:17" ht="20.25" customHeight="1" x14ac:dyDescent="0.3">
      <c r="B663" s="59"/>
      <c r="C663" s="59"/>
      <c r="D663" s="62"/>
      <c r="E663" s="59"/>
      <c r="F663" s="60"/>
      <c r="G663" s="60"/>
      <c r="H663" s="58"/>
      <c r="I663" s="58"/>
      <c r="J663" s="58"/>
      <c r="K663" s="58"/>
      <c r="L663" s="58"/>
      <c r="M663" s="58"/>
      <c r="N663" s="58"/>
      <c r="O663" s="58"/>
      <c r="P663" s="63"/>
      <c r="Q663" s="63"/>
    </row>
    <row r="664" spans="2:17" ht="20.25" customHeight="1" x14ac:dyDescent="0.3">
      <c r="B664" s="59"/>
      <c r="C664" s="59"/>
      <c r="D664" s="62"/>
      <c r="E664" s="59"/>
      <c r="F664" s="60"/>
      <c r="G664" s="60"/>
      <c r="H664" s="58"/>
      <c r="I664" s="58"/>
      <c r="J664" s="58"/>
      <c r="K664" s="58"/>
      <c r="L664" s="58"/>
      <c r="M664" s="58"/>
      <c r="N664" s="58"/>
      <c r="O664" s="58"/>
      <c r="P664" s="63"/>
      <c r="Q664" s="63"/>
    </row>
    <row r="665" spans="2:17" ht="20.25" customHeight="1" x14ac:dyDescent="0.3">
      <c r="B665" s="59"/>
      <c r="C665" s="59"/>
      <c r="D665" s="62" t="str">
        <f t="shared" ref="D665:D722" si="15">+B665&amp;C665</f>
        <v/>
      </c>
      <c r="E665" s="59"/>
      <c r="F665" s="60"/>
      <c r="G665" s="60"/>
      <c r="H665" s="58"/>
      <c r="I665" s="58"/>
      <c r="J665" s="58"/>
      <c r="K665" s="58"/>
      <c r="L665" s="58"/>
      <c r="M665" s="58"/>
      <c r="N665" s="58"/>
      <c r="O665" s="58"/>
      <c r="P665" s="63"/>
      <c r="Q665" s="63"/>
    </row>
    <row r="666" spans="2:17" ht="20.25" customHeight="1" x14ac:dyDescent="0.3">
      <c r="B666" s="59" t="s">
        <v>832</v>
      </c>
      <c r="C666" s="59" t="s">
        <v>833</v>
      </c>
      <c r="D666" s="62" t="str">
        <f t="shared" si="15"/>
        <v>JEEPCherokee</v>
      </c>
      <c r="E666" s="59" t="s">
        <v>834</v>
      </c>
      <c r="F666" s="60">
        <v>103200000</v>
      </c>
      <c r="G666" s="60">
        <v>1995</v>
      </c>
      <c r="H666" s="58" t="s">
        <v>241</v>
      </c>
      <c r="I666" s="58" t="s">
        <v>295</v>
      </c>
      <c r="J666" s="58" t="s">
        <v>1612</v>
      </c>
      <c r="K666" s="58"/>
      <c r="L666" s="58" t="s">
        <v>248</v>
      </c>
      <c r="M666" s="58"/>
      <c r="N666" s="58" t="s">
        <v>295</v>
      </c>
      <c r="O666" s="58"/>
      <c r="P666" s="63"/>
      <c r="Q666" s="63"/>
    </row>
    <row r="667" spans="2:17" ht="20.25" customHeight="1" x14ac:dyDescent="0.3">
      <c r="B667" s="59" t="s">
        <v>832</v>
      </c>
      <c r="C667" s="59" t="s">
        <v>833</v>
      </c>
      <c r="D667" s="62" t="str">
        <f t="shared" si="15"/>
        <v>JEEPCherokee</v>
      </c>
      <c r="E667" s="59" t="s">
        <v>835</v>
      </c>
      <c r="F667" s="60">
        <v>121200000</v>
      </c>
      <c r="G667" s="60">
        <v>1995</v>
      </c>
      <c r="H667" s="58" t="s">
        <v>241</v>
      </c>
      <c r="I667" s="58" t="s">
        <v>295</v>
      </c>
      <c r="J667" s="58" t="s">
        <v>1612</v>
      </c>
      <c r="K667" s="58"/>
      <c r="L667" s="58" t="s">
        <v>248</v>
      </c>
      <c r="M667" s="58"/>
      <c r="N667" s="58" t="s">
        <v>295</v>
      </c>
      <c r="O667" s="58"/>
      <c r="P667" s="63"/>
      <c r="Q667" s="63"/>
    </row>
    <row r="668" spans="2:17" ht="20.25" customHeight="1" x14ac:dyDescent="0.3">
      <c r="B668" s="59" t="s">
        <v>832</v>
      </c>
      <c r="C668" s="59" t="s">
        <v>833</v>
      </c>
      <c r="D668" s="62" t="str">
        <f t="shared" si="15"/>
        <v>JEEPCherokee</v>
      </c>
      <c r="E668" s="59" t="s">
        <v>836</v>
      </c>
      <c r="F668" s="60">
        <v>72400000</v>
      </c>
      <c r="G668" s="60">
        <v>2987</v>
      </c>
      <c r="H668" s="58" t="s">
        <v>250</v>
      </c>
      <c r="I668" s="58" t="s">
        <v>295</v>
      </c>
      <c r="J668" s="58" t="s">
        <v>1612</v>
      </c>
      <c r="K668" s="58"/>
      <c r="L668" s="58" t="s">
        <v>246</v>
      </c>
      <c r="M668" s="58"/>
      <c r="N668" s="58" t="s">
        <v>295</v>
      </c>
      <c r="O668" s="58"/>
      <c r="P668" s="63"/>
      <c r="Q668" s="63"/>
    </row>
    <row r="669" spans="2:17" ht="20.25" customHeight="1" x14ac:dyDescent="0.3">
      <c r="B669" s="59" t="s">
        <v>832</v>
      </c>
      <c r="C669" s="59" t="s">
        <v>833</v>
      </c>
      <c r="D669" s="62" t="str">
        <f t="shared" si="15"/>
        <v>JEEPCherokee</v>
      </c>
      <c r="E669" s="59" t="s">
        <v>837</v>
      </c>
      <c r="F669" s="60">
        <v>79400000</v>
      </c>
      <c r="G669" s="60">
        <v>2987</v>
      </c>
      <c r="H669" s="58" t="s">
        <v>250</v>
      </c>
      <c r="I669" s="58" t="s">
        <v>295</v>
      </c>
      <c r="J669" s="58" t="s">
        <v>1612</v>
      </c>
      <c r="K669" s="58"/>
      <c r="L669" s="58" t="s">
        <v>246</v>
      </c>
      <c r="M669" s="58"/>
      <c r="N669" s="58" t="s">
        <v>295</v>
      </c>
      <c r="O669" s="58"/>
      <c r="P669" s="63"/>
      <c r="Q669" s="63"/>
    </row>
    <row r="670" spans="2:17" ht="20.25" customHeight="1" x14ac:dyDescent="0.3">
      <c r="B670" s="59" t="s">
        <v>832</v>
      </c>
      <c r="C670" s="59" t="s">
        <v>833</v>
      </c>
      <c r="D670" s="62" t="str">
        <f t="shared" si="15"/>
        <v>JEEPCherokee</v>
      </c>
      <c r="E670" s="59" t="s">
        <v>838</v>
      </c>
      <c r="F670" s="60">
        <v>83400000</v>
      </c>
      <c r="G670" s="60">
        <v>2987</v>
      </c>
      <c r="H670" s="58" t="s">
        <v>250</v>
      </c>
      <c r="I670" s="58" t="s">
        <v>295</v>
      </c>
      <c r="J670" s="58" t="s">
        <v>1612</v>
      </c>
      <c r="K670" s="58"/>
      <c r="L670" s="58" t="s">
        <v>246</v>
      </c>
      <c r="M670" s="58"/>
      <c r="N670" s="58" t="s">
        <v>295</v>
      </c>
      <c r="O670" s="58"/>
      <c r="P670" s="63"/>
      <c r="Q670" s="63"/>
    </row>
    <row r="671" spans="2:17" ht="20.25" customHeight="1" x14ac:dyDescent="0.3">
      <c r="B671" s="59" t="s">
        <v>832</v>
      </c>
      <c r="C671" s="59" t="s">
        <v>833</v>
      </c>
      <c r="D671" s="62" t="str">
        <f t="shared" si="15"/>
        <v>JEEPCherokee</v>
      </c>
      <c r="E671" s="59" t="s">
        <v>839</v>
      </c>
      <c r="F671" s="60">
        <v>85500000</v>
      </c>
      <c r="G671" s="60">
        <v>3604</v>
      </c>
      <c r="H671" s="58" t="s">
        <v>241</v>
      </c>
      <c r="I671" s="58" t="s">
        <v>295</v>
      </c>
      <c r="J671" s="58" t="s">
        <v>1612</v>
      </c>
      <c r="K671" s="58"/>
      <c r="L671" s="58" t="s">
        <v>246</v>
      </c>
      <c r="M671" s="58"/>
      <c r="N671" s="58" t="s">
        <v>295</v>
      </c>
      <c r="O671" s="58"/>
      <c r="P671" s="63"/>
      <c r="Q671" s="63"/>
    </row>
    <row r="672" spans="2:17" ht="20.25" customHeight="1" x14ac:dyDescent="0.3">
      <c r="B672" s="59" t="s">
        <v>832</v>
      </c>
      <c r="C672" s="59" t="s">
        <v>833</v>
      </c>
      <c r="D672" s="62" t="str">
        <f t="shared" si="15"/>
        <v>JEEPCherokee</v>
      </c>
      <c r="E672" s="59" t="s">
        <v>840</v>
      </c>
      <c r="F672" s="60">
        <v>64900000</v>
      </c>
      <c r="G672" s="60">
        <v>3604</v>
      </c>
      <c r="H672" s="58" t="s">
        <v>241</v>
      </c>
      <c r="I672" s="58" t="s">
        <v>295</v>
      </c>
      <c r="J672" s="58" t="s">
        <v>1612</v>
      </c>
      <c r="K672" s="58"/>
      <c r="L672" s="58" t="s">
        <v>246</v>
      </c>
      <c r="M672" s="58"/>
      <c r="N672" s="58" t="s">
        <v>295</v>
      </c>
      <c r="O672" s="58"/>
      <c r="P672" s="63"/>
      <c r="Q672" s="63"/>
    </row>
    <row r="673" spans="2:17" ht="20.25" customHeight="1" x14ac:dyDescent="0.3">
      <c r="B673" s="59" t="s">
        <v>832</v>
      </c>
      <c r="C673" s="59" t="s">
        <v>833</v>
      </c>
      <c r="D673" s="62" t="str">
        <f t="shared" si="15"/>
        <v>JEEPCherokee</v>
      </c>
      <c r="E673" s="59" t="s">
        <v>841</v>
      </c>
      <c r="F673" s="60">
        <v>93500000</v>
      </c>
      <c r="G673" s="60">
        <v>3604</v>
      </c>
      <c r="H673" s="58" t="s">
        <v>241</v>
      </c>
      <c r="I673" s="58" t="s">
        <v>295</v>
      </c>
      <c r="J673" s="58" t="s">
        <v>1612</v>
      </c>
      <c r="K673" s="58"/>
      <c r="L673" s="58" t="s">
        <v>246</v>
      </c>
      <c r="M673" s="58"/>
      <c r="N673" s="58" t="s">
        <v>295</v>
      </c>
      <c r="O673" s="58"/>
      <c r="P673" s="63"/>
      <c r="Q673" s="63"/>
    </row>
    <row r="674" spans="2:17" ht="20.25" customHeight="1" x14ac:dyDescent="0.3">
      <c r="B674" s="59" t="s">
        <v>832</v>
      </c>
      <c r="C674" s="59" t="s">
        <v>833</v>
      </c>
      <c r="D674" s="62" t="str">
        <f t="shared" si="15"/>
        <v>JEEPCherokee</v>
      </c>
      <c r="E674" s="59" t="s">
        <v>842</v>
      </c>
      <c r="F674" s="60">
        <v>97800000</v>
      </c>
      <c r="G674" s="60">
        <v>3604</v>
      </c>
      <c r="H674" s="58" t="s">
        <v>241</v>
      </c>
      <c r="I674" s="58" t="s">
        <v>295</v>
      </c>
      <c r="J674" s="58" t="s">
        <v>1612</v>
      </c>
      <c r="K674" s="58"/>
      <c r="L674" s="58" t="s">
        <v>246</v>
      </c>
      <c r="M674" s="58"/>
      <c r="N674" s="58" t="s">
        <v>295</v>
      </c>
      <c r="O674" s="58"/>
      <c r="P674" s="63"/>
      <c r="Q674" s="63"/>
    </row>
    <row r="675" spans="2:17" ht="20.25" customHeight="1" x14ac:dyDescent="0.3">
      <c r="B675" s="59" t="s">
        <v>832</v>
      </c>
      <c r="C675" s="59" t="s">
        <v>833</v>
      </c>
      <c r="D675" s="62" t="str">
        <f t="shared" si="15"/>
        <v>JEEPCherokee</v>
      </c>
      <c r="E675" s="59" t="s">
        <v>843</v>
      </c>
      <c r="F675" s="60">
        <v>98200000</v>
      </c>
      <c r="G675" s="60">
        <v>3604</v>
      </c>
      <c r="H675" s="58" t="s">
        <v>241</v>
      </c>
      <c r="I675" s="58" t="s">
        <v>295</v>
      </c>
      <c r="J675" s="58" t="s">
        <v>1612</v>
      </c>
      <c r="K675" s="58"/>
      <c r="L675" s="58" t="s">
        <v>246</v>
      </c>
      <c r="M675" s="58"/>
      <c r="N675" s="58" t="s">
        <v>295</v>
      </c>
      <c r="O675" s="58"/>
      <c r="P675" s="63"/>
      <c r="Q675" s="63"/>
    </row>
    <row r="676" spans="2:17" ht="20.25" customHeight="1" x14ac:dyDescent="0.3">
      <c r="B676" s="59" t="s">
        <v>832</v>
      </c>
      <c r="C676" s="59" t="s">
        <v>833</v>
      </c>
      <c r="D676" s="62" t="str">
        <f t="shared" si="15"/>
        <v>JEEPCherokee</v>
      </c>
      <c r="E676" s="59" t="s">
        <v>844</v>
      </c>
      <c r="F676" s="60">
        <v>108200000</v>
      </c>
      <c r="G676" s="60">
        <v>3604</v>
      </c>
      <c r="H676" s="58" t="s">
        <v>241</v>
      </c>
      <c r="I676" s="58" t="s">
        <v>295</v>
      </c>
      <c r="J676" s="58" t="s">
        <v>1612</v>
      </c>
      <c r="K676" s="58"/>
      <c r="L676" s="58" t="s">
        <v>246</v>
      </c>
      <c r="M676" s="58"/>
      <c r="N676" s="58" t="s">
        <v>295</v>
      </c>
      <c r="O676" s="58"/>
      <c r="P676" s="63"/>
      <c r="Q676" s="63"/>
    </row>
    <row r="677" spans="2:17" ht="20.25" customHeight="1" x14ac:dyDescent="0.3">
      <c r="B677" s="59" t="s">
        <v>832</v>
      </c>
      <c r="C677" s="59" t="s">
        <v>833</v>
      </c>
      <c r="D677" s="62" t="str">
        <f t="shared" si="15"/>
        <v>JEEPCherokee</v>
      </c>
      <c r="E677" s="59" t="s">
        <v>845</v>
      </c>
      <c r="F677" s="60">
        <v>56900000</v>
      </c>
      <c r="G677" s="60">
        <v>2184</v>
      </c>
      <c r="H677" s="58" t="s">
        <v>250</v>
      </c>
      <c r="I677" s="58" t="s">
        <v>295</v>
      </c>
      <c r="J677" s="58" t="s">
        <v>1612</v>
      </c>
      <c r="K677" s="58"/>
      <c r="L677" s="58" t="s">
        <v>246</v>
      </c>
      <c r="M677" s="58"/>
      <c r="N677" s="58" t="s">
        <v>295</v>
      </c>
      <c r="O677" s="58"/>
      <c r="P677" s="63"/>
      <c r="Q677" s="63"/>
    </row>
    <row r="678" spans="2:17" ht="20.25" customHeight="1" x14ac:dyDescent="0.3">
      <c r="B678" s="59" t="s">
        <v>832</v>
      </c>
      <c r="C678" s="59" t="s">
        <v>833</v>
      </c>
      <c r="D678" s="62" t="str">
        <f t="shared" si="15"/>
        <v>JEEPCherokee</v>
      </c>
      <c r="E678" s="59" t="s">
        <v>846</v>
      </c>
      <c r="F678" s="60">
        <v>58900000</v>
      </c>
      <c r="G678" s="60">
        <v>2184</v>
      </c>
      <c r="H678" s="58" t="s">
        <v>250</v>
      </c>
      <c r="I678" s="58" t="s">
        <v>295</v>
      </c>
      <c r="J678" s="58" t="s">
        <v>1612</v>
      </c>
      <c r="K678" s="58"/>
      <c r="L678" s="58" t="s">
        <v>246</v>
      </c>
      <c r="M678" s="58"/>
      <c r="N678" s="58" t="s">
        <v>295</v>
      </c>
      <c r="O678" s="58"/>
      <c r="P678" s="63"/>
      <c r="Q678" s="63"/>
    </row>
    <row r="679" spans="2:17" ht="20.25" customHeight="1" x14ac:dyDescent="0.3">
      <c r="B679" s="59" t="s">
        <v>832</v>
      </c>
      <c r="C679" s="59" t="s">
        <v>833</v>
      </c>
      <c r="D679" s="62" t="str">
        <f t="shared" si="15"/>
        <v>JEEPCherokee</v>
      </c>
      <c r="E679" s="59" t="s">
        <v>847</v>
      </c>
      <c r="F679" s="60">
        <v>59900000</v>
      </c>
      <c r="G679" s="60">
        <v>2360</v>
      </c>
      <c r="H679" s="58" t="s">
        <v>241</v>
      </c>
      <c r="I679" s="58" t="s">
        <v>295</v>
      </c>
      <c r="J679" s="58" t="s">
        <v>1612</v>
      </c>
      <c r="K679" s="58"/>
      <c r="L679" s="58" t="s">
        <v>246</v>
      </c>
      <c r="M679" s="58"/>
      <c r="N679" s="58" t="s">
        <v>295</v>
      </c>
      <c r="O679" s="58"/>
      <c r="P679" s="63"/>
      <c r="Q679" s="63"/>
    </row>
    <row r="680" spans="2:17" ht="20.25" customHeight="1" x14ac:dyDescent="0.3">
      <c r="B680" s="59" t="s">
        <v>832</v>
      </c>
      <c r="C680" s="59" t="s">
        <v>833</v>
      </c>
      <c r="D680" s="62" t="str">
        <f t="shared" si="15"/>
        <v>JEEPCherokee</v>
      </c>
      <c r="E680" s="59" t="s">
        <v>848</v>
      </c>
      <c r="F680" s="60">
        <v>63900000</v>
      </c>
      <c r="G680" s="60">
        <v>2360</v>
      </c>
      <c r="H680" s="58" t="s">
        <v>241</v>
      </c>
      <c r="I680" s="58" t="s">
        <v>295</v>
      </c>
      <c r="J680" s="58" t="s">
        <v>1612</v>
      </c>
      <c r="K680" s="58"/>
      <c r="L680" s="58" t="s">
        <v>246</v>
      </c>
      <c r="M680" s="58"/>
      <c r="N680" s="58" t="s">
        <v>295</v>
      </c>
      <c r="O680" s="58"/>
      <c r="P680" s="63"/>
      <c r="Q680" s="63"/>
    </row>
    <row r="681" spans="2:17" ht="20.25" customHeight="1" x14ac:dyDescent="0.3">
      <c r="B681" s="59" t="s">
        <v>832</v>
      </c>
      <c r="C681" s="59" t="s">
        <v>833</v>
      </c>
      <c r="D681" s="62" t="str">
        <f t="shared" si="15"/>
        <v>JEEPCherokee</v>
      </c>
      <c r="E681" s="59" t="s">
        <v>849</v>
      </c>
      <c r="F681" s="60">
        <v>54900000</v>
      </c>
      <c r="G681" s="60">
        <v>3239</v>
      </c>
      <c r="H681" s="58" t="s">
        <v>241</v>
      </c>
      <c r="I681" s="58" t="s">
        <v>295</v>
      </c>
      <c r="J681" s="58" t="s">
        <v>1612</v>
      </c>
      <c r="K681" s="58"/>
      <c r="L681" s="58" t="s">
        <v>246</v>
      </c>
      <c r="M681" s="58"/>
      <c r="N681" s="58" t="s">
        <v>295</v>
      </c>
      <c r="O681" s="58"/>
      <c r="P681" s="63"/>
      <c r="Q681" s="63"/>
    </row>
    <row r="682" spans="2:17" ht="20.25" customHeight="1" x14ac:dyDescent="0.3">
      <c r="B682" s="59" t="s">
        <v>832</v>
      </c>
      <c r="C682" s="59" t="s">
        <v>833</v>
      </c>
      <c r="D682" s="62" t="str">
        <f t="shared" si="15"/>
        <v>JEEPCherokee</v>
      </c>
      <c r="E682" s="59" t="s">
        <v>850</v>
      </c>
      <c r="F682" s="60">
        <v>54400000</v>
      </c>
      <c r="G682" s="60">
        <v>3239</v>
      </c>
      <c r="H682" s="58" t="s">
        <v>241</v>
      </c>
      <c r="I682" s="58" t="s">
        <v>295</v>
      </c>
      <c r="J682" s="58" t="s">
        <v>1612</v>
      </c>
      <c r="K682" s="58"/>
      <c r="L682" s="58" t="s">
        <v>246</v>
      </c>
      <c r="M682" s="58"/>
      <c r="N682" s="58" t="s">
        <v>295</v>
      </c>
      <c r="O682" s="58"/>
      <c r="P682" s="63"/>
      <c r="Q682" s="63"/>
    </row>
    <row r="683" spans="2:17" ht="20.25" customHeight="1" x14ac:dyDescent="0.3">
      <c r="B683" s="59" t="s">
        <v>832</v>
      </c>
      <c r="C683" s="59" t="s">
        <v>851</v>
      </c>
      <c r="D683" s="62" t="str">
        <f t="shared" si="15"/>
        <v>JEEPCompass</v>
      </c>
      <c r="E683" s="59" t="s">
        <v>852</v>
      </c>
      <c r="F683" s="60">
        <v>51400000</v>
      </c>
      <c r="G683" s="60">
        <v>2360</v>
      </c>
      <c r="H683" s="58" t="s">
        <v>241</v>
      </c>
      <c r="I683" s="58" t="s">
        <v>295</v>
      </c>
      <c r="J683" s="58" t="s">
        <v>1515</v>
      </c>
      <c r="K683" s="58"/>
      <c r="L683" s="58" t="s">
        <v>246</v>
      </c>
      <c r="M683" s="58"/>
      <c r="N683" s="58" t="s">
        <v>295</v>
      </c>
      <c r="O683" s="58"/>
      <c r="P683" s="63"/>
      <c r="Q683" s="63"/>
    </row>
    <row r="684" spans="2:17" ht="20.25" customHeight="1" x14ac:dyDescent="0.3">
      <c r="B684" s="59" t="s">
        <v>832</v>
      </c>
      <c r="C684" s="59" t="s">
        <v>851</v>
      </c>
      <c r="D684" s="62" t="str">
        <f t="shared" si="15"/>
        <v>JEEPCompass</v>
      </c>
      <c r="E684" s="59" t="s">
        <v>853</v>
      </c>
      <c r="F684" s="60">
        <v>54400000</v>
      </c>
      <c r="G684" s="60">
        <v>2360</v>
      </c>
      <c r="H684" s="58" t="s">
        <v>241</v>
      </c>
      <c r="I684" s="58" t="s">
        <v>295</v>
      </c>
      <c r="J684" s="58" t="s">
        <v>1515</v>
      </c>
      <c r="K684" s="58"/>
      <c r="L684" s="58" t="s">
        <v>246</v>
      </c>
      <c r="M684" s="58"/>
      <c r="N684" s="58" t="s">
        <v>295</v>
      </c>
      <c r="O684" s="58"/>
      <c r="P684" s="63"/>
      <c r="Q684" s="63"/>
    </row>
    <row r="685" spans="2:17" ht="20.25" customHeight="1" x14ac:dyDescent="0.3">
      <c r="B685" s="59" t="s">
        <v>832</v>
      </c>
      <c r="C685" s="59" t="s">
        <v>851</v>
      </c>
      <c r="D685" s="62" t="str">
        <f t="shared" si="15"/>
        <v>JEEPCompass</v>
      </c>
      <c r="E685" s="59" t="s">
        <v>854</v>
      </c>
      <c r="F685" s="60">
        <v>56400000</v>
      </c>
      <c r="G685" s="60">
        <v>2360</v>
      </c>
      <c r="H685" s="58" t="s">
        <v>241</v>
      </c>
      <c r="I685" s="58" t="s">
        <v>295</v>
      </c>
      <c r="J685" s="58" t="s">
        <v>1515</v>
      </c>
      <c r="K685" s="58"/>
      <c r="L685" s="58" t="s">
        <v>246</v>
      </c>
      <c r="M685" s="58"/>
      <c r="N685" s="58" t="s">
        <v>295</v>
      </c>
      <c r="O685" s="58"/>
      <c r="P685" s="63"/>
      <c r="Q685" s="63"/>
    </row>
    <row r="686" spans="2:17" ht="20.25" customHeight="1" x14ac:dyDescent="0.3">
      <c r="B686" s="59" t="s">
        <v>832</v>
      </c>
      <c r="C686" s="59" t="s">
        <v>855</v>
      </c>
      <c r="D686" s="62" t="str">
        <f t="shared" si="15"/>
        <v>JEEPRenegade</v>
      </c>
      <c r="E686" s="59" t="s">
        <v>856</v>
      </c>
      <c r="F686" s="60">
        <v>45400000</v>
      </c>
      <c r="G686" s="60">
        <v>1332</v>
      </c>
      <c r="H686" s="58" t="s">
        <v>241</v>
      </c>
      <c r="I686" s="58" t="s">
        <v>295</v>
      </c>
      <c r="J686" s="58" t="s">
        <v>1515</v>
      </c>
      <c r="K686" s="58"/>
      <c r="L686" s="58" t="s">
        <v>246</v>
      </c>
      <c r="M686" s="58"/>
      <c r="N686" s="58" t="s">
        <v>295</v>
      </c>
      <c r="O686" s="58"/>
      <c r="P686" s="63"/>
      <c r="Q686" s="63"/>
    </row>
    <row r="687" spans="2:17" ht="20.25" customHeight="1" x14ac:dyDescent="0.3">
      <c r="B687" s="59" t="s">
        <v>832</v>
      </c>
      <c r="C687" s="59" t="s">
        <v>855</v>
      </c>
      <c r="D687" s="62" t="str">
        <f t="shared" si="15"/>
        <v>JEEPRenegade</v>
      </c>
      <c r="E687" s="59" t="s">
        <v>857</v>
      </c>
      <c r="F687" s="60">
        <v>48400000</v>
      </c>
      <c r="G687" s="60">
        <v>1332</v>
      </c>
      <c r="H687" s="58" t="s">
        <v>241</v>
      </c>
      <c r="I687" s="58" t="s">
        <v>295</v>
      </c>
      <c r="J687" s="58" t="s">
        <v>1515</v>
      </c>
      <c r="K687" s="58"/>
      <c r="L687" s="58" t="s">
        <v>246</v>
      </c>
      <c r="M687" s="58"/>
      <c r="N687" s="58" t="s">
        <v>295</v>
      </c>
      <c r="O687" s="58"/>
      <c r="P687" s="63"/>
      <c r="Q687" s="63"/>
    </row>
    <row r="688" spans="2:17" ht="20.25" customHeight="1" x14ac:dyDescent="0.3">
      <c r="B688" s="59" t="s">
        <v>832</v>
      </c>
      <c r="C688" s="59" t="s">
        <v>855</v>
      </c>
      <c r="D688" s="62" t="str">
        <f t="shared" si="15"/>
        <v>JEEPRenegade</v>
      </c>
      <c r="E688" s="59" t="s">
        <v>858</v>
      </c>
      <c r="F688" s="60">
        <v>38100000</v>
      </c>
      <c r="G688" s="60">
        <v>2360</v>
      </c>
      <c r="H688" s="58" t="s">
        <v>241</v>
      </c>
      <c r="I688" s="58" t="s">
        <v>295</v>
      </c>
      <c r="J688" s="58" t="s">
        <v>1515</v>
      </c>
      <c r="K688" s="58"/>
      <c r="L688" s="58" t="s">
        <v>246</v>
      </c>
      <c r="M688" s="58"/>
      <c r="N688" s="58" t="s">
        <v>295</v>
      </c>
      <c r="O688" s="58"/>
      <c r="P688" s="63"/>
      <c r="Q688" s="63"/>
    </row>
    <row r="689" spans="2:17" ht="20.25" customHeight="1" x14ac:dyDescent="0.3">
      <c r="B689" s="59" t="s">
        <v>832</v>
      </c>
      <c r="C689" s="59" t="s">
        <v>855</v>
      </c>
      <c r="D689" s="62" t="str">
        <f t="shared" si="15"/>
        <v>JEEPRenegade</v>
      </c>
      <c r="E689" s="59" t="s">
        <v>859</v>
      </c>
      <c r="F689" s="60">
        <v>41600000</v>
      </c>
      <c r="G689" s="60">
        <v>2360</v>
      </c>
      <c r="H689" s="58" t="s">
        <v>241</v>
      </c>
      <c r="I689" s="58" t="s">
        <v>295</v>
      </c>
      <c r="J689" s="58" t="s">
        <v>1515</v>
      </c>
      <c r="K689" s="58"/>
      <c r="L689" s="58" t="s">
        <v>246</v>
      </c>
      <c r="M689" s="58"/>
      <c r="N689" s="58" t="s">
        <v>295</v>
      </c>
      <c r="O689" s="58"/>
      <c r="P689" s="63"/>
      <c r="Q689" s="63"/>
    </row>
    <row r="690" spans="2:17" ht="20.25" customHeight="1" x14ac:dyDescent="0.3">
      <c r="B690" s="59" t="s">
        <v>832</v>
      </c>
      <c r="C690" s="59" t="s">
        <v>855</v>
      </c>
      <c r="D690" s="62" t="str">
        <f t="shared" si="15"/>
        <v>JEEPRenegade</v>
      </c>
      <c r="E690" s="59" t="s">
        <v>860</v>
      </c>
      <c r="F690" s="60">
        <v>44600000</v>
      </c>
      <c r="G690" s="60">
        <v>2360</v>
      </c>
      <c r="H690" s="58" t="s">
        <v>241</v>
      </c>
      <c r="I690" s="58" t="s">
        <v>295</v>
      </c>
      <c r="J690" s="58" t="s">
        <v>1515</v>
      </c>
      <c r="K690" s="58"/>
      <c r="L690" s="58" t="s">
        <v>246</v>
      </c>
      <c r="M690" s="58"/>
      <c r="N690" s="58" t="s">
        <v>295</v>
      </c>
      <c r="O690" s="58"/>
      <c r="P690" s="63"/>
      <c r="Q690" s="63"/>
    </row>
    <row r="691" spans="2:17" ht="20.25" customHeight="1" x14ac:dyDescent="0.3">
      <c r="B691" s="59" t="s">
        <v>832</v>
      </c>
      <c r="C691" s="59" t="s">
        <v>1661</v>
      </c>
      <c r="D691" s="62" t="str">
        <f t="shared" si="15"/>
        <v>JEEPWrangler</v>
      </c>
      <c r="E691" s="59" t="s">
        <v>1741</v>
      </c>
      <c r="F691" s="60">
        <v>46400000</v>
      </c>
      <c r="G691" s="60">
        <v>1995</v>
      </c>
      <c r="H691" s="58" t="s">
        <v>241</v>
      </c>
      <c r="I691" s="58" t="s">
        <v>295</v>
      </c>
      <c r="J691" s="58" t="s">
        <v>1612</v>
      </c>
      <c r="K691" s="58"/>
      <c r="L691" s="58" t="s">
        <v>284</v>
      </c>
      <c r="M691" s="58"/>
      <c r="N691" s="58" t="s">
        <v>295</v>
      </c>
      <c r="O691" s="58"/>
      <c r="P691" s="63"/>
      <c r="Q691" s="63"/>
    </row>
    <row r="692" spans="2:17" ht="20.25" customHeight="1" x14ac:dyDescent="0.3">
      <c r="B692" s="59" t="s">
        <v>832</v>
      </c>
      <c r="C692" s="59" t="s">
        <v>861</v>
      </c>
      <c r="D692" s="62" t="str">
        <f t="shared" ref="D692:D694" si="16">+B692&amp;C692</f>
        <v>JEEPWrangler</v>
      </c>
      <c r="E692" s="59" t="s">
        <v>1742</v>
      </c>
      <c r="F692" s="60">
        <v>77100000</v>
      </c>
      <c r="G692" s="60">
        <v>1995</v>
      </c>
      <c r="H692" s="58" t="s">
        <v>241</v>
      </c>
      <c r="I692" s="58" t="s">
        <v>295</v>
      </c>
      <c r="J692" s="58" t="s">
        <v>1612</v>
      </c>
      <c r="K692" s="58"/>
      <c r="L692" s="58" t="s">
        <v>284</v>
      </c>
      <c r="M692" s="58"/>
      <c r="N692" s="58" t="s">
        <v>295</v>
      </c>
      <c r="O692" s="58"/>
      <c r="P692" s="63"/>
      <c r="Q692" s="63"/>
    </row>
    <row r="693" spans="2:17" ht="20.25" customHeight="1" x14ac:dyDescent="0.3">
      <c r="B693" s="59" t="s">
        <v>832</v>
      </c>
      <c r="C693" s="59" t="s">
        <v>861</v>
      </c>
      <c r="D693" s="62" t="str">
        <f t="shared" si="16"/>
        <v>JEEPWrangler</v>
      </c>
      <c r="E693" s="59" t="s">
        <v>1743</v>
      </c>
      <c r="F693" s="60">
        <v>77100000</v>
      </c>
      <c r="G693" s="60">
        <v>1995</v>
      </c>
      <c r="H693" s="58" t="s">
        <v>241</v>
      </c>
      <c r="I693" s="58" t="s">
        <v>295</v>
      </c>
      <c r="J693" s="58" t="s">
        <v>1612</v>
      </c>
      <c r="K693" s="58"/>
      <c r="L693" s="58" t="s">
        <v>284</v>
      </c>
      <c r="M693" s="58"/>
      <c r="N693" s="58" t="s">
        <v>295</v>
      </c>
      <c r="O693" s="58"/>
      <c r="P693" s="63"/>
      <c r="Q693" s="63"/>
    </row>
    <row r="694" spans="2:17" ht="20.25" customHeight="1" x14ac:dyDescent="0.3">
      <c r="B694" s="59" t="s">
        <v>832</v>
      </c>
      <c r="C694" s="59" t="s">
        <v>861</v>
      </c>
      <c r="D694" s="62" t="str">
        <f t="shared" si="16"/>
        <v>JEEPWrangler</v>
      </c>
      <c r="E694" s="59" t="s">
        <v>1744</v>
      </c>
      <c r="F694" s="60">
        <v>77100000</v>
      </c>
      <c r="G694" s="60">
        <v>1995</v>
      </c>
      <c r="H694" s="58" t="s">
        <v>241</v>
      </c>
      <c r="I694" s="58" t="s">
        <v>295</v>
      </c>
      <c r="J694" s="58" t="s">
        <v>1612</v>
      </c>
      <c r="K694" s="58"/>
      <c r="L694" s="58" t="s">
        <v>284</v>
      </c>
      <c r="M694" s="58"/>
      <c r="N694" s="58" t="s">
        <v>295</v>
      </c>
      <c r="O694" s="58"/>
      <c r="P694" s="63"/>
      <c r="Q694" s="63"/>
    </row>
    <row r="695" spans="2:17" ht="20.25" customHeight="1" x14ac:dyDescent="0.3">
      <c r="B695" s="59" t="s">
        <v>832</v>
      </c>
      <c r="C695" s="59" t="s">
        <v>861</v>
      </c>
      <c r="D695" s="62" t="str">
        <f t="shared" si="15"/>
        <v>JEEPWrangler</v>
      </c>
      <c r="E695" s="59" t="s">
        <v>1745</v>
      </c>
      <c r="F695" s="60">
        <v>84600000</v>
      </c>
      <c r="G695" s="60">
        <v>1995</v>
      </c>
      <c r="H695" s="58" t="s">
        <v>241</v>
      </c>
      <c r="I695" s="58" t="s">
        <v>295</v>
      </c>
      <c r="J695" s="58" t="s">
        <v>1612</v>
      </c>
      <c r="K695" s="58"/>
      <c r="L695" s="58" t="s">
        <v>284</v>
      </c>
      <c r="M695" s="58"/>
      <c r="N695" s="58" t="s">
        <v>295</v>
      </c>
      <c r="O695" s="58"/>
      <c r="P695" s="63"/>
      <c r="Q695" s="63"/>
    </row>
    <row r="696" spans="2:17" ht="20.25" customHeight="1" x14ac:dyDescent="0.3">
      <c r="B696" s="59" t="s">
        <v>832</v>
      </c>
      <c r="C696" s="59" t="s">
        <v>1662</v>
      </c>
      <c r="D696" s="62" t="str">
        <f t="shared" si="15"/>
        <v>JEEPGladiator</v>
      </c>
      <c r="E696" s="59" t="s">
        <v>862</v>
      </c>
      <c r="F696" s="60">
        <v>85100000</v>
      </c>
      <c r="G696" s="60">
        <v>3604</v>
      </c>
      <c r="H696" s="58" t="s">
        <v>241</v>
      </c>
      <c r="I696" s="58" t="s">
        <v>769</v>
      </c>
      <c r="J696" s="58" t="s">
        <v>1612</v>
      </c>
      <c r="K696" s="58"/>
      <c r="L696" s="58" t="s">
        <v>246</v>
      </c>
      <c r="M696" s="58"/>
      <c r="N696" s="58" t="s">
        <v>295</v>
      </c>
      <c r="O696" s="58"/>
      <c r="P696" s="63"/>
      <c r="Q696" s="63"/>
    </row>
    <row r="697" spans="2:17" ht="20.25" customHeight="1" x14ac:dyDescent="0.3">
      <c r="B697" s="59" t="s">
        <v>832</v>
      </c>
      <c r="C697" s="59" t="s">
        <v>1773</v>
      </c>
      <c r="D697" s="62" t="str">
        <f t="shared" si="15"/>
        <v>JEEPAvenger</v>
      </c>
      <c r="E697" s="59" t="s">
        <v>1774</v>
      </c>
      <c r="F697" s="60">
        <v>52900000</v>
      </c>
      <c r="G697" s="60">
        <v>0</v>
      </c>
      <c r="H697" s="58" t="s">
        <v>1776</v>
      </c>
      <c r="I697" s="58" t="s">
        <v>295</v>
      </c>
      <c r="J697" s="58"/>
      <c r="K697" s="58"/>
      <c r="L697" s="58" t="s">
        <v>1777</v>
      </c>
      <c r="M697" s="58"/>
      <c r="N697" s="58" t="s">
        <v>295</v>
      </c>
      <c r="O697" s="58"/>
      <c r="P697" s="63"/>
      <c r="Q697" s="63"/>
    </row>
    <row r="698" spans="2:17" ht="20.25" customHeight="1" x14ac:dyDescent="0.3">
      <c r="B698" s="59" t="s">
        <v>832</v>
      </c>
      <c r="C698" s="59" t="s">
        <v>1773</v>
      </c>
      <c r="D698" s="62" t="str">
        <f t="shared" si="15"/>
        <v>JEEPAvenger</v>
      </c>
      <c r="E698" s="59" t="s">
        <v>1775</v>
      </c>
      <c r="F698" s="60">
        <v>56400000</v>
      </c>
      <c r="G698" s="60">
        <v>0</v>
      </c>
      <c r="H698" s="58" t="s">
        <v>1776</v>
      </c>
      <c r="I698" s="58" t="s">
        <v>295</v>
      </c>
      <c r="J698" s="58"/>
      <c r="K698" s="58"/>
      <c r="L698" s="58" t="s">
        <v>1777</v>
      </c>
      <c r="M698" s="58"/>
      <c r="N698" s="58" t="s">
        <v>295</v>
      </c>
      <c r="O698" s="58"/>
      <c r="P698" s="63"/>
      <c r="Q698" s="63"/>
    </row>
    <row r="699" spans="2:17" ht="20.25" customHeight="1" x14ac:dyDescent="0.3">
      <c r="B699" s="59"/>
      <c r="C699" s="59"/>
      <c r="D699" s="62" t="str">
        <f t="shared" si="15"/>
        <v/>
      </c>
      <c r="E699" s="59"/>
      <c r="F699" s="60"/>
      <c r="G699" s="60"/>
      <c r="H699" s="58"/>
      <c r="I699" s="58"/>
      <c r="J699" s="58"/>
      <c r="K699" s="58"/>
      <c r="L699" s="58"/>
      <c r="M699" s="58"/>
      <c r="N699" s="58"/>
      <c r="O699" s="58"/>
      <c r="P699" s="63"/>
      <c r="Q699" s="63"/>
    </row>
    <row r="700" spans="2:17" ht="20.25" customHeight="1" x14ac:dyDescent="0.3">
      <c r="B700" s="59"/>
      <c r="C700" s="59"/>
      <c r="D700" s="62" t="str">
        <f t="shared" si="15"/>
        <v/>
      </c>
      <c r="E700" s="59"/>
      <c r="F700" s="60"/>
      <c r="G700" s="60"/>
      <c r="H700" s="58"/>
      <c r="I700" s="58"/>
      <c r="J700" s="58"/>
      <c r="K700" s="58"/>
      <c r="L700" s="58"/>
      <c r="M700" s="58"/>
      <c r="N700" s="58"/>
      <c r="O700" s="58"/>
      <c r="P700" s="63"/>
      <c r="Q700" s="63"/>
    </row>
    <row r="701" spans="2:17" ht="20.25" customHeight="1" x14ac:dyDescent="0.3">
      <c r="B701" s="59"/>
      <c r="C701" s="59"/>
      <c r="D701" s="62" t="str">
        <f t="shared" si="15"/>
        <v/>
      </c>
      <c r="E701" s="59"/>
      <c r="F701" s="60"/>
      <c r="G701" s="60"/>
      <c r="H701" s="58"/>
      <c r="I701" s="58"/>
      <c r="J701" s="58"/>
      <c r="K701" s="58"/>
      <c r="L701" s="58"/>
      <c r="M701" s="58"/>
      <c r="N701" s="58"/>
      <c r="O701" s="58"/>
      <c r="P701" s="63"/>
      <c r="Q701" s="63"/>
    </row>
    <row r="702" spans="2:17" ht="20.25" customHeight="1" x14ac:dyDescent="0.3">
      <c r="B702" s="59"/>
      <c r="C702" s="59"/>
      <c r="D702" s="62" t="str">
        <f t="shared" si="15"/>
        <v/>
      </c>
      <c r="E702" s="59"/>
      <c r="F702" s="60"/>
      <c r="G702" s="60"/>
      <c r="H702" s="58"/>
      <c r="I702" s="58"/>
      <c r="J702" s="58"/>
      <c r="K702" s="58"/>
      <c r="L702" s="58"/>
      <c r="M702" s="58"/>
      <c r="N702" s="58"/>
      <c r="O702" s="58"/>
      <c r="P702" s="63"/>
      <c r="Q702" s="63"/>
    </row>
    <row r="703" spans="2:17" ht="20.25" customHeight="1" x14ac:dyDescent="0.3">
      <c r="B703" s="59" t="s">
        <v>863</v>
      </c>
      <c r="C703" s="59" t="s">
        <v>122</v>
      </c>
      <c r="D703" s="62" t="str">
        <f t="shared" si="15"/>
        <v>LANDROVERDefender</v>
      </c>
      <c r="E703" s="59" t="s">
        <v>864</v>
      </c>
      <c r="F703" s="60">
        <v>84800000</v>
      </c>
      <c r="G703" s="60">
        <v>2997</v>
      </c>
      <c r="H703" s="58" t="s">
        <v>250</v>
      </c>
      <c r="I703" s="58" t="s">
        <v>295</v>
      </c>
      <c r="J703" s="58" t="s">
        <v>1610</v>
      </c>
      <c r="K703" s="58" t="s">
        <v>1733</v>
      </c>
      <c r="L703" s="58" t="s">
        <v>62</v>
      </c>
      <c r="M703" s="58"/>
      <c r="N703" s="58" t="s">
        <v>295</v>
      </c>
      <c r="O703" s="58"/>
      <c r="P703" s="63"/>
      <c r="Q703" s="63"/>
    </row>
    <row r="704" spans="2:17" ht="20.25" customHeight="1" x14ac:dyDescent="0.3">
      <c r="B704" s="59" t="s">
        <v>863</v>
      </c>
      <c r="C704" s="59" t="s">
        <v>122</v>
      </c>
      <c r="D704" s="62" t="str">
        <f t="shared" si="15"/>
        <v>LANDROVERDefender</v>
      </c>
      <c r="E704" s="59" t="s">
        <v>865</v>
      </c>
      <c r="F704" s="60">
        <v>98500000</v>
      </c>
      <c r="G704" s="60">
        <v>2997</v>
      </c>
      <c r="H704" s="58" t="s">
        <v>250</v>
      </c>
      <c r="I704" s="58" t="s">
        <v>295</v>
      </c>
      <c r="J704" s="58" t="s">
        <v>1610</v>
      </c>
      <c r="K704" s="58" t="s">
        <v>1733</v>
      </c>
      <c r="L704" s="58" t="s">
        <v>62</v>
      </c>
      <c r="M704" s="58"/>
      <c r="N704" s="58" t="s">
        <v>295</v>
      </c>
      <c r="O704" s="58"/>
      <c r="P704" s="63"/>
      <c r="Q704" s="63"/>
    </row>
    <row r="705" spans="2:17" ht="20.25" customHeight="1" x14ac:dyDescent="0.3">
      <c r="B705" s="59" t="s">
        <v>863</v>
      </c>
      <c r="C705" s="59" t="s">
        <v>122</v>
      </c>
      <c r="D705" s="62" t="str">
        <f t="shared" si="15"/>
        <v>LANDROVERDefender</v>
      </c>
      <c r="E705" s="59" t="s">
        <v>866</v>
      </c>
      <c r="F705" s="60">
        <v>101500000</v>
      </c>
      <c r="G705" s="60">
        <v>2997</v>
      </c>
      <c r="H705" s="58" t="s">
        <v>250</v>
      </c>
      <c r="I705" s="58" t="s">
        <v>295</v>
      </c>
      <c r="J705" s="58" t="s">
        <v>1610</v>
      </c>
      <c r="K705" s="58" t="s">
        <v>1733</v>
      </c>
      <c r="L705" s="58" t="s">
        <v>62</v>
      </c>
      <c r="M705" s="58"/>
      <c r="N705" s="58" t="s">
        <v>295</v>
      </c>
      <c r="O705" s="58"/>
      <c r="P705" s="63"/>
      <c r="Q705" s="63"/>
    </row>
    <row r="706" spans="2:17" ht="20.25" customHeight="1" x14ac:dyDescent="0.3">
      <c r="B706" s="59" t="s">
        <v>863</v>
      </c>
      <c r="C706" s="59" t="s">
        <v>122</v>
      </c>
      <c r="D706" s="62" t="str">
        <f t="shared" si="15"/>
        <v>LANDROVERDefender</v>
      </c>
      <c r="E706" s="59" t="s">
        <v>867</v>
      </c>
      <c r="F706" s="60">
        <v>91800000</v>
      </c>
      <c r="G706" s="60">
        <v>2997</v>
      </c>
      <c r="H706" s="58" t="s">
        <v>250</v>
      </c>
      <c r="I706" s="58" t="s">
        <v>295</v>
      </c>
      <c r="J706" s="58" t="s">
        <v>1610</v>
      </c>
      <c r="K706" s="58" t="s">
        <v>1733</v>
      </c>
      <c r="L706" s="58" t="s">
        <v>62</v>
      </c>
      <c r="M706" s="58"/>
      <c r="N706" s="58" t="s">
        <v>295</v>
      </c>
      <c r="O706" s="58"/>
      <c r="P706" s="63"/>
      <c r="Q706" s="63"/>
    </row>
    <row r="707" spans="2:17" ht="20.25" customHeight="1" x14ac:dyDescent="0.3">
      <c r="B707" s="59" t="s">
        <v>863</v>
      </c>
      <c r="C707" s="59" t="s">
        <v>122</v>
      </c>
      <c r="D707" s="62" t="str">
        <f t="shared" si="15"/>
        <v>LANDROVERDefender</v>
      </c>
      <c r="E707" s="59" t="s">
        <v>868</v>
      </c>
      <c r="F707" s="60">
        <v>106400000</v>
      </c>
      <c r="G707" s="60">
        <v>2997</v>
      </c>
      <c r="H707" s="58" t="s">
        <v>250</v>
      </c>
      <c r="I707" s="58" t="s">
        <v>295</v>
      </c>
      <c r="J707" s="58" t="s">
        <v>1610</v>
      </c>
      <c r="K707" s="58" t="s">
        <v>1733</v>
      </c>
      <c r="L707" s="58" t="s">
        <v>62</v>
      </c>
      <c r="M707" s="58"/>
      <c r="N707" s="58" t="s">
        <v>295</v>
      </c>
      <c r="O707" s="58"/>
      <c r="P707" s="63"/>
      <c r="Q707" s="63"/>
    </row>
    <row r="708" spans="2:17" ht="20.25" customHeight="1" x14ac:dyDescent="0.3">
      <c r="B708" s="59" t="s">
        <v>863</v>
      </c>
      <c r="C708" s="59" t="s">
        <v>122</v>
      </c>
      <c r="D708" s="62" t="str">
        <f t="shared" si="15"/>
        <v>LANDROVERDefender</v>
      </c>
      <c r="E708" s="59" t="s">
        <v>869</v>
      </c>
      <c r="F708" s="60">
        <v>120470000</v>
      </c>
      <c r="G708" s="60">
        <v>2997</v>
      </c>
      <c r="H708" s="58" t="s">
        <v>250</v>
      </c>
      <c r="I708" s="58" t="s">
        <v>295</v>
      </c>
      <c r="J708" s="58" t="s">
        <v>1610</v>
      </c>
      <c r="K708" s="58" t="s">
        <v>1733</v>
      </c>
      <c r="L708" s="58" t="s">
        <v>62</v>
      </c>
      <c r="M708" s="58"/>
      <c r="N708" s="58" t="s">
        <v>295</v>
      </c>
      <c r="O708" s="58"/>
      <c r="P708" s="63"/>
      <c r="Q708" s="63"/>
    </row>
    <row r="709" spans="2:17" ht="20.25" customHeight="1" x14ac:dyDescent="0.3">
      <c r="B709" s="59" t="s">
        <v>863</v>
      </c>
      <c r="C709" s="59" t="s">
        <v>122</v>
      </c>
      <c r="D709" s="62" t="str">
        <f t="shared" si="15"/>
        <v>LANDROVERDefender</v>
      </c>
      <c r="E709" s="59" t="s">
        <v>870</v>
      </c>
      <c r="F709" s="60">
        <v>109100000</v>
      </c>
      <c r="G709" s="60">
        <v>1997</v>
      </c>
      <c r="H709" s="58" t="s">
        <v>241</v>
      </c>
      <c r="I709" s="58" t="s">
        <v>295</v>
      </c>
      <c r="J709" s="58" t="s">
        <v>1610</v>
      </c>
      <c r="K709" s="58" t="s">
        <v>1733</v>
      </c>
      <c r="L709" s="58" t="s">
        <v>62</v>
      </c>
      <c r="M709" s="58"/>
      <c r="N709" s="58" t="s">
        <v>295</v>
      </c>
      <c r="O709" s="58"/>
      <c r="P709" s="63"/>
      <c r="Q709" s="63"/>
    </row>
    <row r="710" spans="2:17" ht="20.25" customHeight="1" x14ac:dyDescent="0.3">
      <c r="B710" s="59" t="s">
        <v>863</v>
      </c>
      <c r="C710" s="59" t="s">
        <v>122</v>
      </c>
      <c r="D710" s="62" t="str">
        <f t="shared" si="15"/>
        <v>LANDROVERDefender</v>
      </c>
      <c r="E710" s="59" t="s">
        <v>871</v>
      </c>
      <c r="F710" s="60">
        <v>145870000</v>
      </c>
      <c r="G710" s="60">
        <v>2996</v>
      </c>
      <c r="H710" s="58" t="s">
        <v>241</v>
      </c>
      <c r="I710" s="58" t="s">
        <v>295</v>
      </c>
      <c r="J710" s="58" t="s">
        <v>1610</v>
      </c>
      <c r="K710" s="58" t="s">
        <v>1733</v>
      </c>
      <c r="L710" s="58" t="s">
        <v>62</v>
      </c>
      <c r="M710" s="58"/>
      <c r="N710" s="58" t="s">
        <v>295</v>
      </c>
      <c r="O710" s="58"/>
      <c r="P710" s="63"/>
      <c r="Q710" s="63"/>
    </row>
    <row r="711" spans="2:17" ht="20.25" customHeight="1" x14ac:dyDescent="0.3">
      <c r="B711" s="59" t="s">
        <v>863</v>
      </c>
      <c r="C711" s="59" t="s">
        <v>122</v>
      </c>
      <c r="D711" s="62" t="str">
        <f t="shared" si="15"/>
        <v>LANDROVERDefender</v>
      </c>
      <c r="E711" s="59" t="s">
        <v>872</v>
      </c>
      <c r="F711" s="60">
        <v>142170000</v>
      </c>
      <c r="G711" s="60">
        <v>2996</v>
      </c>
      <c r="H711" s="58" t="s">
        <v>241</v>
      </c>
      <c r="I711" s="58" t="s">
        <v>295</v>
      </c>
      <c r="J711" s="58" t="s">
        <v>1610</v>
      </c>
      <c r="K711" s="58" t="s">
        <v>1733</v>
      </c>
      <c r="L711" s="58" t="s">
        <v>62</v>
      </c>
      <c r="M711" s="58"/>
      <c r="N711" s="58" t="s">
        <v>295</v>
      </c>
      <c r="O711" s="58"/>
      <c r="P711" s="63"/>
      <c r="Q711" s="63"/>
    </row>
    <row r="712" spans="2:17" ht="20.25" customHeight="1" x14ac:dyDescent="0.3">
      <c r="B712" s="59" t="s">
        <v>863</v>
      </c>
      <c r="C712" s="59" t="s">
        <v>122</v>
      </c>
      <c r="D712" s="62" t="str">
        <f t="shared" si="15"/>
        <v>LANDROVERDefender</v>
      </c>
      <c r="E712" s="59" t="s">
        <v>873</v>
      </c>
      <c r="F712" s="60">
        <v>137070000</v>
      </c>
      <c r="G712" s="60">
        <v>2997</v>
      </c>
      <c r="H712" s="58" t="s">
        <v>250</v>
      </c>
      <c r="I712" s="58" t="s">
        <v>295</v>
      </c>
      <c r="J712" s="58" t="s">
        <v>1610</v>
      </c>
      <c r="K712" s="58" t="s">
        <v>1733</v>
      </c>
      <c r="L712" s="58" t="s">
        <v>62</v>
      </c>
      <c r="M712" s="58"/>
      <c r="N712" s="58" t="s">
        <v>295</v>
      </c>
      <c r="O712" s="58"/>
      <c r="P712" s="63"/>
      <c r="Q712" s="63"/>
    </row>
    <row r="713" spans="2:17" ht="20.25" customHeight="1" x14ac:dyDescent="0.3">
      <c r="B713" s="59" t="s">
        <v>863</v>
      </c>
      <c r="C713" s="59" t="s">
        <v>123</v>
      </c>
      <c r="D713" s="62" t="str">
        <f t="shared" si="15"/>
        <v>LANDROVERDiscovery</v>
      </c>
      <c r="E713" s="59" t="s">
        <v>874</v>
      </c>
      <c r="F713" s="60">
        <v>67300000</v>
      </c>
      <c r="G713" s="60">
        <v>1997</v>
      </c>
      <c r="H713" s="58" t="s">
        <v>250</v>
      </c>
      <c r="I713" s="58" t="s">
        <v>295</v>
      </c>
      <c r="J713" s="58" t="s">
        <v>1610</v>
      </c>
      <c r="K713" s="58" t="s">
        <v>1734</v>
      </c>
      <c r="L713" s="58" t="s">
        <v>331</v>
      </c>
      <c r="M713" s="58"/>
      <c r="N713" s="58" t="s">
        <v>295</v>
      </c>
      <c r="O713" s="58"/>
      <c r="P713" s="63"/>
      <c r="Q713" s="63"/>
    </row>
    <row r="714" spans="2:17" ht="20.25" customHeight="1" x14ac:dyDescent="0.3">
      <c r="B714" s="59" t="s">
        <v>863</v>
      </c>
      <c r="C714" s="59" t="s">
        <v>123</v>
      </c>
      <c r="D714" s="62" t="str">
        <f t="shared" si="15"/>
        <v>LANDROVERDiscovery</v>
      </c>
      <c r="E714" s="59" t="s">
        <v>875</v>
      </c>
      <c r="F714" s="60">
        <v>63700000</v>
      </c>
      <c r="G714" s="60">
        <v>1997</v>
      </c>
      <c r="H714" s="58" t="s">
        <v>241</v>
      </c>
      <c r="I714" s="58" t="s">
        <v>295</v>
      </c>
      <c r="J714" s="58" t="s">
        <v>1610</v>
      </c>
      <c r="K714" s="58" t="s">
        <v>1734</v>
      </c>
      <c r="L714" s="58" t="s">
        <v>331</v>
      </c>
      <c r="M714" s="58"/>
      <c r="N714" s="58" t="s">
        <v>295</v>
      </c>
      <c r="O714" s="58"/>
      <c r="P714" s="63"/>
      <c r="Q714" s="63"/>
    </row>
    <row r="715" spans="2:17" ht="20.25" customHeight="1" x14ac:dyDescent="0.3">
      <c r="B715" s="59" t="s">
        <v>863</v>
      </c>
      <c r="C715" s="59" t="s">
        <v>123</v>
      </c>
      <c r="D715" s="62" t="str">
        <f t="shared" si="15"/>
        <v>LANDROVERDiscovery</v>
      </c>
      <c r="E715" s="59" t="s">
        <v>876</v>
      </c>
      <c r="F715" s="60">
        <v>68200000</v>
      </c>
      <c r="G715" s="60">
        <v>1997</v>
      </c>
      <c r="H715" s="58" t="s">
        <v>241</v>
      </c>
      <c r="I715" s="58" t="s">
        <v>295</v>
      </c>
      <c r="J715" s="58" t="s">
        <v>1610</v>
      </c>
      <c r="K715" s="58" t="s">
        <v>1734</v>
      </c>
      <c r="L715" s="58" t="s">
        <v>331</v>
      </c>
      <c r="M715" s="58"/>
      <c r="N715" s="58" t="s">
        <v>295</v>
      </c>
      <c r="O715" s="58"/>
      <c r="P715" s="63"/>
      <c r="Q715" s="63"/>
    </row>
    <row r="716" spans="2:17" ht="20.25" customHeight="1" x14ac:dyDescent="0.3">
      <c r="B716" s="59" t="s">
        <v>863</v>
      </c>
      <c r="C716" s="59" t="s">
        <v>123</v>
      </c>
      <c r="D716" s="62" t="str">
        <f t="shared" si="15"/>
        <v>LANDROVERDiscovery</v>
      </c>
      <c r="E716" s="59" t="s">
        <v>877</v>
      </c>
      <c r="F716" s="60">
        <v>89900000</v>
      </c>
      <c r="G716" s="60">
        <v>2997</v>
      </c>
      <c r="H716" s="58" t="s">
        <v>250</v>
      </c>
      <c r="I716" s="58" t="s">
        <v>295</v>
      </c>
      <c r="J716" s="58" t="s">
        <v>1610</v>
      </c>
      <c r="K716" s="58" t="s">
        <v>1734</v>
      </c>
      <c r="L716" s="58" t="s">
        <v>331</v>
      </c>
      <c r="M716" s="58"/>
      <c r="N716" s="58" t="s">
        <v>295</v>
      </c>
      <c r="O716" s="58"/>
      <c r="P716" s="63"/>
      <c r="Q716" s="63"/>
    </row>
    <row r="717" spans="2:17" ht="20.25" customHeight="1" x14ac:dyDescent="0.3">
      <c r="B717" s="59" t="s">
        <v>863</v>
      </c>
      <c r="C717" s="59" t="s">
        <v>123</v>
      </c>
      <c r="D717" s="62" t="str">
        <f t="shared" si="15"/>
        <v>LANDROVERDiscovery</v>
      </c>
      <c r="E717" s="59" t="s">
        <v>878</v>
      </c>
      <c r="F717" s="60">
        <v>97700000</v>
      </c>
      <c r="G717" s="60">
        <v>2997</v>
      </c>
      <c r="H717" s="58" t="s">
        <v>250</v>
      </c>
      <c r="I717" s="58" t="s">
        <v>295</v>
      </c>
      <c r="J717" s="58" t="s">
        <v>1610</v>
      </c>
      <c r="K717" s="58" t="s">
        <v>1734</v>
      </c>
      <c r="L717" s="58" t="s">
        <v>331</v>
      </c>
      <c r="M717" s="58"/>
      <c r="N717" s="58" t="s">
        <v>295</v>
      </c>
      <c r="O717" s="58"/>
      <c r="P717" s="63"/>
      <c r="Q717" s="63"/>
    </row>
    <row r="718" spans="2:17" ht="20.25" customHeight="1" x14ac:dyDescent="0.3">
      <c r="B718" s="59" t="s">
        <v>863</v>
      </c>
      <c r="C718" s="59" t="s">
        <v>123</v>
      </c>
      <c r="D718" s="62" t="str">
        <f t="shared" si="15"/>
        <v>LANDROVERDiscovery</v>
      </c>
      <c r="E718" s="59" t="s">
        <v>879</v>
      </c>
      <c r="F718" s="60">
        <v>120200000</v>
      </c>
      <c r="G718" s="60">
        <v>2997</v>
      </c>
      <c r="H718" s="58" t="s">
        <v>250</v>
      </c>
      <c r="I718" s="58" t="s">
        <v>295</v>
      </c>
      <c r="J718" s="58" t="s">
        <v>1610</v>
      </c>
      <c r="K718" s="58" t="s">
        <v>1734</v>
      </c>
      <c r="L718" s="58" t="s">
        <v>331</v>
      </c>
      <c r="M718" s="58"/>
      <c r="N718" s="58" t="s">
        <v>295</v>
      </c>
      <c r="O718" s="58"/>
      <c r="P718" s="63"/>
      <c r="Q718" s="63"/>
    </row>
    <row r="719" spans="2:17" ht="20.25" customHeight="1" x14ac:dyDescent="0.3">
      <c r="B719" s="59" t="s">
        <v>863</v>
      </c>
      <c r="C719" s="59" t="s">
        <v>123</v>
      </c>
      <c r="D719" s="62" t="str">
        <f t="shared" si="15"/>
        <v>LANDROVERDiscovery</v>
      </c>
      <c r="E719" s="59" t="s">
        <v>880</v>
      </c>
      <c r="F719" s="60">
        <v>97100000</v>
      </c>
      <c r="G719" s="60">
        <v>1997</v>
      </c>
      <c r="H719" s="58" t="s">
        <v>241</v>
      </c>
      <c r="I719" s="58" t="s">
        <v>295</v>
      </c>
      <c r="J719" s="58" t="s">
        <v>1610</v>
      </c>
      <c r="K719" s="58" t="s">
        <v>1734</v>
      </c>
      <c r="L719" s="58" t="s">
        <v>331</v>
      </c>
      <c r="M719" s="58"/>
      <c r="N719" s="58" t="s">
        <v>295</v>
      </c>
      <c r="O719" s="58"/>
      <c r="P719" s="63"/>
      <c r="Q719" s="63"/>
    </row>
    <row r="720" spans="2:17" ht="20.25" customHeight="1" x14ac:dyDescent="0.3">
      <c r="B720" s="59" t="s">
        <v>863</v>
      </c>
      <c r="C720" s="59" t="s">
        <v>123</v>
      </c>
      <c r="D720" s="62" t="str">
        <f t="shared" si="15"/>
        <v>LANDROVERDiscovery</v>
      </c>
      <c r="E720" s="59" t="s">
        <v>881</v>
      </c>
      <c r="F720" s="60">
        <v>119300000</v>
      </c>
      <c r="G720" s="60">
        <v>2995</v>
      </c>
      <c r="H720" s="58" t="s">
        <v>241</v>
      </c>
      <c r="I720" s="58" t="s">
        <v>295</v>
      </c>
      <c r="J720" s="58" t="s">
        <v>1610</v>
      </c>
      <c r="K720" s="58" t="s">
        <v>1734</v>
      </c>
      <c r="L720" s="58" t="s">
        <v>331</v>
      </c>
      <c r="M720" s="58"/>
      <c r="N720" s="58" t="s">
        <v>295</v>
      </c>
      <c r="O720" s="58"/>
      <c r="P720" s="63"/>
      <c r="Q720" s="63"/>
    </row>
    <row r="721" spans="2:17" ht="20.25" customHeight="1" x14ac:dyDescent="0.3">
      <c r="B721" s="59" t="s">
        <v>863</v>
      </c>
      <c r="C721" s="59" t="s">
        <v>1301</v>
      </c>
      <c r="D721" s="62" t="str">
        <f t="shared" si="15"/>
        <v>LANDROVERRange_Rover_Evoque</v>
      </c>
      <c r="E721" s="59" t="s">
        <v>882</v>
      </c>
      <c r="F721" s="60">
        <v>68100000</v>
      </c>
      <c r="G721" s="60">
        <v>1997</v>
      </c>
      <c r="H721" s="58" t="s">
        <v>241</v>
      </c>
      <c r="I721" s="58" t="s">
        <v>295</v>
      </c>
      <c r="J721" s="58" t="s">
        <v>1611</v>
      </c>
      <c r="K721" s="58" t="s">
        <v>1734</v>
      </c>
      <c r="L721" s="58" t="s">
        <v>331</v>
      </c>
      <c r="M721" s="58"/>
      <c r="N721" s="58" t="s">
        <v>295</v>
      </c>
      <c r="O721" s="58"/>
      <c r="P721" s="63"/>
      <c r="Q721" s="63"/>
    </row>
    <row r="722" spans="2:17" ht="20.25" customHeight="1" x14ac:dyDescent="0.3">
      <c r="B722" s="59" t="s">
        <v>863</v>
      </c>
      <c r="C722" s="59" t="s">
        <v>1301</v>
      </c>
      <c r="D722" s="62" t="str">
        <f t="shared" si="15"/>
        <v>LANDROVERRange_Rover_Evoque</v>
      </c>
      <c r="E722" s="59" t="s">
        <v>883</v>
      </c>
      <c r="F722" s="60">
        <v>73700000</v>
      </c>
      <c r="G722" s="60">
        <v>1997</v>
      </c>
      <c r="H722" s="58" t="s">
        <v>241</v>
      </c>
      <c r="I722" s="58" t="s">
        <v>295</v>
      </c>
      <c r="J722" s="58" t="s">
        <v>1611</v>
      </c>
      <c r="K722" s="58" t="s">
        <v>1734</v>
      </c>
      <c r="L722" s="58" t="s">
        <v>331</v>
      </c>
      <c r="M722" s="58"/>
      <c r="N722" s="58" t="s">
        <v>295</v>
      </c>
      <c r="O722" s="58"/>
      <c r="P722" s="63"/>
      <c r="Q722" s="63"/>
    </row>
    <row r="723" spans="2:17" ht="20.25" customHeight="1" x14ac:dyDescent="0.3">
      <c r="B723" s="59" t="s">
        <v>863</v>
      </c>
      <c r="C723" s="59" t="s">
        <v>1301</v>
      </c>
      <c r="D723" s="62" t="str">
        <f t="shared" ref="D723:D756" si="17">+B723&amp;C723</f>
        <v>LANDROVERRange_Rover_Evoque</v>
      </c>
      <c r="E723" s="59" t="s">
        <v>884</v>
      </c>
      <c r="F723" s="60">
        <v>76600000</v>
      </c>
      <c r="G723" s="60">
        <v>1997</v>
      </c>
      <c r="H723" s="58" t="s">
        <v>241</v>
      </c>
      <c r="I723" s="58" t="s">
        <v>295</v>
      </c>
      <c r="J723" s="58" t="s">
        <v>1611</v>
      </c>
      <c r="K723" s="58" t="s">
        <v>1734</v>
      </c>
      <c r="L723" s="58" t="s">
        <v>331</v>
      </c>
      <c r="M723" s="58"/>
      <c r="N723" s="58" t="s">
        <v>295</v>
      </c>
      <c r="O723" s="58"/>
      <c r="P723" s="63"/>
      <c r="Q723" s="63"/>
    </row>
    <row r="724" spans="2:17" ht="20.25" customHeight="1" x14ac:dyDescent="0.3">
      <c r="B724" s="59" t="s">
        <v>863</v>
      </c>
      <c r="C724" s="59" t="s">
        <v>1300</v>
      </c>
      <c r="D724" s="62" t="str">
        <f t="shared" si="17"/>
        <v>LANDROVERRange_Rover_Velar</v>
      </c>
      <c r="E724" s="59" t="s">
        <v>885</v>
      </c>
      <c r="F724" s="60">
        <v>97100000</v>
      </c>
      <c r="G724" s="60">
        <v>1997</v>
      </c>
      <c r="H724" s="58" t="s">
        <v>241</v>
      </c>
      <c r="I724" s="58" t="s">
        <v>295</v>
      </c>
      <c r="J724" s="58" t="s">
        <v>1611</v>
      </c>
      <c r="K724" s="58" t="s">
        <v>1734</v>
      </c>
      <c r="L724" s="58" t="s">
        <v>331</v>
      </c>
      <c r="M724" s="58"/>
      <c r="N724" s="58" t="s">
        <v>295</v>
      </c>
      <c r="O724" s="58"/>
      <c r="P724" s="63"/>
      <c r="Q724" s="63"/>
    </row>
    <row r="725" spans="2:17" ht="20.25" customHeight="1" x14ac:dyDescent="0.3">
      <c r="B725" s="59" t="s">
        <v>863</v>
      </c>
      <c r="C725" s="59" t="s">
        <v>1300</v>
      </c>
      <c r="D725" s="62" t="str">
        <f t="shared" si="17"/>
        <v>LANDROVERRange_Rover_Velar</v>
      </c>
      <c r="E725" s="59" t="s">
        <v>886</v>
      </c>
      <c r="F725" s="60">
        <v>98900000</v>
      </c>
      <c r="G725" s="60">
        <v>1997</v>
      </c>
      <c r="H725" s="58" t="s">
        <v>241</v>
      </c>
      <c r="I725" s="58" t="s">
        <v>295</v>
      </c>
      <c r="J725" s="58" t="s">
        <v>1611</v>
      </c>
      <c r="K725" s="58" t="s">
        <v>1734</v>
      </c>
      <c r="L725" s="58" t="s">
        <v>331</v>
      </c>
      <c r="M725" s="58"/>
      <c r="N725" s="58" t="s">
        <v>295</v>
      </c>
      <c r="O725" s="58"/>
      <c r="P725" s="63"/>
      <c r="Q725" s="63"/>
    </row>
    <row r="726" spans="2:17" ht="20.25" customHeight="1" x14ac:dyDescent="0.3">
      <c r="B726" s="59" t="s">
        <v>863</v>
      </c>
      <c r="C726" s="59" t="s">
        <v>1300</v>
      </c>
      <c r="D726" s="62" t="str">
        <f t="shared" si="17"/>
        <v>LANDROVERRange_Rover_Velar</v>
      </c>
      <c r="E726" s="59" t="s">
        <v>887</v>
      </c>
      <c r="F726" s="60">
        <v>114300000</v>
      </c>
      <c r="G726" s="60">
        <v>2996</v>
      </c>
      <c r="H726" s="58" t="s">
        <v>241</v>
      </c>
      <c r="I726" s="58" t="s">
        <v>295</v>
      </c>
      <c r="J726" s="58" t="s">
        <v>1611</v>
      </c>
      <c r="K726" s="58" t="s">
        <v>1734</v>
      </c>
      <c r="L726" s="58" t="s">
        <v>331</v>
      </c>
      <c r="M726" s="58"/>
      <c r="N726" s="58" t="s">
        <v>295</v>
      </c>
      <c r="O726" s="58"/>
      <c r="P726" s="63"/>
      <c r="Q726" s="63"/>
    </row>
    <row r="727" spans="2:17" ht="20.25" customHeight="1" x14ac:dyDescent="0.3">
      <c r="B727" s="59" t="s">
        <v>863</v>
      </c>
      <c r="C727" s="59" t="s">
        <v>1300</v>
      </c>
      <c r="D727" s="62" t="str">
        <f t="shared" si="17"/>
        <v>LANDROVERRange_Rover_Velar</v>
      </c>
      <c r="E727" s="59" t="s">
        <v>888</v>
      </c>
      <c r="F727" s="60">
        <v>118600000</v>
      </c>
      <c r="G727" s="60">
        <v>2996</v>
      </c>
      <c r="H727" s="58" t="s">
        <v>241</v>
      </c>
      <c r="I727" s="58" t="s">
        <v>295</v>
      </c>
      <c r="J727" s="58" t="s">
        <v>1611</v>
      </c>
      <c r="K727" s="58" t="s">
        <v>1734</v>
      </c>
      <c r="L727" s="58" t="s">
        <v>331</v>
      </c>
      <c r="M727" s="58"/>
      <c r="N727" s="58" t="s">
        <v>295</v>
      </c>
      <c r="O727" s="58"/>
      <c r="P727" s="63"/>
      <c r="Q727" s="63"/>
    </row>
    <row r="728" spans="2:17" ht="20.25" customHeight="1" x14ac:dyDescent="0.3">
      <c r="B728" s="59" t="s">
        <v>863</v>
      </c>
      <c r="C728" s="59" t="s">
        <v>1299</v>
      </c>
      <c r="D728" s="62" t="str">
        <f t="shared" si="17"/>
        <v>LANDROVERRange_Rover_Sport</v>
      </c>
      <c r="E728" s="59" t="s">
        <v>889</v>
      </c>
      <c r="F728" s="60">
        <v>150670000</v>
      </c>
      <c r="G728" s="60">
        <v>2997</v>
      </c>
      <c r="H728" s="58" t="s">
        <v>250</v>
      </c>
      <c r="I728" s="58" t="s">
        <v>295</v>
      </c>
      <c r="J728" s="58" t="s">
        <v>1612</v>
      </c>
      <c r="K728" s="58" t="s">
        <v>1733</v>
      </c>
      <c r="L728" s="58" t="s">
        <v>62</v>
      </c>
      <c r="M728" s="58"/>
      <c r="N728" s="58" t="s">
        <v>295</v>
      </c>
      <c r="O728" s="58"/>
      <c r="P728" s="63"/>
      <c r="Q728" s="63"/>
    </row>
    <row r="729" spans="2:17" ht="20.25" customHeight="1" x14ac:dyDescent="0.3">
      <c r="B729" s="59" t="s">
        <v>863</v>
      </c>
      <c r="C729" s="59" t="s">
        <v>1299</v>
      </c>
      <c r="D729" s="62" t="str">
        <f t="shared" si="17"/>
        <v>LANDROVERRange_Rover_Sport</v>
      </c>
      <c r="E729" s="59" t="s">
        <v>890</v>
      </c>
      <c r="F729" s="60">
        <v>150670000</v>
      </c>
      <c r="G729" s="60">
        <v>2997</v>
      </c>
      <c r="H729" s="58" t="s">
        <v>250</v>
      </c>
      <c r="I729" s="58" t="s">
        <v>295</v>
      </c>
      <c r="J729" s="58" t="s">
        <v>1612</v>
      </c>
      <c r="K729" s="58" t="s">
        <v>1733</v>
      </c>
      <c r="L729" s="58" t="s">
        <v>62</v>
      </c>
      <c r="M729" s="58"/>
      <c r="N729" s="58" t="s">
        <v>295</v>
      </c>
      <c r="O729" s="58"/>
      <c r="P729" s="63"/>
      <c r="Q729" s="63"/>
    </row>
    <row r="730" spans="2:17" ht="20.25" customHeight="1" x14ac:dyDescent="0.3">
      <c r="B730" s="59" t="s">
        <v>863</v>
      </c>
      <c r="C730" s="59" t="s">
        <v>1299</v>
      </c>
      <c r="D730" s="62" t="str">
        <f t="shared" si="17"/>
        <v>LANDROVERRange_Rover_Sport</v>
      </c>
      <c r="E730" s="59" t="s">
        <v>891</v>
      </c>
      <c r="F730" s="60">
        <v>142970000</v>
      </c>
      <c r="G730" s="60">
        <v>2997</v>
      </c>
      <c r="H730" s="58" t="s">
        <v>250</v>
      </c>
      <c r="I730" s="58" t="s">
        <v>295</v>
      </c>
      <c r="J730" s="58" t="s">
        <v>1612</v>
      </c>
      <c r="K730" s="58" t="s">
        <v>1733</v>
      </c>
      <c r="L730" s="58" t="s">
        <v>62</v>
      </c>
      <c r="M730" s="58"/>
      <c r="N730" s="58" t="s">
        <v>295</v>
      </c>
      <c r="O730" s="58"/>
      <c r="P730" s="63"/>
      <c r="Q730" s="63"/>
    </row>
    <row r="731" spans="2:17" ht="20.25" customHeight="1" x14ac:dyDescent="0.3">
      <c r="B731" s="59" t="s">
        <v>863</v>
      </c>
      <c r="C731" s="59" t="s">
        <v>1299</v>
      </c>
      <c r="D731" s="62" t="str">
        <f t="shared" si="17"/>
        <v>LANDROVERRange_Rover_Sport</v>
      </c>
      <c r="E731" s="59" t="s">
        <v>892</v>
      </c>
      <c r="F731" s="60">
        <v>133970000</v>
      </c>
      <c r="G731" s="60">
        <v>2997</v>
      </c>
      <c r="H731" s="58" t="s">
        <v>241</v>
      </c>
      <c r="I731" s="58" t="s">
        <v>295</v>
      </c>
      <c r="J731" s="58" t="s">
        <v>1612</v>
      </c>
      <c r="K731" s="58" t="s">
        <v>1733</v>
      </c>
      <c r="L731" s="58" t="s">
        <v>62</v>
      </c>
      <c r="M731" s="58"/>
      <c r="N731" s="58" t="s">
        <v>295</v>
      </c>
      <c r="O731" s="58"/>
      <c r="P731" s="63"/>
      <c r="Q731" s="63"/>
    </row>
    <row r="732" spans="2:17" ht="20.25" customHeight="1" x14ac:dyDescent="0.3">
      <c r="B732" s="59" t="s">
        <v>863</v>
      </c>
      <c r="C732" s="59" t="s">
        <v>1299</v>
      </c>
      <c r="D732" s="62" t="str">
        <f t="shared" si="17"/>
        <v>LANDROVERRange_Rover_Sport</v>
      </c>
      <c r="E732" s="59" t="s">
        <v>893</v>
      </c>
      <c r="F732" s="60">
        <v>150670000</v>
      </c>
      <c r="G732" s="60">
        <v>2997</v>
      </c>
      <c r="H732" s="58" t="s">
        <v>241</v>
      </c>
      <c r="I732" s="58" t="s">
        <v>295</v>
      </c>
      <c r="J732" s="58" t="s">
        <v>1612</v>
      </c>
      <c r="K732" s="58" t="s">
        <v>1733</v>
      </c>
      <c r="L732" s="58" t="s">
        <v>62</v>
      </c>
      <c r="M732" s="58"/>
      <c r="N732" s="58" t="s">
        <v>295</v>
      </c>
      <c r="O732" s="58"/>
      <c r="P732" s="63"/>
      <c r="Q732" s="63"/>
    </row>
    <row r="733" spans="2:17" ht="20.25" customHeight="1" x14ac:dyDescent="0.3">
      <c r="B733" s="59" t="s">
        <v>863</v>
      </c>
      <c r="C733" s="59" t="s">
        <v>1299</v>
      </c>
      <c r="D733" s="62" t="str">
        <f t="shared" si="17"/>
        <v>LANDROVERRange_Rover_Sport</v>
      </c>
      <c r="E733" s="59" t="s">
        <v>894</v>
      </c>
      <c r="F733" s="60">
        <v>158070000</v>
      </c>
      <c r="G733" s="60">
        <v>2997</v>
      </c>
      <c r="H733" s="58" t="s">
        <v>241</v>
      </c>
      <c r="I733" s="58" t="s">
        <v>295</v>
      </c>
      <c r="J733" s="58" t="s">
        <v>1612</v>
      </c>
      <c r="K733" s="58" t="s">
        <v>1733</v>
      </c>
      <c r="L733" s="58" t="s">
        <v>62</v>
      </c>
      <c r="M733" s="58"/>
      <c r="N733" s="58" t="s">
        <v>295</v>
      </c>
      <c r="O733" s="58"/>
      <c r="P733" s="63"/>
      <c r="Q733" s="63"/>
    </row>
    <row r="734" spans="2:17" ht="20.25" customHeight="1" x14ac:dyDescent="0.3">
      <c r="B734" s="59" t="s">
        <v>863</v>
      </c>
      <c r="C734" s="59" t="s">
        <v>1299</v>
      </c>
      <c r="D734" s="62" t="str">
        <f t="shared" ref="D734" si="18">+B734&amp;C734</f>
        <v>LANDROVERRange_Rover_Sport</v>
      </c>
      <c r="E734" s="59" t="s">
        <v>1730</v>
      </c>
      <c r="F734" s="60">
        <v>158070000</v>
      </c>
      <c r="G734" s="60">
        <v>2997</v>
      </c>
      <c r="H734" s="58" t="s">
        <v>241</v>
      </c>
      <c r="I734" s="58" t="s">
        <v>295</v>
      </c>
      <c r="J734" s="58" t="s">
        <v>1612</v>
      </c>
      <c r="K734" s="58" t="s">
        <v>1733</v>
      </c>
      <c r="L734" s="58" t="s">
        <v>62</v>
      </c>
      <c r="M734" s="58"/>
      <c r="N734" s="58" t="s">
        <v>295</v>
      </c>
      <c r="O734" s="58"/>
      <c r="P734" s="63"/>
      <c r="Q734" s="63"/>
    </row>
    <row r="735" spans="2:17" ht="20.25" customHeight="1" x14ac:dyDescent="0.3">
      <c r="B735" s="59" t="s">
        <v>863</v>
      </c>
      <c r="C735" s="59" t="s">
        <v>1299</v>
      </c>
      <c r="D735" s="62" t="str">
        <f t="shared" ref="D735" si="19">+B735&amp;C735</f>
        <v>LANDROVERRange_Rover_Sport</v>
      </c>
      <c r="E735" s="59" t="s">
        <v>1731</v>
      </c>
      <c r="F735" s="60">
        <v>287000000</v>
      </c>
      <c r="G735" s="60">
        <v>2997</v>
      </c>
      <c r="H735" s="58" t="s">
        <v>241</v>
      </c>
      <c r="I735" s="58" t="s">
        <v>295</v>
      </c>
      <c r="J735" s="58" t="s">
        <v>1612</v>
      </c>
      <c r="K735" s="58" t="s">
        <v>1735</v>
      </c>
      <c r="L735" s="58" t="s">
        <v>1692</v>
      </c>
      <c r="M735" s="58"/>
      <c r="N735" s="58" t="s">
        <v>295</v>
      </c>
      <c r="O735" s="58"/>
      <c r="P735" s="63"/>
      <c r="Q735" s="63"/>
    </row>
    <row r="736" spans="2:17" ht="20.25" customHeight="1" x14ac:dyDescent="0.3">
      <c r="B736" s="59" t="s">
        <v>863</v>
      </c>
      <c r="C736" s="59" t="s">
        <v>1299</v>
      </c>
      <c r="D736" s="62" t="str">
        <f t="shared" si="17"/>
        <v>LANDROVERRange_Rover_Sport</v>
      </c>
      <c r="E736" s="59" t="s">
        <v>1732</v>
      </c>
      <c r="F736" s="60">
        <v>179870000</v>
      </c>
      <c r="G736" s="60">
        <v>2996</v>
      </c>
      <c r="H736" s="58" t="s">
        <v>241</v>
      </c>
      <c r="I736" s="58" t="s">
        <v>295</v>
      </c>
      <c r="J736" s="58" t="s">
        <v>1613</v>
      </c>
      <c r="K736" s="58" t="s">
        <v>1692</v>
      </c>
      <c r="L736" s="58" t="s">
        <v>286</v>
      </c>
      <c r="M736" s="58"/>
      <c r="N736" s="58" t="s">
        <v>295</v>
      </c>
      <c r="O736" s="58"/>
      <c r="P736" s="63"/>
      <c r="Q736" s="63"/>
    </row>
    <row r="737" spans="2:17" ht="20.25" customHeight="1" x14ac:dyDescent="0.3">
      <c r="B737" s="59" t="s">
        <v>863</v>
      </c>
      <c r="C737" s="59" t="s">
        <v>1302</v>
      </c>
      <c r="D737" s="62" t="str">
        <f t="shared" si="17"/>
        <v>LANDROVERRange_Rover</v>
      </c>
      <c r="E737" s="59" t="s">
        <v>895</v>
      </c>
      <c r="F737" s="60">
        <v>207370000</v>
      </c>
      <c r="G737" s="60">
        <v>4395</v>
      </c>
      <c r="H737" s="58" t="s">
        <v>241</v>
      </c>
      <c r="I737" s="58" t="s">
        <v>295</v>
      </c>
      <c r="J737" s="58" t="s">
        <v>1613</v>
      </c>
      <c r="K737" s="58" t="s">
        <v>1733</v>
      </c>
      <c r="L737" s="58" t="s">
        <v>62</v>
      </c>
      <c r="M737" s="58"/>
      <c r="N737" s="58" t="s">
        <v>295</v>
      </c>
      <c r="O737" s="58"/>
      <c r="P737" s="63"/>
      <c r="Q737" s="63"/>
    </row>
    <row r="738" spans="2:17" ht="20.25" customHeight="1" x14ac:dyDescent="0.3">
      <c r="B738" s="59" t="s">
        <v>863</v>
      </c>
      <c r="C738" s="59" t="s">
        <v>1302</v>
      </c>
      <c r="D738" s="62" t="str">
        <f t="shared" si="17"/>
        <v>LANDROVERRange_Rover</v>
      </c>
      <c r="E738" s="59" t="s">
        <v>896</v>
      </c>
      <c r="F738" s="60">
        <v>214770000</v>
      </c>
      <c r="G738" s="60">
        <v>4395</v>
      </c>
      <c r="H738" s="58" t="s">
        <v>241</v>
      </c>
      <c r="I738" s="58" t="s">
        <v>295</v>
      </c>
      <c r="J738" s="58" t="s">
        <v>1613</v>
      </c>
      <c r="K738" s="58" t="s">
        <v>1733</v>
      </c>
      <c r="L738" s="58" t="s">
        <v>62</v>
      </c>
      <c r="M738" s="58"/>
      <c r="N738" s="58" t="s">
        <v>295</v>
      </c>
      <c r="O738" s="58"/>
      <c r="P738" s="63"/>
      <c r="Q738" s="63"/>
    </row>
    <row r="739" spans="2:17" ht="20.25" customHeight="1" x14ac:dyDescent="0.3">
      <c r="B739" s="59" t="s">
        <v>863</v>
      </c>
      <c r="C739" s="59" t="s">
        <v>1302</v>
      </c>
      <c r="D739" s="62" t="str">
        <f t="shared" si="17"/>
        <v>LANDROVERRange_Rover</v>
      </c>
      <c r="E739" s="59" t="s">
        <v>897</v>
      </c>
      <c r="F739" s="60">
        <v>224370000</v>
      </c>
      <c r="G739" s="60">
        <v>4395</v>
      </c>
      <c r="H739" s="58" t="s">
        <v>241</v>
      </c>
      <c r="I739" s="58" t="s">
        <v>295</v>
      </c>
      <c r="J739" s="58" t="s">
        <v>1613</v>
      </c>
      <c r="K739" s="58" t="s">
        <v>1733</v>
      </c>
      <c r="L739" s="58" t="s">
        <v>62</v>
      </c>
      <c r="M739" s="58"/>
      <c r="N739" s="58" t="s">
        <v>295</v>
      </c>
      <c r="O739" s="58"/>
      <c r="P739" s="63"/>
      <c r="Q739" s="63"/>
    </row>
    <row r="740" spans="2:17" ht="20.25" customHeight="1" x14ac:dyDescent="0.3">
      <c r="B740" s="59" t="s">
        <v>863</v>
      </c>
      <c r="C740" s="59" t="s">
        <v>1302</v>
      </c>
      <c r="D740" s="62" t="str">
        <f t="shared" si="17"/>
        <v>LANDROVERRange_Rover</v>
      </c>
      <c r="E740" s="59" t="s">
        <v>898</v>
      </c>
      <c r="F740" s="60">
        <v>230470000</v>
      </c>
      <c r="G740" s="60">
        <v>4395</v>
      </c>
      <c r="H740" s="58" t="s">
        <v>241</v>
      </c>
      <c r="I740" s="58" t="s">
        <v>295</v>
      </c>
      <c r="J740" s="58" t="s">
        <v>1613</v>
      </c>
      <c r="K740" s="58" t="s">
        <v>1733</v>
      </c>
      <c r="L740" s="58" t="s">
        <v>62</v>
      </c>
      <c r="M740" s="58"/>
      <c r="N740" s="58" t="s">
        <v>295</v>
      </c>
      <c r="O740" s="58"/>
      <c r="P740" s="63"/>
      <c r="Q740" s="63"/>
    </row>
    <row r="741" spans="2:17" ht="20.25" customHeight="1" x14ac:dyDescent="0.3">
      <c r="B741" s="59" t="s">
        <v>863</v>
      </c>
      <c r="C741" s="59" t="s">
        <v>1302</v>
      </c>
      <c r="D741" s="62" t="str">
        <f t="shared" si="17"/>
        <v>LANDROVERRange_Rover</v>
      </c>
      <c r="E741" s="59" t="s">
        <v>899</v>
      </c>
      <c r="F741" s="60">
        <v>225370000</v>
      </c>
      <c r="G741" s="60">
        <v>4395</v>
      </c>
      <c r="H741" s="58" t="s">
        <v>241</v>
      </c>
      <c r="I741" s="58" t="s">
        <v>322</v>
      </c>
      <c r="J741" s="58" t="s">
        <v>1613</v>
      </c>
      <c r="K741" s="58" t="s">
        <v>1733</v>
      </c>
      <c r="L741" s="58" t="s">
        <v>62</v>
      </c>
      <c r="M741" s="58"/>
      <c r="N741" s="58" t="s">
        <v>295</v>
      </c>
      <c r="O741" s="58"/>
      <c r="P741" s="63"/>
      <c r="Q741" s="63"/>
    </row>
    <row r="742" spans="2:17" ht="20.25" customHeight="1" x14ac:dyDescent="0.3">
      <c r="B742" s="59" t="s">
        <v>863</v>
      </c>
      <c r="C742" s="59" t="s">
        <v>1302</v>
      </c>
      <c r="D742" s="62" t="str">
        <f t="shared" si="17"/>
        <v>LANDROVERRange_Rover</v>
      </c>
      <c r="E742" s="59" t="s">
        <v>1657</v>
      </c>
      <c r="F742" s="60">
        <v>292470000</v>
      </c>
      <c r="G742" s="60">
        <v>4395</v>
      </c>
      <c r="H742" s="58" t="s">
        <v>241</v>
      </c>
      <c r="I742" s="58" t="s">
        <v>295</v>
      </c>
      <c r="J742" s="58" t="s">
        <v>1613</v>
      </c>
      <c r="K742" s="58" t="s">
        <v>1736</v>
      </c>
      <c r="L742" s="58" t="s">
        <v>243</v>
      </c>
      <c r="M742" s="58"/>
      <c r="N742" s="58" t="s">
        <v>295</v>
      </c>
      <c r="O742" s="58"/>
      <c r="P742" s="63"/>
      <c r="Q742" s="63"/>
    </row>
    <row r="743" spans="2:17" ht="20.25" customHeight="1" x14ac:dyDescent="0.3">
      <c r="B743" s="59" t="s">
        <v>863</v>
      </c>
      <c r="C743" s="59" t="s">
        <v>1302</v>
      </c>
      <c r="D743" s="62" t="str">
        <f t="shared" si="17"/>
        <v>LANDROVERRange_Rover</v>
      </c>
      <c r="E743" s="59" t="s">
        <v>1655</v>
      </c>
      <c r="F743" s="60">
        <v>331170000</v>
      </c>
      <c r="G743" s="60">
        <v>4395</v>
      </c>
      <c r="H743" s="58" t="s">
        <v>241</v>
      </c>
      <c r="I743" s="58" t="s">
        <v>295</v>
      </c>
      <c r="J743" s="58" t="s">
        <v>1613</v>
      </c>
      <c r="K743" s="58" t="s">
        <v>1736</v>
      </c>
      <c r="L743" s="58" t="s">
        <v>243</v>
      </c>
      <c r="M743" s="58"/>
      <c r="N743" s="58" t="s">
        <v>295</v>
      </c>
      <c r="O743" s="58"/>
      <c r="P743" s="63"/>
      <c r="Q743" s="63"/>
    </row>
    <row r="744" spans="2:17" ht="20.25" customHeight="1" x14ac:dyDescent="0.3">
      <c r="B744" s="59" t="s">
        <v>863</v>
      </c>
      <c r="C744" s="59" t="s">
        <v>1302</v>
      </c>
      <c r="D744" s="62" t="str">
        <f t="shared" si="17"/>
        <v>LANDROVERRange_Rover</v>
      </c>
      <c r="E744" s="59" t="s">
        <v>1656</v>
      </c>
      <c r="F744" s="60">
        <v>464000000</v>
      </c>
      <c r="G744" s="60">
        <v>4395</v>
      </c>
      <c r="H744" s="58" t="s">
        <v>241</v>
      </c>
      <c r="I744" s="58" t="s">
        <v>295</v>
      </c>
      <c r="J744" s="58" t="s">
        <v>1613</v>
      </c>
      <c r="K744" s="58" t="s">
        <v>1736</v>
      </c>
      <c r="L744" s="58" t="s">
        <v>243</v>
      </c>
      <c r="M744" s="58"/>
      <c r="N744" s="58" t="s">
        <v>295</v>
      </c>
      <c r="O744" s="58"/>
      <c r="P744" s="63"/>
      <c r="Q744" s="63"/>
    </row>
    <row r="745" spans="2:17" ht="20.25" customHeight="1" x14ac:dyDescent="0.3">
      <c r="B745" s="59" t="s">
        <v>863</v>
      </c>
      <c r="C745" s="59" t="s">
        <v>1302</v>
      </c>
      <c r="D745" s="62" t="str">
        <f t="shared" si="17"/>
        <v>LANDROVERRange_Rover</v>
      </c>
      <c r="E745" s="59" t="s">
        <v>900</v>
      </c>
      <c r="F745" s="60">
        <v>186770000</v>
      </c>
      <c r="G745" s="60">
        <v>2997</v>
      </c>
      <c r="H745" s="58" t="s">
        <v>250</v>
      </c>
      <c r="I745" s="58" t="s">
        <v>295</v>
      </c>
      <c r="J745" s="58" t="s">
        <v>1612</v>
      </c>
      <c r="K745" s="58" t="s">
        <v>1733</v>
      </c>
      <c r="L745" s="58" t="s">
        <v>62</v>
      </c>
      <c r="M745" s="58"/>
      <c r="N745" s="58" t="s">
        <v>295</v>
      </c>
      <c r="O745" s="58"/>
      <c r="P745" s="63"/>
      <c r="Q745" s="63"/>
    </row>
    <row r="746" spans="2:17" ht="20.25" customHeight="1" x14ac:dyDescent="0.3">
      <c r="B746" s="59" t="s">
        <v>863</v>
      </c>
      <c r="C746" s="59" t="s">
        <v>1302</v>
      </c>
      <c r="D746" s="62" t="str">
        <f t="shared" si="17"/>
        <v>LANDROVERRange_Rover</v>
      </c>
      <c r="E746" s="59" t="s">
        <v>901</v>
      </c>
      <c r="F746" s="60">
        <v>194370000</v>
      </c>
      <c r="G746" s="60">
        <v>2997</v>
      </c>
      <c r="H746" s="58" t="s">
        <v>250</v>
      </c>
      <c r="I746" s="58" t="s">
        <v>295</v>
      </c>
      <c r="J746" s="58" t="s">
        <v>1612</v>
      </c>
      <c r="K746" s="58" t="s">
        <v>1733</v>
      </c>
      <c r="L746" s="58" t="s">
        <v>62</v>
      </c>
      <c r="M746" s="58"/>
      <c r="N746" s="58" t="s">
        <v>295</v>
      </c>
      <c r="O746" s="58"/>
      <c r="P746" s="63"/>
      <c r="Q746" s="63"/>
    </row>
    <row r="747" spans="2:17" ht="20.25" customHeight="1" x14ac:dyDescent="0.3">
      <c r="B747" s="59" t="s">
        <v>863</v>
      </c>
      <c r="C747" s="59" t="s">
        <v>1302</v>
      </c>
      <c r="D747" s="62" t="str">
        <f t="shared" si="17"/>
        <v>LANDROVERRange_Rover</v>
      </c>
      <c r="E747" s="59" t="s">
        <v>902</v>
      </c>
      <c r="F747" s="60">
        <v>203970000</v>
      </c>
      <c r="G747" s="60">
        <v>2997</v>
      </c>
      <c r="H747" s="58" t="s">
        <v>250</v>
      </c>
      <c r="I747" s="58" t="s">
        <v>295</v>
      </c>
      <c r="J747" s="58" t="s">
        <v>1612</v>
      </c>
      <c r="K747" s="58" t="s">
        <v>1733</v>
      </c>
      <c r="L747" s="58" t="s">
        <v>62</v>
      </c>
      <c r="M747" s="58"/>
      <c r="N747" s="58" t="s">
        <v>295</v>
      </c>
      <c r="O747" s="58"/>
      <c r="P747" s="63"/>
      <c r="Q747" s="63"/>
    </row>
    <row r="748" spans="2:17" ht="20.25" customHeight="1" x14ac:dyDescent="0.3">
      <c r="B748" s="59" t="s">
        <v>863</v>
      </c>
      <c r="C748" s="59" t="s">
        <v>1302</v>
      </c>
      <c r="D748" s="62" t="str">
        <f t="shared" si="17"/>
        <v>LANDROVERRange_Rover</v>
      </c>
      <c r="E748" s="59" t="s">
        <v>903</v>
      </c>
      <c r="F748" s="60">
        <v>210070000</v>
      </c>
      <c r="G748" s="60">
        <v>2997</v>
      </c>
      <c r="H748" s="58" t="s">
        <v>250</v>
      </c>
      <c r="I748" s="58" t="s">
        <v>295</v>
      </c>
      <c r="J748" s="58" t="s">
        <v>1612</v>
      </c>
      <c r="K748" s="58" t="s">
        <v>1733</v>
      </c>
      <c r="L748" s="58" t="s">
        <v>62</v>
      </c>
      <c r="M748" s="58"/>
      <c r="N748" s="58" t="s">
        <v>295</v>
      </c>
      <c r="O748" s="58"/>
      <c r="P748" s="63"/>
      <c r="Q748" s="63"/>
    </row>
    <row r="749" spans="2:17" ht="20.25" customHeight="1" x14ac:dyDescent="0.3">
      <c r="B749" s="59" t="s">
        <v>863</v>
      </c>
      <c r="C749" s="59" t="s">
        <v>1302</v>
      </c>
      <c r="D749" s="62" t="str">
        <f t="shared" si="17"/>
        <v>LANDROVERRange_Rover</v>
      </c>
      <c r="E749" s="59" t="s">
        <v>904</v>
      </c>
      <c r="F749" s="60">
        <v>189970000</v>
      </c>
      <c r="G749" s="60">
        <v>4999</v>
      </c>
      <c r="H749" s="58" t="s">
        <v>241</v>
      </c>
      <c r="I749" s="58" t="s">
        <v>295</v>
      </c>
      <c r="J749" s="58" t="s">
        <v>1515</v>
      </c>
      <c r="K749" s="58" t="s">
        <v>1735</v>
      </c>
      <c r="L749" s="58" t="s">
        <v>243</v>
      </c>
      <c r="M749" s="58"/>
      <c r="N749" s="58" t="s">
        <v>295</v>
      </c>
      <c r="O749" s="58"/>
      <c r="P749" s="63"/>
      <c r="Q749" s="63"/>
    </row>
    <row r="750" spans="2:17" ht="20.25" customHeight="1" x14ac:dyDescent="0.3">
      <c r="B750" s="59" t="s">
        <v>863</v>
      </c>
      <c r="C750" s="59" t="s">
        <v>1302</v>
      </c>
      <c r="D750" s="62" t="str">
        <f t="shared" si="17"/>
        <v>LANDROVERRange_Rover</v>
      </c>
      <c r="E750" s="59" t="s">
        <v>905</v>
      </c>
      <c r="F750" s="60">
        <v>206370000</v>
      </c>
      <c r="G750" s="60">
        <v>4999</v>
      </c>
      <c r="H750" s="58" t="s">
        <v>241</v>
      </c>
      <c r="I750" s="58" t="s">
        <v>295</v>
      </c>
      <c r="J750" s="58" t="s">
        <v>1515</v>
      </c>
      <c r="K750" s="58" t="s">
        <v>1735</v>
      </c>
      <c r="L750" s="58" t="s">
        <v>286</v>
      </c>
      <c r="M750" s="58"/>
      <c r="N750" s="58" t="s">
        <v>295</v>
      </c>
      <c r="O750" s="58"/>
      <c r="P750" s="63"/>
      <c r="Q750" s="63"/>
    </row>
    <row r="751" spans="2:17" ht="20.25" customHeight="1" x14ac:dyDescent="0.3">
      <c r="B751" s="59" t="s">
        <v>863</v>
      </c>
      <c r="C751" s="59" t="s">
        <v>1302</v>
      </c>
      <c r="D751" s="62" t="str">
        <f t="shared" si="17"/>
        <v>LANDROVERRange_Rover</v>
      </c>
      <c r="E751" s="59" t="s">
        <v>906</v>
      </c>
      <c r="F751" s="60">
        <v>224770000</v>
      </c>
      <c r="G751" s="60">
        <v>4999</v>
      </c>
      <c r="H751" s="58" t="s">
        <v>241</v>
      </c>
      <c r="I751" s="58" t="s">
        <v>295</v>
      </c>
      <c r="J751" s="58" t="s">
        <v>1515</v>
      </c>
      <c r="K751" s="58" t="s">
        <v>1735</v>
      </c>
      <c r="L751" s="58" t="s">
        <v>286</v>
      </c>
      <c r="M751" s="58"/>
      <c r="N751" s="58" t="s">
        <v>295</v>
      </c>
      <c r="O751" s="58"/>
      <c r="P751" s="63"/>
      <c r="Q751" s="63"/>
    </row>
    <row r="752" spans="2:17" ht="20.25" customHeight="1" x14ac:dyDescent="0.3">
      <c r="B752" s="59" t="s">
        <v>863</v>
      </c>
      <c r="C752" s="59" t="s">
        <v>1302</v>
      </c>
      <c r="D752" s="62" t="str">
        <f t="shared" si="17"/>
        <v>LANDROVERRange_Rover</v>
      </c>
      <c r="E752" s="59" t="s">
        <v>907</v>
      </c>
      <c r="F752" s="60">
        <v>295270000</v>
      </c>
      <c r="G752" s="60">
        <v>4999</v>
      </c>
      <c r="H752" s="58" t="s">
        <v>241</v>
      </c>
      <c r="I752" s="58" t="s">
        <v>295</v>
      </c>
      <c r="J752" s="58" t="s">
        <v>1515</v>
      </c>
      <c r="K752" s="58" t="s">
        <v>1735</v>
      </c>
      <c r="L752" s="58" t="s">
        <v>286</v>
      </c>
      <c r="M752" s="58"/>
      <c r="N752" s="58" t="s">
        <v>295</v>
      </c>
      <c r="O752" s="58"/>
      <c r="P752" s="63"/>
      <c r="Q752" s="63"/>
    </row>
    <row r="753" spans="2:17" ht="20.25" customHeight="1" x14ac:dyDescent="0.3">
      <c r="B753" s="59" t="s">
        <v>863</v>
      </c>
      <c r="C753" s="59" t="s">
        <v>1302</v>
      </c>
      <c r="D753" s="62" t="str">
        <f t="shared" si="17"/>
        <v>LANDROVERRange_Rover</v>
      </c>
      <c r="E753" s="59" t="s">
        <v>908</v>
      </c>
      <c r="F753" s="60">
        <v>215370000</v>
      </c>
      <c r="G753" s="60">
        <v>4999</v>
      </c>
      <c r="H753" s="58" t="s">
        <v>241</v>
      </c>
      <c r="I753" s="58" t="s">
        <v>295</v>
      </c>
      <c r="J753" s="58" t="s">
        <v>1515</v>
      </c>
      <c r="K753" s="58" t="s">
        <v>1735</v>
      </c>
      <c r="L753" s="58" t="s">
        <v>286</v>
      </c>
      <c r="M753" s="58"/>
      <c r="N753" s="58" t="s">
        <v>295</v>
      </c>
      <c r="O753" s="58"/>
      <c r="P753" s="63"/>
      <c r="Q753" s="63"/>
    </row>
    <row r="754" spans="2:17" ht="20.25" customHeight="1" x14ac:dyDescent="0.3">
      <c r="B754" s="59" t="s">
        <v>863</v>
      </c>
      <c r="C754" s="59" t="s">
        <v>1302</v>
      </c>
      <c r="D754" s="62" t="str">
        <f t="shared" si="17"/>
        <v>LANDROVERRange_Rover</v>
      </c>
      <c r="E754" s="59" t="s">
        <v>909</v>
      </c>
      <c r="F754" s="60">
        <v>153270000</v>
      </c>
      <c r="G754" s="60">
        <v>2993</v>
      </c>
      <c r="H754" s="58" t="s">
        <v>241</v>
      </c>
      <c r="I754" s="58" t="s">
        <v>295</v>
      </c>
      <c r="J754" s="58" t="s">
        <v>1515</v>
      </c>
      <c r="K754" s="58" t="s">
        <v>1735</v>
      </c>
      <c r="L754" s="58" t="s">
        <v>286</v>
      </c>
      <c r="M754" s="58"/>
      <c r="N754" s="58" t="s">
        <v>295</v>
      </c>
      <c r="O754" s="58"/>
      <c r="P754" s="63"/>
      <c r="Q754" s="63"/>
    </row>
    <row r="755" spans="2:17" ht="20.25" customHeight="1" x14ac:dyDescent="0.3">
      <c r="B755" s="59" t="s">
        <v>863</v>
      </c>
      <c r="C755" s="59" t="s">
        <v>1302</v>
      </c>
      <c r="D755" s="62" t="str">
        <f t="shared" si="17"/>
        <v>LANDROVERRange_Rover</v>
      </c>
      <c r="E755" s="59" t="s">
        <v>910</v>
      </c>
      <c r="F755" s="60">
        <v>190170000</v>
      </c>
      <c r="G755" s="60">
        <v>5000</v>
      </c>
      <c r="H755" s="58" t="s">
        <v>241</v>
      </c>
      <c r="I755" s="58" t="s">
        <v>295</v>
      </c>
      <c r="J755" s="58" t="s">
        <v>1515</v>
      </c>
      <c r="K755" s="58" t="s">
        <v>1735</v>
      </c>
      <c r="L755" s="58" t="s">
        <v>286</v>
      </c>
      <c r="M755" s="58"/>
      <c r="N755" s="58" t="s">
        <v>295</v>
      </c>
      <c r="O755" s="58"/>
      <c r="P755" s="63"/>
      <c r="Q755" s="63"/>
    </row>
    <row r="756" spans="2:17" ht="20.25" customHeight="1" x14ac:dyDescent="0.3">
      <c r="B756" s="59" t="s">
        <v>863</v>
      </c>
      <c r="C756" s="59" t="s">
        <v>1302</v>
      </c>
      <c r="D756" s="62" t="str">
        <f t="shared" si="17"/>
        <v>LANDROVERRange_Rover</v>
      </c>
      <c r="E756" s="59" t="s">
        <v>911</v>
      </c>
      <c r="F756" s="60">
        <v>234700000</v>
      </c>
      <c r="G756" s="60">
        <v>2997</v>
      </c>
      <c r="H756" s="58" t="s">
        <v>241</v>
      </c>
      <c r="I756" s="58" t="s">
        <v>295</v>
      </c>
      <c r="J756" s="58" t="s">
        <v>1515</v>
      </c>
      <c r="K756" s="58" t="s">
        <v>1735</v>
      </c>
      <c r="L756" s="58" t="s">
        <v>286</v>
      </c>
      <c r="M756" s="58"/>
      <c r="N756" s="58" t="s">
        <v>295</v>
      </c>
      <c r="O756" s="58"/>
      <c r="P756" s="63"/>
      <c r="Q756" s="63"/>
    </row>
    <row r="757" spans="2:17" ht="20.25" customHeight="1" x14ac:dyDescent="0.3">
      <c r="B757" s="59"/>
      <c r="C757" s="59"/>
      <c r="D757" s="62"/>
      <c r="E757" s="59"/>
      <c r="F757" s="60"/>
      <c r="G757" s="60"/>
      <c r="H757" s="58"/>
      <c r="I757" s="58"/>
      <c r="J757" s="58"/>
      <c r="K757" s="58"/>
      <c r="L757" s="58"/>
      <c r="M757" s="58"/>
      <c r="N757" s="58"/>
      <c r="O757" s="58"/>
      <c r="P757" s="63"/>
      <c r="Q757" s="63"/>
    </row>
    <row r="758" spans="2:17" ht="20.25" customHeight="1" x14ac:dyDescent="0.3">
      <c r="B758" s="59"/>
      <c r="C758" s="59"/>
      <c r="D758" s="62"/>
      <c r="E758" s="59"/>
      <c r="F758" s="60"/>
      <c r="G758" s="60"/>
      <c r="H758" s="58"/>
      <c r="I758" s="58"/>
      <c r="J758" s="58"/>
      <c r="K758" s="58"/>
      <c r="L758" s="58"/>
      <c r="M758" s="58"/>
      <c r="N758" s="58"/>
      <c r="O758" s="58"/>
      <c r="P758" s="63"/>
      <c r="Q758" s="63"/>
    </row>
    <row r="759" spans="2:17" ht="20.25" customHeight="1" x14ac:dyDescent="0.3">
      <c r="B759" s="59"/>
      <c r="C759" s="59"/>
      <c r="D759" s="62"/>
      <c r="E759" s="59"/>
      <c r="F759" s="60"/>
      <c r="G759" s="60"/>
      <c r="H759" s="58"/>
      <c r="I759" s="58"/>
      <c r="J759" s="58"/>
      <c r="K759" s="58"/>
      <c r="L759" s="58"/>
      <c r="M759" s="58"/>
      <c r="N759" s="58"/>
      <c r="O759" s="58"/>
      <c r="P759" s="63"/>
      <c r="Q759" s="63"/>
    </row>
    <row r="760" spans="2:17" ht="20.25" customHeight="1" x14ac:dyDescent="0.3">
      <c r="B760" s="59"/>
      <c r="C760" s="59"/>
      <c r="D760" s="62"/>
      <c r="E760" s="59"/>
      <c r="F760" s="60"/>
      <c r="G760" s="60"/>
      <c r="H760" s="58"/>
      <c r="I760" s="58"/>
      <c r="J760" s="58"/>
      <c r="K760" s="58"/>
      <c r="L760" s="58"/>
      <c r="M760" s="58"/>
      <c r="N760" s="58"/>
      <c r="O760" s="58"/>
      <c r="P760" s="63"/>
      <c r="Q760" s="63"/>
    </row>
    <row r="761" spans="2:17" ht="20.25" customHeight="1" x14ac:dyDescent="0.3">
      <c r="B761" s="59"/>
      <c r="C761" s="59"/>
      <c r="D761" s="62"/>
      <c r="E761" s="59"/>
      <c r="F761" s="60"/>
      <c r="G761" s="60"/>
      <c r="H761" s="58"/>
      <c r="I761" s="58"/>
      <c r="J761" s="58"/>
      <c r="K761" s="58"/>
      <c r="L761" s="58"/>
      <c r="M761" s="58"/>
      <c r="N761" s="58"/>
      <c r="O761" s="58"/>
      <c r="P761" s="63"/>
      <c r="Q761" s="63"/>
    </row>
    <row r="762" spans="2:17" ht="20.25" customHeight="1" x14ac:dyDescent="0.3">
      <c r="B762" s="59"/>
      <c r="C762" s="59"/>
      <c r="D762" s="62"/>
      <c r="E762" s="59"/>
      <c r="F762" s="60"/>
      <c r="G762" s="60"/>
      <c r="H762" s="58"/>
      <c r="I762" s="58"/>
      <c r="J762" s="58"/>
      <c r="K762" s="58"/>
      <c r="L762" s="58"/>
      <c r="M762" s="58"/>
      <c r="N762" s="58"/>
      <c r="O762" s="58"/>
      <c r="P762" s="63"/>
      <c r="Q762" s="63"/>
    </row>
    <row r="763" spans="2:17" ht="20.25" customHeight="1" x14ac:dyDescent="0.3">
      <c r="B763" s="59"/>
      <c r="C763" s="59"/>
      <c r="D763" s="62"/>
      <c r="E763" s="59"/>
      <c r="F763" s="60"/>
      <c r="G763" s="60"/>
      <c r="H763" s="58"/>
      <c r="I763" s="58"/>
      <c r="J763" s="58"/>
      <c r="K763" s="58"/>
      <c r="L763" s="58"/>
      <c r="M763" s="58"/>
      <c r="N763" s="58"/>
      <c r="O763" s="58"/>
      <c r="P763" s="63"/>
      <c r="Q763" s="63"/>
    </row>
    <row r="764" spans="2:17" ht="20.25" customHeight="1" x14ac:dyDescent="0.3">
      <c r="B764" s="59"/>
      <c r="C764" s="59"/>
      <c r="D764" s="62"/>
      <c r="E764" s="59"/>
      <c r="F764" s="60"/>
      <c r="G764" s="60"/>
      <c r="H764" s="58"/>
      <c r="I764" s="58"/>
      <c r="J764" s="58"/>
      <c r="K764" s="58"/>
      <c r="L764" s="58"/>
      <c r="M764" s="58"/>
      <c r="N764" s="58"/>
      <c r="O764" s="58"/>
      <c r="P764" s="63"/>
      <c r="Q764" s="63"/>
    </row>
    <row r="765" spans="2:17" ht="20.25" customHeight="1" x14ac:dyDescent="0.3">
      <c r="B765" s="59"/>
      <c r="C765" s="59"/>
      <c r="D765" s="62" t="str">
        <f t="shared" ref="D765:D828" si="20">+B765&amp;C765</f>
        <v/>
      </c>
      <c r="E765" s="59"/>
      <c r="F765" s="60"/>
      <c r="G765" s="60"/>
      <c r="H765" s="58"/>
      <c r="I765" s="58"/>
      <c r="J765" s="58"/>
      <c r="K765" s="58"/>
      <c r="L765" s="58"/>
      <c r="M765" s="58"/>
      <c r="N765" s="58"/>
      <c r="O765" s="58"/>
      <c r="P765" s="63"/>
      <c r="Q765" s="63"/>
    </row>
    <row r="766" spans="2:17" ht="20.25" customHeight="1" x14ac:dyDescent="0.3">
      <c r="B766" s="59" t="s">
        <v>912</v>
      </c>
      <c r="C766" s="59" t="s">
        <v>124</v>
      </c>
      <c r="D766" s="62" t="str">
        <f t="shared" si="20"/>
        <v>LEXUSCT</v>
      </c>
      <c r="E766" s="59" t="s">
        <v>913</v>
      </c>
      <c r="F766" s="60">
        <v>40920000</v>
      </c>
      <c r="G766" s="60">
        <v>1798</v>
      </c>
      <c r="H766" s="58" t="s">
        <v>241</v>
      </c>
      <c r="I766" s="58" t="s">
        <v>242</v>
      </c>
      <c r="J766" s="58" t="s">
        <v>1515</v>
      </c>
      <c r="K766" s="58"/>
      <c r="L766" s="58" t="s">
        <v>286</v>
      </c>
      <c r="M766" s="58"/>
      <c r="N766" s="58" t="s">
        <v>242</v>
      </c>
      <c r="O766" s="58"/>
      <c r="P766" s="63"/>
      <c r="Q766" s="63"/>
    </row>
    <row r="767" spans="2:17" ht="20.25" customHeight="1" x14ac:dyDescent="0.3">
      <c r="B767" s="59" t="s">
        <v>912</v>
      </c>
      <c r="C767" s="59" t="s">
        <v>124</v>
      </c>
      <c r="D767" s="62" t="str">
        <f t="shared" si="20"/>
        <v>LEXUSCT</v>
      </c>
      <c r="E767" s="59" t="s">
        <v>914</v>
      </c>
      <c r="F767" s="60">
        <v>45660000</v>
      </c>
      <c r="G767" s="60">
        <v>1798</v>
      </c>
      <c r="H767" s="58" t="s">
        <v>241</v>
      </c>
      <c r="I767" s="58" t="s">
        <v>242</v>
      </c>
      <c r="J767" s="58" t="s">
        <v>1515</v>
      </c>
      <c r="K767" s="58"/>
      <c r="L767" s="58" t="s">
        <v>286</v>
      </c>
      <c r="M767" s="58"/>
      <c r="N767" s="58" t="s">
        <v>242</v>
      </c>
      <c r="O767" s="58"/>
      <c r="P767" s="63"/>
      <c r="Q767" s="63"/>
    </row>
    <row r="768" spans="2:17" ht="20.25" customHeight="1" x14ac:dyDescent="0.3">
      <c r="B768" s="59" t="s">
        <v>912</v>
      </c>
      <c r="C768" s="59" t="s">
        <v>125</v>
      </c>
      <c r="D768" s="62" t="str">
        <f t="shared" si="20"/>
        <v>LEXUSIS</v>
      </c>
      <c r="E768" s="59" t="s">
        <v>915</v>
      </c>
      <c r="F768" s="60">
        <v>47200000</v>
      </c>
      <c r="G768" s="60">
        <v>1998</v>
      </c>
      <c r="H768" s="58" t="s">
        <v>241</v>
      </c>
      <c r="I768" s="58" t="s">
        <v>242</v>
      </c>
      <c r="J768" s="58" t="s">
        <v>1678</v>
      </c>
      <c r="K768" s="58"/>
      <c r="L768" s="58" t="s">
        <v>86</v>
      </c>
      <c r="M768" s="58"/>
      <c r="N768" s="58" t="s">
        <v>242</v>
      </c>
      <c r="O768" s="58"/>
      <c r="P768" s="63"/>
      <c r="Q768" s="63"/>
    </row>
    <row r="769" spans="2:17" ht="20.25" customHeight="1" x14ac:dyDescent="0.3">
      <c r="B769" s="59" t="s">
        <v>912</v>
      </c>
      <c r="C769" s="59" t="s">
        <v>125</v>
      </c>
      <c r="D769" s="62" t="str">
        <f t="shared" si="20"/>
        <v>LEXUSIS</v>
      </c>
      <c r="E769" s="59" t="s">
        <v>916</v>
      </c>
      <c r="F769" s="60">
        <v>53100000</v>
      </c>
      <c r="G769" s="60">
        <v>1998</v>
      </c>
      <c r="H769" s="58" t="s">
        <v>241</v>
      </c>
      <c r="I769" s="58" t="s">
        <v>242</v>
      </c>
      <c r="J769" s="58" t="s">
        <v>1678</v>
      </c>
      <c r="K769" s="58"/>
      <c r="L769" s="58" t="s">
        <v>86</v>
      </c>
      <c r="M769" s="58"/>
      <c r="N769" s="58" t="s">
        <v>242</v>
      </c>
      <c r="O769" s="58"/>
      <c r="P769" s="63"/>
      <c r="Q769" s="63"/>
    </row>
    <row r="770" spans="2:17" ht="20.25" customHeight="1" x14ac:dyDescent="0.3">
      <c r="B770" s="59" t="s">
        <v>912</v>
      </c>
      <c r="C770" s="59" t="s">
        <v>125</v>
      </c>
      <c r="D770" s="62" t="str">
        <f t="shared" si="20"/>
        <v>LEXUSIS</v>
      </c>
      <c r="E770" s="59" t="s">
        <v>917</v>
      </c>
      <c r="F770" s="60">
        <v>58000000</v>
      </c>
      <c r="G770" s="60">
        <v>1998</v>
      </c>
      <c r="H770" s="58" t="s">
        <v>241</v>
      </c>
      <c r="I770" s="58" t="s">
        <v>242</v>
      </c>
      <c r="J770" s="58" t="s">
        <v>1678</v>
      </c>
      <c r="K770" s="58"/>
      <c r="L770" s="58" t="s">
        <v>86</v>
      </c>
      <c r="M770" s="58"/>
      <c r="N770" s="58" t="s">
        <v>242</v>
      </c>
      <c r="O770" s="58"/>
      <c r="P770" s="63"/>
      <c r="Q770" s="63"/>
    </row>
    <row r="771" spans="2:17" ht="20.25" customHeight="1" x14ac:dyDescent="0.3">
      <c r="B771" s="59" t="s">
        <v>912</v>
      </c>
      <c r="C771" s="59" t="s">
        <v>126</v>
      </c>
      <c r="D771" s="62" t="str">
        <f t="shared" si="20"/>
        <v>LEXUSES</v>
      </c>
      <c r="E771" s="59" t="s">
        <v>918</v>
      </c>
      <c r="F771" s="60">
        <v>57500000</v>
      </c>
      <c r="G771" s="60">
        <v>2487</v>
      </c>
      <c r="H771" s="58" t="s">
        <v>241</v>
      </c>
      <c r="I771" s="58" t="s">
        <v>242</v>
      </c>
      <c r="J771" s="58" t="s">
        <v>1610</v>
      </c>
      <c r="K771" s="58"/>
      <c r="L771" s="58" t="s">
        <v>343</v>
      </c>
      <c r="M771" s="58"/>
      <c r="N771" s="58" t="s">
        <v>242</v>
      </c>
      <c r="O771" s="58"/>
      <c r="P771" s="63"/>
      <c r="Q771" s="63"/>
    </row>
    <row r="772" spans="2:17" ht="20.25" customHeight="1" x14ac:dyDescent="0.3">
      <c r="B772" s="59" t="s">
        <v>912</v>
      </c>
      <c r="C772" s="59" t="s">
        <v>126</v>
      </c>
      <c r="D772" s="62" t="str">
        <f t="shared" si="20"/>
        <v>LEXUSES</v>
      </c>
      <c r="E772" s="59" t="s">
        <v>919</v>
      </c>
      <c r="F772" s="60">
        <v>63900000</v>
      </c>
      <c r="G772" s="60">
        <v>2487</v>
      </c>
      <c r="H772" s="58" t="s">
        <v>241</v>
      </c>
      <c r="I772" s="58" t="s">
        <v>242</v>
      </c>
      <c r="J772" s="58" t="s">
        <v>1610</v>
      </c>
      <c r="K772" s="58"/>
      <c r="L772" s="58" t="s">
        <v>343</v>
      </c>
      <c r="M772" s="58"/>
      <c r="N772" s="58" t="s">
        <v>242</v>
      </c>
      <c r="O772" s="58"/>
      <c r="P772" s="63"/>
      <c r="Q772" s="63"/>
    </row>
    <row r="773" spans="2:17" ht="20.25" customHeight="1" x14ac:dyDescent="0.3">
      <c r="B773" s="59" t="s">
        <v>912</v>
      </c>
      <c r="C773" s="59" t="s">
        <v>126</v>
      </c>
      <c r="D773" s="62" t="str">
        <f t="shared" si="20"/>
        <v>LEXUSES</v>
      </c>
      <c r="E773" s="59" t="s">
        <v>920</v>
      </c>
      <c r="F773" s="60">
        <v>66000000</v>
      </c>
      <c r="G773" s="60">
        <v>2487</v>
      </c>
      <c r="H773" s="58" t="s">
        <v>241</v>
      </c>
      <c r="I773" s="58" t="s">
        <v>242</v>
      </c>
      <c r="J773" s="58" t="s">
        <v>1610</v>
      </c>
      <c r="K773" s="58"/>
      <c r="L773" s="58" t="s">
        <v>343</v>
      </c>
      <c r="M773" s="58"/>
      <c r="N773" s="58" t="s">
        <v>242</v>
      </c>
      <c r="O773" s="58"/>
      <c r="P773" s="63"/>
      <c r="Q773" s="63"/>
    </row>
    <row r="774" spans="2:17" ht="20.25" customHeight="1" x14ac:dyDescent="0.3">
      <c r="B774" s="59" t="s">
        <v>912</v>
      </c>
      <c r="C774" s="59" t="s">
        <v>126</v>
      </c>
      <c r="D774" s="62" t="str">
        <f t="shared" si="20"/>
        <v>LEXUSES</v>
      </c>
      <c r="E774" s="59" t="s">
        <v>921</v>
      </c>
      <c r="F774" s="60">
        <v>70600000</v>
      </c>
      <c r="G774" s="60">
        <v>2487</v>
      </c>
      <c r="H774" s="58" t="s">
        <v>241</v>
      </c>
      <c r="I774" s="58" t="s">
        <v>242</v>
      </c>
      <c r="J774" s="58" t="s">
        <v>1610</v>
      </c>
      <c r="K774" s="58"/>
      <c r="L774" s="58" t="s">
        <v>343</v>
      </c>
      <c r="M774" s="58"/>
      <c r="N774" s="58" t="s">
        <v>242</v>
      </c>
      <c r="O774" s="58"/>
      <c r="P774" s="63"/>
      <c r="Q774" s="63"/>
    </row>
    <row r="775" spans="2:17" ht="20.25" customHeight="1" x14ac:dyDescent="0.3">
      <c r="B775" s="59" t="s">
        <v>912</v>
      </c>
      <c r="C775" s="59" t="s">
        <v>126</v>
      </c>
      <c r="D775" s="62" t="str">
        <f t="shared" si="20"/>
        <v>LEXUSES</v>
      </c>
      <c r="E775" s="59" t="s">
        <v>922</v>
      </c>
      <c r="F775" s="60">
        <v>73100000</v>
      </c>
      <c r="G775" s="60">
        <v>2487</v>
      </c>
      <c r="H775" s="58" t="s">
        <v>241</v>
      </c>
      <c r="I775" s="58" t="s">
        <v>242</v>
      </c>
      <c r="J775" s="58" t="s">
        <v>1610</v>
      </c>
      <c r="K775" s="58"/>
      <c r="L775" s="58" t="s">
        <v>343</v>
      </c>
      <c r="M775" s="58"/>
      <c r="N775" s="58" t="s">
        <v>242</v>
      </c>
      <c r="O775" s="58"/>
      <c r="P775" s="63"/>
      <c r="Q775" s="63"/>
    </row>
    <row r="776" spans="2:17" ht="20.25" customHeight="1" x14ac:dyDescent="0.3">
      <c r="B776" s="59" t="s">
        <v>912</v>
      </c>
      <c r="C776" s="59" t="s">
        <v>127</v>
      </c>
      <c r="D776" s="62" t="str">
        <f t="shared" si="20"/>
        <v>LEXUSGS</v>
      </c>
      <c r="E776" s="59" t="s">
        <v>923</v>
      </c>
      <c r="F776" s="60">
        <v>85530000</v>
      </c>
      <c r="G776" s="60">
        <v>3456</v>
      </c>
      <c r="H776" s="58" t="s">
        <v>241</v>
      </c>
      <c r="I776" s="58" t="s">
        <v>242</v>
      </c>
      <c r="J776" s="58" t="s">
        <v>1676</v>
      </c>
      <c r="K776" s="58"/>
      <c r="L776" s="58" t="s">
        <v>286</v>
      </c>
      <c r="M776" s="58"/>
      <c r="N776" s="58" t="s">
        <v>242</v>
      </c>
      <c r="O776" s="58"/>
      <c r="P776" s="63"/>
      <c r="Q776" s="63"/>
    </row>
    <row r="777" spans="2:17" ht="20.25" customHeight="1" x14ac:dyDescent="0.3">
      <c r="B777" s="59" t="s">
        <v>912</v>
      </c>
      <c r="C777" s="59" t="s">
        <v>127</v>
      </c>
      <c r="D777" s="62" t="str">
        <f t="shared" si="20"/>
        <v>LEXUSGS</v>
      </c>
      <c r="E777" s="59" t="s">
        <v>925</v>
      </c>
      <c r="F777" s="60">
        <v>119200000</v>
      </c>
      <c r="G777" s="60">
        <v>4969</v>
      </c>
      <c r="H777" s="58" t="s">
        <v>241</v>
      </c>
      <c r="I777" s="58" t="s">
        <v>242</v>
      </c>
      <c r="J777" s="58" t="s">
        <v>1676</v>
      </c>
      <c r="K777" s="58"/>
      <c r="L777" s="58" t="s">
        <v>286</v>
      </c>
      <c r="M777" s="58"/>
      <c r="N777" s="58" t="s">
        <v>242</v>
      </c>
      <c r="O777" s="58"/>
      <c r="P777" s="63"/>
      <c r="Q777" s="63"/>
    </row>
    <row r="778" spans="2:17" ht="20.25" customHeight="1" x14ac:dyDescent="0.3">
      <c r="B778" s="59" t="s">
        <v>912</v>
      </c>
      <c r="C778" s="59" t="s">
        <v>128</v>
      </c>
      <c r="D778" s="62" t="str">
        <f t="shared" si="20"/>
        <v>LEXUSLS</v>
      </c>
      <c r="E778" s="59" t="s">
        <v>926</v>
      </c>
      <c r="F778" s="60">
        <v>149400000</v>
      </c>
      <c r="G778" s="60">
        <v>3456</v>
      </c>
      <c r="H778" s="58" t="s">
        <v>241</v>
      </c>
      <c r="I778" s="58" t="s">
        <v>242</v>
      </c>
      <c r="J778" s="58" t="s">
        <v>1615</v>
      </c>
      <c r="K778" s="58"/>
      <c r="L778" s="58" t="s">
        <v>286</v>
      </c>
      <c r="M778" s="58"/>
      <c r="N778" s="58" t="s">
        <v>242</v>
      </c>
      <c r="O778" s="58"/>
      <c r="P778" s="63"/>
      <c r="Q778" s="63"/>
    </row>
    <row r="779" spans="2:17" ht="20.25" customHeight="1" x14ac:dyDescent="0.3">
      <c r="B779" s="59" t="s">
        <v>912</v>
      </c>
      <c r="C779" s="59" t="s">
        <v>128</v>
      </c>
      <c r="D779" s="62" t="str">
        <f t="shared" si="20"/>
        <v>LEXUSLS</v>
      </c>
      <c r="E779" s="59" t="s">
        <v>927</v>
      </c>
      <c r="F779" s="60">
        <v>152000000</v>
      </c>
      <c r="G779" s="60">
        <v>3445</v>
      </c>
      <c r="H779" s="58" t="s">
        <v>241</v>
      </c>
      <c r="I779" s="58" t="s">
        <v>242</v>
      </c>
      <c r="J779" s="58" t="s">
        <v>1615</v>
      </c>
      <c r="K779" s="58"/>
      <c r="L779" s="58" t="s">
        <v>286</v>
      </c>
      <c r="M779" s="58"/>
      <c r="N779" s="58" t="s">
        <v>242</v>
      </c>
      <c r="O779" s="58"/>
      <c r="P779" s="63"/>
      <c r="Q779" s="63"/>
    </row>
    <row r="780" spans="2:17" ht="20.25" customHeight="1" x14ac:dyDescent="0.3">
      <c r="B780" s="59" t="s">
        <v>912</v>
      </c>
      <c r="C780" s="59" t="s">
        <v>128</v>
      </c>
      <c r="D780" s="62" t="str">
        <f t="shared" si="20"/>
        <v>LEXUSLS</v>
      </c>
      <c r="E780" s="59" t="s">
        <v>928</v>
      </c>
      <c r="F780" s="60">
        <v>172600000</v>
      </c>
      <c r="G780" s="60">
        <v>3445</v>
      </c>
      <c r="H780" s="58" t="s">
        <v>241</v>
      </c>
      <c r="I780" s="58" t="s">
        <v>242</v>
      </c>
      <c r="J780" s="58" t="s">
        <v>1615</v>
      </c>
      <c r="K780" s="58"/>
      <c r="L780" s="58" t="s">
        <v>286</v>
      </c>
      <c r="M780" s="58"/>
      <c r="N780" s="58" t="s">
        <v>242</v>
      </c>
      <c r="O780" s="58"/>
      <c r="P780" s="63"/>
      <c r="Q780" s="63"/>
    </row>
    <row r="781" spans="2:17" ht="20.25" customHeight="1" x14ac:dyDescent="0.3">
      <c r="B781" s="59" t="s">
        <v>912</v>
      </c>
      <c r="C781" s="59" t="s">
        <v>128</v>
      </c>
      <c r="D781" s="62" t="str">
        <f t="shared" si="20"/>
        <v>LEXUSLS</v>
      </c>
      <c r="E781" s="59" t="s">
        <v>929</v>
      </c>
      <c r="F781" s="60">
        <v>132400000</v>
      </c>
      <c r="G781" s="60">
        <v>3445</v>
      </c>
      <c r="H781" s="58" t="s">
        <v>241</v>
      </c>
      <c r="I781" s="58" t="s">
        <v>242</v>
      </c>
      <c r="J781" s="58" t="s">
        <v>1615</v>
      </c>
      <c r="K781" s="58"/>
      <c r="L781" s="58" t="s">
        <v>286</v>
      </c>
      <c r="M781" s="58"/>
      <c r="N781" s="58" t="s">
        <v>242</v>
      </c>
      <c r="O781" s="58"/>
      <c r="P781" s="63"/>
      <c r="Q781" s="63"/>
    </row>
    <row r="782" spans="2:17" ht="20.25" customHeight="1" x14ac:dyDescent="0.3">
      <c r="B782" s="59" t="s">
        <v>912</v>
      </c>
      <c r="C782" s="59" t="s">
        <v>128</v>
      </c>
      <c r="D782" s="62" t="str">
        <f t="shared" si="20"/>
        <v>LEXUSLS</v>
      </c>
      <c r="E782" s="59" t="s">
        <v>930</v>
      </c>
      <c r="F782" s="60">
        <v>141500000</v>
      </c>
      <c r="G782" s="60">
        <v>3445</v>
      </c>
      <c r="H782" s="58" t="s">
        <v>241</v>
      </c>
      <c r="I782" s="58" t="s">
        <v>242</v>
      </c>
      <c r="J782" s="58" t="s">
        <v>1615</v>
      </c>
      <c r="K782" s="58"/>
      <c r="L782" s="58" t="s">
        <v>286</v>
      </c>
      <c r="M782" s="58"/>
      <c r="N782" s="58" t="s">
        <v>242</v>
      </c>
      <c r="O782" s="58"/>
      <c r="P782" s="63"/>
      <c r="Q782" s="63"/>
    </row>
    <row r="783" spans="2:17" ht="20.25" customHeight="1" x14ac:dyDescent="0.3">
      <c r="B783" s="59" t="s">
        <v>912</v>
      </c>
      <c r="C783" s="59" t="s">
        <v>128</v>
      </c>
      <c r="D783" s="62" t="str">
        <f t="shared" si="20"/>
        <v>LEXUSLS</v>
      </c>
      <c r="E783" s="59" t="s">
        <v>931</v>
      </c>
      <c r="F783" s="60">
        <v>156700000</v>
      </c>
      <c r="G783" s="60">
        <v>3445</v>
      </c>
      <c r="H783" s="58" t="s">
        <v>241</v>
      </c>
      <c r="I783" s="58" t="s">
        <v>242</v>
      </c>
      <c r="J783" s="58" t="s">
        <v>1615</v>
      </c>
      <c r="K783" s="58"/>
      <c r="L783" s="58" t="s">
        <v>286</v>
      </c>
      <c r="M783" s="58"/>
      <c r="N783" s="58" t="s">
        <v>242</v>
      </c>
      <c r="O783" s="58"/>
      <c r="P783" s="63"/>
      <c r="Q783" s="63"/>
    </row>
    <row r="784" spans="2:17" ht="20.25" customHeight="1" x14ac:dyDescent="0.3">
      <c r="B784" s="59" t="s">
        <v>912</v>
      </c>
      <c r="C784" s="59" t="s">
        <v>129</v>
      </c>
      <c r="D784" s="62" t="str">
        <f t="shared" si="20"/>
        <v>LEXUSRC</v>
      </c>
      <c r="E784" s="59" t="s">
        <v>932</v>
      </c>
      <c r="F784" s="60">
        <v>70400000</v>
      </c>
      <c r="G784" s="60">
        <v>1998</v>
      </c>
      <c r="H784" s="58" t="s">
        <v>241</v>
      </c>
      <c r="I784" s="58" t="s">
        <v>242</v>
      </c>
      <c r="J784" s="58" t="s">
        <v>1614</v>
      </c>
      <c r="K784" s="58"/>
      <c r="L784" s="58" t="s">
        <v>286</v>
      </c>
      <c r="M784" s="58"/>
      <c r="N784" s="58" t="s">
        <v>242</v>
      </c>
      <c r="O784" s="58"/>
      <c r="P784" s="63"/>
      <c r="Q784" s="63"/>
    </row>
    <row r="785" spans="2:17" ht="20.25" customHeight="1" x14ac:dyDescent="0.3">
      <c r="B785" s="59" t="s">
        <v>912</v>
      </c>
      <c r="C785" s="59" t="s">
        <v>129</v>
      </c>
      <c r="D785" s="62" t="str">
        <f t="shared" si="20"/>
        <v>LEXUSRC</v>
      </c>
      <c r="E785" s="59" t="s">
        <v>933</v>
      </c>
      <c r="F785" s="60">
        <v>82600000</v>
      </c>
      <c r="G785" s="60">
        <v>3456</v>
      </c>
      <c r="H785" s="58" t="s">
        <v>241</v>
      </c>
      <c r="I785" s="58" t="s">
        <v>242</v>
      </c>
      <c r="J785" s="58" t="s">
        <v>1614</v>
      </c>
      <c r="K785" s="58"/>
      <c r="L785" s="58" t="s">
        <v>286</v>
      </c>
      <c r="M785" s="58"/>
      <c r="N785" s="58" t="s">
        <v>242</v>
      </c>
      <c r="O785" s="58"/>
      <c r="P785" s="63"/>
      <c r="Q785" s="63"/>
    </row>
    <row r="786" spans="2:17" ht="20.25" customHeight="1" x14ac:dyDescent="0.3">
      <c r="B786" s="59" t="s">
        <v>912</v>
      </c>
      <c r="C786" s="59" t="s">
        <v>129</v>
      </c>
      <c r="D786" s="62" t="str">
        <f t="shared" si="20"/>
        <v>LEXUSRC</v>
      </c>
      <c r="E786" s="59" t="s">
        <v>934</v>
      </c>
      <c r="F786" s="60">
        <v>97500000</v>
      </c>
      <c r="G786" s="60">
        <v>4969</v>
      </c>
      <c r="H786" s="58" t="s">
        <v>241</v>
      </c>
      <c r="I786" s="58" t="s">
        <v>242</v>
      </c>
      <c r="J786" s="58" t="s">
        <v>1614</v>
      </c>
      <c r="K786" s="58"/>
      <c r="L786" s="58" t="s">
        <v>286</v>
      </c>
      <c r="M786" s="58"/>
      <c r="N786" s="58" t="s">
        <v>242</v>
      </c>
      <c r="O786" s="58"/>
      <c r="P786" s="63"/>
      <c r="Q786" s="63"/>
    </row>
    <row r="787" spans="2:17" ht="20.25" customHeight="1" x14ac:dyDescent="0.3">
      <c r="B787" s="59" t="s">
        <v>912</v>
      </c>
      <c r="C787" s="59" t="s">
        <v>130</v>
      </c>
      <c r="D787" s="62" t="str">
        <f t="shared" si="20"/>
        <v>LEXUSLC</v>
      </c>
      <c r="E787" s="59" t="s">
        <v>935</v>
      </c>
      <c r="F787" s="60">
        <v>185000000</v>
      </c>
      <c r="G787" s="60">
        <v>3456</v>
      </c>
      <c r="H787" s="58" t="s">
        <v>241</v>
      </c>
      <c r="I787" s="58" t="s">
        <v>242</v>
      </c>
      <c r="J787" s="58" t="s">
        <v>1615</v>
      </c>
      <c r="K787" s="58"/>
      <c r="L787" s="58" t="s">
        <v>286</v>
      </c>
      <c r="M787" s="58"/>
      <c r="N787" s="58" t="s">
        <v>242</v>
      </c>
      <c r="O787" s="58"/>
      <c r="P787" s="63"/>
      <c r="Q787" s="63"/>
    </row>
    <row r="788" spans="2:17" ht="20.25" customHeight="1" x14ac:dyDescent="0.3">
      <c r="B788" s="59" t="s">
        <v>912</v>
      </c>
      <c r="C788" s="59" t="s">
        <v>130</v>
      </c>
      <c r="D788" s="62" t="str">
        <f t="shared" si="20"/>
        <v>LEXUSLC</v>
      </c>
      <c r="E788" s="59" t="s">
        <v>936</v>
      </c>
      <c r="F788" s="60">
        <v>183300000</v>
      </c>
      <c r="G788" s="60">
        <v>4969</v>
      </c>
      <c r="H788" s="58" t="s">
        <v>241</v>
      </c>
      <c r="I788" s="58" t="s">
        <v>242</v>
      </c>
      <c r="J788" s="58" t="s">
        <v>1615</v>
      </c>
      <c r="K788" s="58"/>
      <c r="L788" s="58" t="s">
        <v>286</v>
      </c>
      <c r="M788" s="58"/>
      <c r="N788" s="58" t="s">
        <v>242</v>
      </c>
      <c r="O788" s="58"/>
      <c r="P788" s="63"/>
      <c r="Q788" s="63"/>
    </row>
    <row r="789" spans="2:17" ht="20.25" customHeight="1" x14ac:dyDescent="0.3">
      <c r="B789" s="59" t="s">
        <v>912</v>
      </c>
      <c r="C789" s="59" t="s">
        <v>130</v>
      </c>
      <c r="D789" s="62" t="str">
        <f t="shared" si="20"/>
        <v>LEXUSLC</v>
      </c>
      <c r="E789" s="59" t="s">
        <v>937</v>
      </c>
      <c r="F789" s="60">
        <v>174600000</v>
      </c>
      <c r="G789" s="60">
        <v>4969</v>
      </c>
      <c r="H789" s="58" t="s">
        <v>241</v>
      </c>
      <c r="I789" s="58" t="s">
        <v>242</v>
      </c>
      <c r="J789" s="58" t="s">
        <v>1615</v>
      </c>
      <c r="K789" s="58"/>
      <c r="L789" s="58" t="s">
        <v>286</v>
      </c>
      <c r="M789" s="58"/>
      <c r="N789" s="58" t="s">
        <v>242</v>
      </c>
      <c r="O789" s="58"/>
      <c r="P789" s="63"/>
      <c r="Q789" s="63"/>
    </row>
    <row r="790" spans="2:17" ht="20.25" customHeight="1" x14ac:dyDescent="0.3">
      <c r="B790" s="59" t="s">
        <v>912</v>
      </c>
      <c r="C790" s="59" t="s">
        <v>131</v>
      </c>
      <c r="D790" s="62" t="str">
        <f t="shared" si="20"/>
        <v>LEXUSUX</v>
      </c>
      <c r="E790" s="59" t="s">
        <v>938</v>
      </c>
      <c r="F790" s="60">
        <v>46400000</v>
      </c>
      <c r="G790" s="60">
        <v>1987</v>
      </c>
      <c r="H790" s="58" t="s">
        <v>241</v>
      </c>
      <c r="I790" s="58" t="s">
        <v>295</v>
      </c>
      <c r="J790" s="58" t="s">
        <v>1515</v>
      </c>
      <c r="K790" s="58"/>
      <c r="L790" s="58" t="s">
        <v>279</v>
      </c>
      <c r="M790" s="58"/>
      <c r="N790" s="58" t="s">
        <v>295</v>
      </c>
      <c r="O790" s="58"/>
      <c r="P790" s="63"/>
      <c r="Q790" s="63"/>
    </row>
    <row r="791" spans="2:17" ht="20.25" customHeight="1" x14ac:dyDescent="0.3">
      <c r="B791" s="59" t="s">
        <v>912</v>
      </c>
      <c r="C791" s="59" t="s">
        <v>131</v>
      </c>
      <c r="D791" s="62" t="str">
        <f t="shared" si="20"/>
        <v>LEXUSUX</v>
      </c>
      <c r="E791" s="59" t="s">
        <v>939</v>
      </c>
      <c r="F791" s="60">
        <v>55600000</v>
      </c>
      <c r="G791" s="60">
        <v>1987</v>
      </c>
      <c r="H791" s="58" t="s">
        <v>241</v>
      </c>
      <c r="I791" s="58" t="s">
        <v>295</v>
      </c>
      <c r="J791" s="58" t="s">
        <v>1515</v>
      </c>
      <c r="K791" s="58"/>
      <c r="L791" s="58" t="s">
        <v>279</v>
      </c>
      <c r="M791" s="58"/>
      <c r="N791" s="58" t="s">
        <v>295</v>
      </c>
      <c r="O791" s="58"/>
      <c r="P791" s="63"/>
      <c r="Q791" s="63"/>
    </row>
    <row r="792" spans="2:17" ht="20.25" customHeight="1" x14ac:dyDescent="0.3">
      <c r="B792" s="59" t="s">
        <v>912</v>
      </c>
      <c r="C792" s="59" t="s">
        <v>131</v>
      </c>
      <c r="D792" s="62" t="str">
        <f t="shared" si="20"/>
        <v>LEXUSUX</v>
      </c>
      <c r="E792" s="59" t="s">
        <v>940</v>
      </c>
      <c r="F792" s="60">
        <v>51800000</v>
      </c>
      <c r="G792" s="60">
        <v>1987</v>
      </c>
      <c r="H792" s="58" t="s">
        <v>241</v>
      </c>
      <c r="I792" s="58" t="s">
        <v>295</v>
      </c>
      <c r="J792" s="58" t="s">
        <v>1515</v>
      </c>
      <c r="K792" s="58"/>
      <c r="L792" s="58" t="s">
        <v>279</v>
      </c>
      <c r="M792" s="58"/>
      <c r="N792" s="58" t="s">
        <v>295</v>
      </c>
      <c r="O792" s="58"/>
      <c r="P792" s="63"/>
      <c r="Q792" s="63"/>
    </row>
    <row r="793" spans="2:17" ht="20.25" customHeight="1" x14ac:dyDescent="0.3">
      <c r="B793" s="59" t="s">
        <v>912</v>
      </c>
      <c r="C793" s="59" t="s">
        <v>131</v>
      </c>
      <c r="D793" s="62" t="str">
        <f t="shared" si="20"/>
        <v>LEXUSUX</v>
      </c>
      <c r="E793" s="59" t="s">
        <v>941</v>
      </c>
      <c r="F793" s="60">
        <v>54900000</v>
      </c>
      <c r="G793" s="60">
        <v>0</v>
      </c>
      <c r="H793" s="58" t="s">
        <v>308</v>
      </c>
      <c r="I793" s="58" t="s">
        <v>308</v>
      </c>
      <c r="J793" s="58" t="s">
        <v>1515</v>
      </c>
      <c r="K793" s="58"/>
      <c r="L793" s="58" t="s">
        <v>286</v>
      </c>
      <c r="M793" s="58"/>
      <c r="N793" s="58" t="s">
        <v>295</v>
      </c>
      <c r="O793" s="58"/>
      <c r="P793" s="63"/>
      <c r="Q793" s="63"/>
    </row>
    <row r="794" spans="2:17" ht="20.25" customHeight="1" x14ac:dyDescent="0.3">
      <c r="B794" s="59" t="s">
        <v>912</v>
      </c>
      <c r="C794" s="59" t="s">
        <v>132</v>
      </c>
      <c r="D794" s="62" t="str">
        <f t="shared" si="20"/>
        <v>LEXUSNX</v>
      </c>
      <c r="E794" s="59" t="s">
        <v>942</v>
      </c>
      <c r="F794" s="60">
        <v>58300000</v>
      </c>
      <c r="G794" s="60">
        <v>1998</v>
      </c>
      <c r="H794" s="58" t="s">
        <v>241</v>
      </c>
      <c r="I794" s="58" t="s">
        <v>295</v>
      </c>
      <c r="J794" s="58" t="s">
        <v>1610</v>
      </c>
      <c r="K794" s="58"/>
      <c r="L794" s="58" t="s">
        <v>470</v>
      </c>
      <c r="M794" s="58"/>
      <c r="N794" s="58" t="s">
        <v>295</v>
      </c>
      <c r="O794" s="58"/>
      <c r="P794" s="63"/>
      <c r="Q794" s="63"/>
    </row>
    <row r="795" spans="2:17" ht="20.25" customHeight="1" x14ac:dyDescent="0.3">
      <c r="B795" s="59" t="s">
        <v>912</v>
      </c>
      <c r="C795" s="59" t="s">
        <v>132</v>
      </c>
      <c r="D795" s="62" t="str">
        <f t="shared" si="20"/>
        <v>LEXUSNX</v>
      </c>
      <c r="E795" s="59" t="s">
        <v>943</v>
      </c>
      <c r="F795" s="60">
        <v>64200000</v>
      </c>
      <c r="G795" s="60">
        <v>1998</v>
      </c>
      <c r="H795" s="58" t="s">
        <v>241</v>
      </c>
      <c r="I795" s="58" t="s">
        <v>295</v>
      </c>
      <c r="J795" s="58" t="s">
        <v>1610</v>
      </c>
      <c r="K795" s="58"/>
      <c r="L795" s="58" t="s">
        <v>470</v>
      </c>
      <c r="M795" s="58"/>
      <c r="N795" s="58" t="s">
        <v>295</v>
      </c>
      <c r="O795" s="58"/>
      <c r="P795" s="63"/>
      <c r="Q795" s="63"/>
    </row>
    <row r="796" spans="2:17" ht="20.25" customHeight="1" x14ac:dyDescent="0.3">
      <c r="B796" s="59" t="s">
        <v>912</v>
      </c>
      <c r="C796" s="59" t="s">
        <v>132</v>
      </c>
      <c r="D796" s="62" t="str">
        <f t="shared" si="20"/>
        <v>LEXUSNX</v>
      </c>
      <c r="E796" s="59" t="s">
        <v>944</v>
      </c>
      <c r="F796" s="60">
        <v>65200000</v>
      </c>
      <c r="G796" s="60">
        <v>1998</v>
      </c>
      <c r="H796" s="58" t="s">
        <v>241</v>
      </c>
      <c r="I796" s="58" t="s">
        <v>295</v>
      </c>
      <c r="J796" s="58" t="s">
        <v>1610</v>
      </c>
      <c r="K796" s="58"/>
      <c r="L796" s="58" t="s">
        <v>470</v>
      </c>
      <c r="M796" s="58"/>
      <c r="N796" s="58" t="s">
        <v>295</v>
      </c>
      <c r="O796" s="58"/>
      <c r="P796" s="63"/>
      <c r="Q796" s="63"/>
    </row>
    <row r="797" spans="2:17" ht="20.25" customHeight="1" x14ac:dyDescent="0.3">
      <c r="B797" s="59" t="s">
        <v>912</v>
      </c>
      <c r="C797" s="59" t="s">
        <v>132</v>
      </c>
      <c r="D797" s="62" t="str">
        <f t="shared" si="20"/>
        <v>LEXUSNX</v>
      </c>
      <c r="E797" s="59" t="s">
        <v>945</v>
      </c>
      <c r="F797" s="60">
        <v>65000000</v>
      </c>
      <c r="G797" s="60">
        <v>2487</v>
      </c>
      <c r="H797" s="58" t="s">
        <v>241</v>
      </c>
      <c r="I797" s="58" t="s">
        <v>295</v>
      </c>
      <c r="J797" s="58" t="s">
        <v>1610</v>
      </c>
      <c r="K797" s="58"/>
      <c r="L797" s="58" t="s">
        <v>470</v>
      </c>
      <c r="M797" s="58"/>
      <c r="N797" s="58" t="s">
        <v>295</v>
      </c>
      <c r="O797" s="58"/>
      <c r="P797" s="63"/>
      <c r="Q797" s="63"/>
    </row>
    <row r="798" spans="2:17" ht="20.25" customHeight="1" x14ac:dyDescent="0.3">
      <c r="B798" s="59" t="s">
        <v>912</v>
      </c>
      <c r="C798" s="59" t="s">
        <v>132</v>
      </c>
      <c r="D798" s="62" t="str">
        <f t="shared" si="20"/>
        <v>LEXUSNX</v>
      </c>
      <c r="E798" s="59" t="s">
        <v>946</v>
      </c>
      <c r="F798" s="60">
        <v>74400000</v>
      </c>
      <c r="G798" s="60">
        <v>2487</v>
      </c>
      <c r="H798" s="58" t="s">
        <v>241</v>
      </c>
      <c r="I798" s="58" t="s">
        <v>295</v>
      </c>
      <c r="J798" s="58" t="s">
        <v>1610</v>
      </c>
      <c r="K798" s="58"/>
      <c r="L798" s="58" t="s">
        <v>470</v>
      </c>
      <c r="M798" s="58"/>
      <c r="N798" s="58" t="s">
        <v>295</v>
      </c>
      <c r="O798" s="58"/>
      <c r="P798" s="63"/>
      <c r="Q798" s="63"/>
    </row>
    <row r="799" spans="2:17" ht="20.25" customHeight="1" x14ac:dyDescent="0.3">
      <c r="B799" s="59" t="s">
        <v>912</v>
      </c>
      <c r="C799" s="59" t="s">
        <v>132</v>
      </c>
      <c r="D799" s="62" t="str">
        <f t="shared" si="20"/>
        <v>LEXUSNX</v>
      </c>
      <c r="E799" s="59" t="s">
        <v>947</v>
      </c>
      <c r="F799" s="60">
        <v>71000000</v>
      </c>
      <c r="G799" s="60">
        <v>2487</v>
      </c>
      <c r="H799" s="58" t="s">
        <v>241</v>
      </c>
      <c r="I799" s="58" t="s">
        <v>295</v>
      </c>
      <c r="J799" s="58" t="s">
        <v>1610</v>
      </c>
      <c r="K799" s="58"/>
      <c r="L799" s="58" t="s">
        <v>470</v>
      </c>
      <c r="M799" s="58"/>
      <c r="N799" s="58" t="s">
        <v>295</v>
      </c>
      <c r="O799" s="58"/>
      <c r="P799" s="63"/>
      <c r="Q799" s="63"/>
    </row>
    <row r="800" spans="2:17" ht="20.25" customHeight="1" x14ac:dyDescent="0.3">
      <c r="B800" s="59" t="s">
        <v>912</v>
      </c>
      <c r="C800" s="59" t="s">
        <v>132</v>
      </c>
      <c r="D800" s="62" t="str">
        <f t="shared" si="20"/>
        <v>LEXUSNX</v>
      </c>
      <c r="E800" s="59" t="s">
        <v>948</v>
      </c>
      <c r="F800" s="60">
        <v>78000000</v>
      </c>
      <c r="G800" s="60">
        <v>2487</v>
      </c>
      <c r="H800" s="58" t="s">
        <v>241</v>
      </c>
      <c r="I800" s="58" t="s">
        <v>295</v>
      </c>
      <c r="J800" s="58" t="s">
        <v>1610</v>
      </c>
      <c r="K800" s="58"/>
      <c r="L800" s="58" t="s">
        <v>470</v>
      </c>
      <c r="M800" s="58"/>
      <c r="N800" s="58" t="s">
        <v>295</v>
      </c>
      <c r="O800" s="58"/>
      <c r="P800" s="63"/>
      <c r="Q800" s="63"/>
    </row>
    <row r="801" spans="2:17" ht="20.25" customHeight="1" x14ac:dyDescent="0.3">
      <c r="B801" s="59" t="s">
        <v>912</v>
      </c>
      <c r="C801" s="59" t="s">
        <v>133</v>
      </c>
      <c r="D801" s="62" t="str">
        <f t="shared" si="20"/>
        <v>LEXUSRX</v>
      </c>
      <c r="E801" s="59" t="s">
        <v>949</v>
      </c>
      <c r="F801" s="60">
        <v>85000000</v>
      </c>
      <c r="G801" s="60">
        <v>2487</v>
      </c>
      <c r="H801" s="58" t="s">
        <v>241</v>
      </c>
      <c r="I801" s="58" t="s">
        <v>295</v>
      </c>
      <c r="J801" s="58" t="s">
        <v>1613</v>
      </c>
      <c r="K801" s="58"/>
      <c r="L801" s="58" t="s">
        <v>599</v>
      </c>
      <c r="M801" s="58"/>
      <c r="N801" s="58" t="s">
        <v>295</v>
      </c>
      <c r="O801" s="58"/>
      <c r="P801" s="63"/>
      <c r="Q801" s="63"/>
    </row>
    <row r="802" spans="2:17" ht="20.25" customHeight="1" x14ac:dyDescent="0.3">
      <c r="B802" s="59" t="s">
        <v>912</v>
      </c>
      <c r="C802" s="59" t="s">
        <v>133</v>
      </c>
      <c r="D802" s="62" t="str">
        <f t="shared" si="20"/>
        <v>LEXUSRX</v>
      </c>
      <c r="E802" s="59" t="s">
        <v>950</v>
      </c>
      <c r="F802" s="60">
        <v>91600000</v>
      </c>
      <c r="G802" s="60">
        <v>2487</v>
      </c>
      <c r="H802" s="58" t="s">
        <v>241</v>
      </c>
      <c r="I802" s="58" t="s">
        <v>295</v>
      </c>
      <c r="J802" s="58" t="s">
        <v>1613</v>
      </c>
      <c r="K802" s="58"/>
      <c r="L802" s="58" t="s">
        <v>599</v>
      </c>
      <c r="M802" s="58"/>
      <c r="N802" s="58" t="s">
        <v>295</v>
      </c>
      <c r="O802" s="58"/>
      <c r="P802" s="63"/>
      <c r="Q802" s="63"/>
    </row>
    <row r="803" spans="2:17" ht="20.25" customHeight="1" x14ac:dyDescent="0.3">
      <c r="B803" s="59" t="s">
        <v>912</v>
      </c>
      <c r="C803" s="59" t="s">
        <v>133</v>
      </c>
      <c r="D803" s="62" t="str">
        <f t="shared" si="20"/>
        <v>LEXUSRX</v>
      </c>
      <c r="E803" s="59" t="s">
        <v>951</v>
      </c>
      <c r="F803" s="60">
        <v>91900000</v>
      </c>
      <c r="G803" s="60">
        <v>3456</v>
      </c>
      <c r="H803" s="58" t="s">
        <v>241</v>
      </c>
      <c r="I803" s="58" t="s">
        <v>295</v>
      </c>
      <c r="J803" s="58" t="s">
        <v>1613</v>
      </c>
      <c r="K803" s="58"/>
      <c r="L803" s="58" t="s">
        <v>599</v>
      </c>
      <c r="M803" s="58"/>
      <c r="N803" s="58" t="s">
        <v>295</v>
      </c>
      <c r="O803" s="58"/>
      <c r="P803" s="63"/>
      <c r="Q803" s="63"/>
    </row>
    <row r="804" spans="2:17" ht="20.25" customHeight="1" x14ac:dyDescent="0.3">
      <c r="B804" s="59" t="s">
        <v>912</v>
      </c>
      <c r="C804" s="59" t="s">
        <v>133</v>
      </c>
      <c r="D804" s="62" t="str">
        <f t="shared" si="20"/>
        <v>LEXUSRX</v>
      </c>
      <c r="E804" s="59" t="s">
        <v>952</v>
      </c>
      <c r="F804" s="60">
        <v>92800000</v>
      </c>
      <c r="G804" s="60">
        <v>3456</v>
      </c>
      <c r="H804" s="58" t="s">
        <v>241</v>
      </c>
      <c r="I804" s="58" t="s">
        <v>295</v>
      </c>
      <c r="J804" s="58" t="s">
        <v>1613</v>
      </c>
      <c r="K804" s="58"/>
      <c r="L804" s="58" t="s">
        <v>599</v>
      </c>
      <c r="M804" s="58"/>
      <c r="N804" s="58" t="s">
        <v>295</v>
      </c>
      <c r="O804" s="58"/>
      <c r="P804" s="63"/>
      <c r="Q804" s="63"/>
    </row>
    <row r="805" spans="2:17" ht="20.25" customHeight="1" x14ac:dyDescent="0.3">
      <c r="B805" s="59" t="s">
        <v>912</v>
      </c>
      <c r="C805" s="59" t="s">
        <v>133</v>
      </c>
      <c r="D805" s="62" t="str">
        <f t="shared" si="20"/>
        <v>LEXUSRX</v>
      </c>
      <c r="E805" s="59" t="s">
        <v>953</v>
      </c>
      <c r="F805" s="60">
        <v>97600000</v>
      </c>
      <c r="G805" s="60">
        <v>2393</v>
      </c>
      <c r="H805" s="58" t="s">
        <v>241</v>
      </c>
      <c r="I805" s="58" t="s">
        <v>295</v>
      </c>
      <c r="J805" s="58" t="s">
        <v>1613</v>
      </c>
      <c r="K805" s="58"/>
      <c r="L805" s="58" t="s">
        <v>599</v>
      </c>
      <c r="M805" s="58"/>
      <c r="N805" s="58" t="s">
        <v>295</v>
      </c>
      <c r="O805" s="58"/>
      <c r="P805" s="63"/>
      <c r="Q805" s="63"/>
    </row>
    <row r="806" spans="2:17" ht="20.25" customHeight="1" x14ac:dyDescent="0.3">
      <c r="B806" s="59" t="s">
        <v>912</v>
      </c>
      <c r="C806" s="59" t="s">
        <v>134</v>
      </c>
      <c r="D806" s="62" t="str">
        <f t="shared" si="20"/>
        <v>LEXUSRZ</v>
      </c>
      <c r="E806" s="59" t="s">
        <v>954</v>
      </c>
      <c r="F806" s="60">
        <v>84900000</v>
      </c>
      <c r="G806" s="60">
        <v>0</v>
      </c>
      <c r="H806" s="58" t="s">
        <v>308</v>
      </c>
      <c r="I806" s="58" t="s">
        <v>308</v>
      </c>
      <c r="J806" s="58" t="s">
        <v>1676</v>
      </c>
      <c r="K806" s="58"/>
      <c r="L806" s="58" t="s">
        <v>599</v>
      </c>
      <c r="M806" s="58"/>
      <c r="N806" s="58" t="s">
        <v>295</v>
      </c>
      <c r="O806" s="58"/>
      <c r="P806" s="63"/>
      <c r="Q806" s="63"/>
    </row>
    <row r="807" spans="2:17" ht="20.25" customHeight="1" x14ac:dyDescent="0.3">
      <c r="B807" s="59" t="s">
        <v>912</v>
      </c>
      <c r="C807" s="59" t="s">
        <v>134</v>
      </c>
      <c r="D807" s="62" t="str">
        <f t="shared" si="20"/>
        <v>LEXUSRZ</v>
      </c>
      <c r="E807" s="59" t="s">
        <v>955</v>
      </c>
      <c r="F807" s="60">
        <v>93000000</v>
      </c>
      <c r="G807" s="60">
        <v>0</v>
      </c>
      <c r="H807" s="58" t="s">
        <v>308</v>
      </c>
      <c r="I807" s="58" t="s">
        <v>308</v>
      </c>
      <c r="J807" s="58" t="s">
        <v>1676</v>
      </c>
      <c r="K807" s="58"/>
      <c r="L807" s="58" t="s">
        <v>599</v>
      </c>
      <c r="M807" s="58"/>
      <c r="N807" s="58" t="s">
        <v>295</v>
      </c>
      <c r="O807" s="58"/>
      <c r="P807" s="63"/>
      <c r="Q807" s="63"/>
    </row>
    <row r="808" spans="2:17" ht="20.25" customHeight="1" x14ac:dyDescent="0.3">
      <c r="B808" s="59" t="s">
        <v>912</v>
      </c>
      <c r="C808" s="59" t="s">
        <v>135</v>
      </c>
      <c r="D808" s="62" t="str">
        <f t="shared" si="20"/>
        <v>LEXUSLM</v>
      </c>
      <c r="E808" s="59" t="s">
        <v>956</v>
      </c>
      <c r="F808" s="60">
        <v>148000000</v>
      </c>
      <c r="G808" s="60">
        <v>2393</v>
      </c>
      <c r="H808" s="58" t="s">
        <v>241</v>
      </c>
      <c r="I808" s="79" t="s">
        <v>322</v>
      </c>
      <c r="J808" s="58" t="s">
        <v>1676</v>
      </c>
      <c r="K808" s="58"/>
      <c r="L808" s="58" t="s">
        <v>279</v>
      </c>
      <c r="M808" s="58"/>
      <c r="N808" s="58" t="s">
        <v>322</v>
      </c>
      <c r="O808" s="58"/>
      <c r="P808" s="63"/>
      <c r="Q808" s="63"/>
    </row>
    <row r="809" spans="2:17" ht="20.25" customHeight="1" x14ac:dyDescent="0.3">
      <c r="B809" s="59" t="s">
        <v>912</v>
      </c>
      <c r="C809" s="59" t="s">
        <v>135</v>
      </c>
      <c r="D809" s="62" t="str">
        <f t="shared" si="20"/>
        <v>LEXUSLM</v>
      </c>
      <c r="E809" s="59" t="s">
        <v>957</v>
      </c>
      <c r="F809" s="60">
        <v>196000000</v>
      </c>
      <c r="G809" s="60">
        <v>2393</v>
      </c>
      <c r="H809" s="58" t="s">
        <v>241</v>
      </c>
      <c r="I809" s="80" t="s">
        <v>322</v>
      </c>
      <c r="J809" s="58" t="s">
        <v>1676</v>
      </c>
      <c r="K809" s="58"/>
      <c r="L809" s="58" t="s">
        <v>279</v>
      </c>
      <c r="M809" s="58"/>
      <c r="N809" s="58" t="s">
        <v>322</v>
      </c>
      <c r="O809" s="58"/>
      <c r="P809" s="63"/>
      <c r="Q809" s="63"/>
    </row>
    <row r="810" spans="2:17" ht="20.25" customHeight="1" x14ac:dyDescent="0.3">
      <c r="B810" s="59" t="s">
        <v>912</v>
      </c>
      <c r="C810" s="59" t="s">
        <v>1756</v>
      </c>
      <c r="D810" s="62" t="str">
        <f t="shared" si="20"/>
        <v>LEXUSLX</v>
      </c>
      <c r="E810" s="59" t="s">
        <v>1757</v>
      </c>
      <c r="F810" s="60">
        <v>167970000</v>
      </c>
      <c r="G810" s="60">
        <v>3445</v>
      </c>
      <c r="H810" s="58" t="s">
        <v>241</v>
      </c>
      <c r="I810" s="80" t="s">
        <v>322</v>
      </c>
      <c r="J810" s="58"/>
      <c r="K810" s="58"/>
      <c r="L810" s="58" t="s">
        <v>1245</v>
      </c>
      <c r="M810" s="58"/>
      <c r="N810" s="58" t="s">
        <v>322</v>
      </c>
      <c r="O810" s="58"/>
      <c r="P810" s="63"/>
      <c r="Q810" s="63"/>
    </row>
    <row r="811" spans="2:17" ht="20.25" customHeight="1" x14ac:dyDescent="0.3">
      <c r="B811" s="59" t="s">
        <v>912</v>
      </c>
      <c r="C811" s="59" t="s">
        <v>1756</v>
      </c>
      <c r="D811" s="62" t="str">
        <f t="shared" si="20"/>
        <v>LEXUSLX</v>
      </c>
      <c r="E811" s="59" t="s">
        <v>1758</v>
      </c>
      <c r="F811" s="60">
        <v>194570000</v>
      </c>
      <c r="G811" s="60">
        <v>3445</v>
      </c>
      <c r="H811" s="58" t="s">
        <v>241</v>
      </c>
      <c r="I811" s="58" t="s">
        <v>295</v>
      </c>
      <c r="J811" s="58"/>
      <c r="K811" s="58"/>
      <c r="L811" s="58" t="s">
        <v>1245</v>
      </c>
      <c r="M811" s="58"/>
      <c r="N811" s="58" t="s">
        <v>322</v>
      </c>
      <c r="O811" s="58"/>
      <c r="P811" s="63"/>
      <c r="Q811" s="63"/>
    </row>
    <row r="812" spans="2:17" ht="20.25" customHeight="1" x14ac:dyDescent="0.3">
      <c r="B812" s="59"/>
      <c r="C812" s="59"/>
      <c r="D812" s="62"/>
      <c r="E812" s="59"/>
      <c r="F812" s="60"/>
      <c r="G812" s="60"/>
      <c r="H812" s="58"/>
      <c r="I812" s="58"/>
      <c r="J812" s="58"/>
      <c r="K812" s="58"/>
      <c r="L812" s="58"/>
      <c r="M812" s="58"/>
      <c r="N812" s="58"/>
      <c r="O812" s="58"/>
      <c r="P812" s="63"/>
      <c r="Q812" s="63"/>
    </row>
    <row r="813" spans="2:17" ht="20.25" customHeight="1" x14ac:dyDescent="0.3">
      <c r="B813" s="59"/>
      <c r="C813" s="59"/>
      <c r="D813" s="62"/>
      <c r="E813" s="59"/>
      <c r="F813" s="60"/>
      <c r="G813" s="60"/>
      <c r="H813" s="58"/>
      <c r="I813" s="58"/>
      <c r="J813" s="58"/>
      <c r="K813" s="58"/>
      <c r="L813" s="58"/>
      <c r="M813" s="58"/>
      <c r="N813" s="58"/>
      <c r="O813" s="58"/>
      <c r="P813" s="63"/>
      <c r="Q813" s="63"/>
    </row>
    <row r="814" spans="2:17" ht="20.25" customHeight="1" x14ac:dyDescent="0.3">
      <c r="B814" s="59"/>
      <c r="C814" s="59"/>
      <c r="D814" s="62"/>
      <c r="E814" s="59"/>
      <c r="F814" s="60"/>
      <c r="G814" s="60"/>
      <c r="H814" s="58"/>
      <c r="I814" s="58"/>
      <c r="J814" s="58"/>
      <c r="K814" s="58"/>
      <c r="L814" s="58"/>
      <c r="M814" s="58"/>
      <c r="N814" s="58"/>
      <c r="O814" s="58"/>
      <c r="P814" s="63"/>
      <c r="Q814" s="63"/>
    </row>
    <row r="815" spans="2:17" ht="20.25" customHeight="1" x14ac:dyDescent="0.3">
      <c r="B815" s="59"/>
      <c r="C815" s="59"/>
      <c r="D815" s="62"/>
      <c r="E815" s="59"/>
      <c r="F815" s="60"/>
      <c r="G815" s="60"/>
      <c r="H815" s="58"/>
      <c r="I815" s="58"/>
      <c r="J815" s="58"/>
      <c r="K815" s="58"/>
      <c r="L815" s="58"/>
      <c r="M815" s="58"/>
      <c r="N815" s="58"/>
      <c r="O815" s="58"/>
      <c r="P815" s="63"/>
      <c r="Q815" s="63"/>
    </row>
    <row r="816" spans="2:17" ht="20.25" customHeight="1" x14ac:dyDescent="0.3">
      <c r="B816" s="59"/>
      <c r="C816" s="59"/>
      <c r="D816" s="62" t="str">
        <f t="shared" si="20"/>
        <v/>
      </c>
      <c r="E816" s="59"/>
      <c r="F816" s="60"/>
      <c r="G816" s="60"/>
      <c r="H816" s="58"/>
      <c r="I816" s="58"/>
      <c r="J816" s="58"/>
      <c r="K816" s="58"/>
      <c r="L816" s="58"/>
      <c r="M816" s="58"/>
      <c r="N816" s="58"/>
      <c r="O816" s="58"/>
      <c r="P816" s="63"/>
      <c r="Q816" s="63"/>
    </row>
    <row r="817" spans="2:17" ht="20.25" customHeight="1" x14ac:dyDescent="0.3">
      <c r="B817" s="59" t="s">
        <v>958</v>
      </c>
      <c r="C817" s="59" t="s">
        <v>136</v>
      </c>
      <c r="D817" s="62" t="str">
        <f t="shared" si="20"/>
        <v>MASERATIGhibli</v>
      </c>
      <c r="E817" s="59" t="s">
        <v>959</v>
      </c>
      <c r="F817" s="60">
        <v>137570000</v>
      </c>
      <c r="G817" s="60">
        <v>2979</v>
      </c>
      <c r="H817" s="58" t="s">
        <v>241</v>
      </c>
      <c r="I817" s="58" t="s">
        <v>242</v>
      </c>
      <c r="J817" s="58" t="s">
        <v>1680</v>
      </c>
      <c r="K817" s="58"/>
      <c r="L817" s="58" t="s">
        <v>331</v>
      </c>
      <c r="M817" s="58"/>
      <c r="N817" s="58" t="s">
        <v>242</v>
      </c>
      <c r="O817" s="58"/>
      <c r="P817" s="63"/>
      <c r="Q817" s="63"/>
    </row>
    <row r="818" spans="2:17" ht="20.25" customHeight="1" x14ac:dyDescent="0.3">
      <c r="B818" s="59" t="s">
        <v>958</v>
      </c>
      <c r="C818" s="59" t="s">
        <v>136</v>
      </c>
      <c r="D818" s="62" t="str">
        <f t="shared" si="20"/>
        <v>MASERATIGhibli</v>
      </c>
      <c r="E818" s="59" t="s">
        <v>960</v>
      </c>
      <c r="F818" s="60">
        <v>149600000</v>
      </c>
      <c r="G818" s="60">
        <v>2979</v>
      </c>
      <c r="H818" s="58" t="s">
        <v>241</v>
      </c>
      <c r="I818" s="58" t="s">
        <v>242</v>
      </c>
      <c r="J818" s="58" t="s">
        <v>1680</v>
      </c>
      <c r="K818" s="58"/>
      <c r="L818" s="58" t="s">
        <v>331</v>
      </c>
      <c r="M818" s="58"/>
      <c r="N818" s="58" t="s">
        <v>242</v>
      </c>
      <c r="O818" s="58"/>
      <c r="P818" s="63"/>
      <c r="Q818" s="63"/>
    </row>
    <row r="819" spans="2:17" ht="20.25" customHeight="1" x14ac:dyDescent="0.3">
      <c r="B819" s="59" t="s">
        <v>958</v>
      </c>
      <c r="C819" s="59" t="s">
        <v>136</v>
      </c>
      <c r="D819" s="62" t="str">
        <f t="shared" si="20"/>
        <v>MASERATIGhibli</v>
      </c>
      <c r="E819" s="59" t="s">
        <v>961</v>
      </c>
      <c r="F819" s="60">
        <v>150600000</v>
      </c>
      <c r="G819" s="60">
        <v>2979</v>
      </c>
      <c r="H819" s="58" t="s">
        <v>241</v>
      </c>
      <c r="I819" s="58" t="s">
        <v>242</v>
      </c>
      <c r="J819" s="58" t="s">
        <v>1680</v>
      </c>
      <c r="K819" s="58"/>
      <c r="L819" s="58" t="s">
        <v>331</v>
      </c>
      <c r="M819" s="58"/>
      <c r="N819" s="58" t="s">
        <v>242</v>
      </c>
      <c r="O819" s="58"/>
      <c r="P819" s="63"/>
      <c r="Q819" s="63"/>
    </row>
    <row r="820" spans="2:17" ht="20.25" customHeight="1" x14ac:dyDescent="0.3">
      <c r="B820" s="59" t="s">
        <v>958</v>
      </c>
      <c r="C820" s="59" t="s">
        <v>136</v>
      </c>
      <c r="D820" s="62" t="str">
        <f t="shared" si="20"/>
        <v>MASERATIGhibli</v>
      </c>
      <c r="E820" s="59" t="s">
        <v>962</v>
      </c>
      <c r="F820" s="60">
        <v>134600000</v>
      </c>
      <c r="G820" s="60">
        <v>1995</v>
      </c>
      <c r="H820" s="58" t="s">
        <v>241</v>
      </c>
      <c r="I820" s="58" t="s">
        <v>242</v>
      </c>
      <c r="J820" s="58" t="s">
        <v>1680</v>
      </c>
      <c r="K820" s="58"/>
      <c r="L820" s="58" t="s">
        <v>331</v>
      </c>
      <c r="M820" s="58"/>
      <c r="N820" s="58" t="s">
        <v>242</v>
      </c>
      <c r="O820" s="58"/>
      <c r="P820" s="63"/>
      <c r="Q820" s="63"/>
    </row>
    <row r="821" spans="2:17" ht="20.25" customHeight="1" x14ac:dyDescent="0.3">
      <c r="B821" s="59" t="s">
        <v>958</v>
      </c>
      <c r="C821" s="59" t="s">
        <v>136</v>
      </c>
      <c r="D821" s="62" t="str">
        <f t="shared" si="20"/>
        <v>MASERATIGhibli</v>
      </c>
      <c r="E821" s="59" t="s">
        <v>963</v>
      </c>
      <c r="F821" s="60">
        <v>142000000</v>
      </c>
      <c r="G821" s="60">
        <v>2979</v>
      </c>
      <c r="H821" s="58" t="s">
        <v>241</v>
      </c>
      <c r="I821" s="58" t="s">
        <v>242</v>
      </c>
      <c r="J821" s="58" t="s">
        <v>1680</v>
      </c>
      <c r="K821" s="58"/>
      <c r="L821" s="58" t="s">
        <v>331</v>
      </c>
      <c r="M821" s="58"/>
      <c r="N821" s="58" t="s">
        <v>242</v>
      </c>
      <c r="O821" s="58"/>
      <c r="P821" s="63"/>
      <c r="Q821" s="63"/>
    </row>
    <row r="822" spans="2:17" ht="20.25" customHeight="1" x14ac:dyDescent="0.3">
      <c r="B822" s="59" t="s">
        <v>958</v>
      </c>
      <c r="C822" s="59" t="s">
        <v>136</v>
      </c>
      <c r="D822" s="62" t="str">
        <f t="shared" si="20"/>
        <v>MASERATIGhibli</v>
      </c>
      <c r="E822" s="59" t="s">
        <v>964</v>
      </c>
      <c r="F822" s="60">
        <v>177600000</v>
      </c>
      <c r="G822" s="60">
        <v>2979</v>
      </c>
      <c r="H822" s="58" t="s">
        <v>241</v>
      </c>
      <c r="I822" s="58" t="s">
        <v>242</v>
      </c>
      <c r="J822" s="58" t="s">
        <v>1680</v>
      </c>
      <c r="K822" s="58"/>
      <c r="L822" s="58" t="s">
        <v>331</v>
      </c>
      <c r="M822" s="58"/>
      <c r="N822" s="58" t="s">
        <v>242</v>
      </c>
      <c r="O822" s="58"/>
      <c r="P822" s="63"/>
      <c r="Q822" s="63"/>
    </row>
    <row r="823" spans="2:17" ht="20.25" customHeight="1" x14ac:dyDescent="0.3">
      <c r="B823" s="59" t="s">
        <v>958</v>
      </c>
      <c r="C823" s="59" t="s">
        <v>136</v>
      </c>
      <c r="D823" s="62" t="str">
        <f t="shared" si="20"/>
        <v>MASERATIGhibli</v>
      </c>
      <c r="E823" s="59" t="s">
        <v>965</v>
      </c>
      <c r="F823" s="60">
        <v>122570000</v>
      </c>
      <c r="G823" s="60">
        <v>2979</v>
      </c>
      <c r="H823" s="58" t="s">
        <v>241</v>
      </c>
      <c r="I823" s="58" t="s">
        <v>242</v>
      </c>
      <c r="J823" s="58" t="s">
        <v>1680</v>
      </c>
      <c r="K823" s="58"/>
      <c r="L823" s="58" t="s">
        <v>331</v>
      </c>
      <c r="M823" s="58"/>
      <c r="N823" s="58" t="s">
        <v>242</v>
      </c>
      <c r="O823" s="58"/>
      <c r="P823" s="63"/>
      <c r="Q823" s="63"/>
    </row>
    <row r="824" spans="2:17" ht="20.25" customHeight="1" x14ac:dyDescent="0.3">
      <c r="B824" s="59" t="s">
        <v>958</v>
      </c>
      <c r="C824" s="59" t="s">
        <v>136</v>
      </c>
      <c r="D824" s="62" t="str">
        <f t="shared" si="20"/>
        <v>MASERATIGhibli</v>
      </c>
      <c r="E824" s="59" t="s">
        <v>966</v>
      </c>
      <c r="F824" s="60">
        <v>132100000</v>
      </c>
      <c r="G824" s="60">
        <v>2979</v>
      </c>
      <c r="H824" s="58" t="s">
        <v>241</v>
      </c>
      <c r="I824" s="58" t="s">
        <v>242</v>
      </c>
      <c r="J824" s="58" t="s">
        <v>1680</v>
      </c>
      <c r="K824" s="58"/>
      <c r="L824" s="58" t="s">
        <v>331</v>
      </c>
      <c r="M824" s="58"/>
      <c r="N824" s="58" t="s">
        <v>242</v>
      </c>
      <c r="O824" s="58"/>
      <c r="P824" s="63"/>
      <c r="Q824" s="63"/>
    </row>
    <row r="825" spans="2:17" ht="20.25" customHeight="1" x14ac:dyDescent="0.3">
      <c r="B825" s="59" t="s">
        <v>958</v>
      </c>
      <c r="C825" s="59" t="s">
        <v>136</v>
      </c>
      <c r="D825" s="62" t="str">
        <f t="shared" si="20"/>
        <v>MASERATIGhibli</v>
      </c>
      <c r="E825" s="59" t="s">
        <v>967</v>
      </c>
      <c r="F825" s="60">
        <v>130100000</v>
      </c>
      <c r="G825" s="60">
        <v>2979</v>
      </c>
      <c r="H825" s="58" t="s">
        <v>241</v>
      </c>
      <c r="I825" s="58" t="s">
        <v>242</v>
      </c>
      <c r="J825" s="58" t="s">
        <v>1680</v>
      </c>
      <c r="K825" s="58"/>
      <c r="L825" s="58" t="s">
        <v>331</v>
      </c>
      <c r="M825" s="58"/>
      <c r="N825" s="58" t="s">
        <v>242</v>
      </c>
      <c r="O825" s="58"/>
      <c r="P825" s="63"/>
      <c r="Q825" s="63"/>
    </row>
    <row r="826" spans="2:17" ht="20.25" customHeight="1" x14ac:dyDescent="0.3">
      <c r="B826" s="59" t="s">
        <v>958</v>
      </c>
      <c r="C826" s="59" t="s">
        <v>136</v>
      </c>
      <c r="D826" s="62" t="str">
        <f t="shared" si="20"/>
        <v>MASERATIGhibli</v>
      </c>
      <c r="E826" s="59" t="s">
        <v>968</v>
      </c>
      <c r="F826" s="60">
        <v>114500000</v>
      </c>
      <c r="G826" s="60">
        <v>1995</v>
      </c>
      <c r="H826" s="58" t="s">
        <v>241</v>
      </c>
      <c r="I826" s="58" t="s">
        <v>283</v>
      </c>
      <c r="J826" s="58" t="s">
        <v>1680</v>
      </c>
      <c r="K826" s="58"/>
      <c r="L826" s="58" t="s">
        <v>331</v>
      </c>
      <c r="M826" s="58"/>
      <c r="N826" s="58" t="s">
        <v>242</v>
      </c>
      <c r="O826" s="58"/>
      <c r="P826" s="63"/>
      <c r="Q826" s="63"/>
    </row>
    <row r="827" spans="2:17" ht="20.25" customHeight="1" x14ac:dyDescent="0.3">
      <c r="B827" s="59" t="s">
        <v>958</v>
      </c>
      <c r="C827" s="59" t="s">
        <v>136</v>
      </c>
      <c r="D827" s="62" t="str">
        <f t="shared" si="20"/>
        <v>MASERATIGhibli</v>
      </c>
      <c r="E827" s="59" t="s">
        <v>969</v>
      </c>
      <c r="F827" s="60">
        <v>121500000</v>
      </c>
      <c r="G827" s="60">
        <v>1995</v>
      </c>
      <c r="H827" s="58" t="s">
        <v>241</v>
      </c>
      <c r="I827" s="58" t="s">
        <v>283</v>
      </c>
      <c r="J827" s="58" t="s">
        <v>1680</v>
      </c>
      <c r="K827" s="58"/>
      <c r="L827" s="58" t="s">
        <v>331</v>
      </c>
      <c r="M827" s="58"/>
      <c r="N827" s="58" t="s">
        <v>242</v>
      </c>
      <c r="O827" s="58"/>
      <c r="P827" s="63"/>
      <c r="Q827" s="63"/>
    </row>
    <row r="828" spans="2:17" ht="20.25" customHeight="1" x14ac:dyDescent="0.3">
      <c r="B828" s="59" t="s">
        <v>958</v>
      </c>
      <c r="C828" s="59" t="s">
        <v>136</v>
      </c>
      <c r="D828" s="62" t="str">
        <f t="shared" si="20"/>
        <v>MASERATIGhibli</v>
      </c>
      <c r="E828" s="59" t="s">
        <v>970</v>
      </c>
      <c r="F828" s="60">
        <v>120500000</v>
      </c>
      <c r="G828" s="60">
        <v>1995</v>
      </c>
      <c r="H828" s="58" t="s">
        <v>241</v>
      </c>
      <c r="I828" s="58" t="s">
        <v>283</v>
      </c>
      <c r="J828" s="58" t="s">
        <v>1680</v>
      </c>
      <c r="K828" s="58"/>
      <c r="L828" s="58" t="s">
        <v>331</v>
      </c>
      <c r="M828" s="58"/>
      <c r="N828" s="58" t="s">
        <v>242</v>
      </c>
      <c r="O828" s="58"/>
      <c r="P828" s="63"/>
      <c r="Q828" s="63"/>
    </row>
    <row r="829" spans="2:17" ht="20.25" customHeight="1" x14ac:dyDescent="0.3">
      <c r="B829" s="59" t="s">
        <v>958</v>
      </c>
      <c r="C829" s="59" t="s">
        <v>136</v>
      </c>
      <c r="D829" s="62" t="str">
        <f t="shared" ref="D829:D893" si="21">+B829&amp;C829</f>
        <v>MASERATIGhibli</v>
      </c>
      <c r="E829" s="59" t="s">
        <v>971</v>
      </c>
      <c r="F829" s="60">
        <v>161000000</v>
      </c>
      <c r="G829" s="60">
        <v>2979</v>
      </c>
      <c r="H829" s="58" t="s">
        <v>241</v>
      </c>
      <c r="I829" s="58" t="s">
        <v>242</v>
      </c>
      <c r="J829" s="58" t="s">
        <v>1680</v>
      </c>
      <c r="K829" s="58"/>
      <c r="L829" s="58" t="s">
        <v>331</v>
      </c>
      <c r="M829" s="58"/>
      <c r="N829" s="58" t="s">
        <v>242</v>
      </c>
      <c r="O829" s="58"/>
      <c r="P829" s="63"/>
      <c r="Q829" s="63"/>
    </row>
    <row r="830" spans="2:17" ht="20.25" customHeight="1" x14ac:dyDescent="0.3">
      <c r="B830" s="59" t="s">
        <v>958</v>
      </c>
      <c r="C830" s="59" t="s">
        <v>136</v>
      </c>
      <c r="D830" s="62" t="str">
        <f t="shared" si="21"/>
        <v>MASERATIGhibli</v>
      </c>
      <c r="E830" s="59" t="s">
        <v>972</v>
      </c>
      <c r="F830" s="60">
        <v>200600000</v>
      </c>
      <c r="G830" s="60">
        <v>3799</v>
      </c>
      <c r="H830" s="58" t="s">
        <v>241</v>
      </c>
      <c r="I830" s="58" t="s">
        <v>242</v>
      </c>
      <c r="J830" s="58" t="s">
        <v>1680</v>
      </c>
      <c r="K830" s="58"/>
      <c r="L830" s="58" t="s">
        <v>331</v>
      </c>
      <c r="M830" s="58"/>
      <c r="N830" s="58" t="s">
        <v>242</v>
      </c>
      <c r="O830" s="58"/>
      <c r="P830" s="63"/>
      <c r="Q830" s="63"/>
    </row>
    <row r="831" spans="2:17" ht="20.25" customHeight="1" x14ac:dyDescent="0.3">
      <c r="B831" s="59" t="s">
        <v>958</v>
      </c>
      <c r="C831" s="59" t="s">
        <v>136</v>
      </c>
      <c r="D831" s="62" t="str">
        <f t="shared" si="21"/>
        <v>MASERATIGhibli</v>
      </c>
      <c r="E831" s="59" t="s">
        <v>973</v>
      </c>
      <c r="F831" s="60">
        <v>120570000</v>
      </c>
      <c r="G831" s="60">
        <v>2987</v>
      </c>
      <c r="H831" s="58" t="s">
        <v>250</v>
      </c>
      <c r="I831" s="58" t="s">
        <v>242</v>
      </c>
      <c r="J831" s="58" t="s">
        <v>1680</v>
      </c>
      <c r="K831" s="58"/>
      <c r="L831" s="58" t="s">
        <v>331</v>
      </c>
      <c r="M831" s="58"/>
      <c r="N831" s="58" t="s">
        <v>242</v>
      </c>
      <c r="O831" s="58"/>
      <c r="P831" s="63"/>
      <c r="Q831" s="63"/>
    </row>
    <row r="832" spans="2:17" ht="20.25" customHeight="1" x14ac:dyDescent="0.3">
      <c r="B832" s="59" t="s">
        <v>958</v>
      </c>
      <c r="C832" s="59" t="s">
        <v>136</v>
      </c>
      <c r="D832" s="62" t="str">
        <f t="shared" si="21"/>
        <v>MASERATIGhibli</v>
      </c>
      <c r="E832" s="59" t="s">
        <v>974</v>
      </c>
      <c r="F832" s="60">
        <v>129570000</v>
      </c>
      <c r="G832" s="60">
        <v>2987</v>
      </c>
      <c r="H832" s="58" t="s">
        <v>250</v>
      </c>
      <c r="I832" s="58" t="s">
        <v>242</v>
      </c>
      <c r="J832" s="58" t="s">
        <v>1680</v>
      </c>
      <c r="K832" s="58"/>
      <c r="L832" s="58" t="s">
        <v>331</v>
      </c>
      <c r="M832" s="58"/>
      <c r="N832" s="58" t="s">
        <v>242</v>
      </c>
      <c r="O832" s="58"/>
      <c r="P832" s="63"/>
      <c r="Q832" s="63"/>
    </row>
    <row r="833" spans="2:17" ht="20.25" customHeight="1" x14ac:dyDescent="0.3">
      <c r="B833" s="59" t="s">
        <v>958</v>
      </c>
      <c r="C833" s="59" t="s">
        <v>136</v>
      </c>
      <c r="D833" s="62" t="str">
        <f t="shared" si="21"/>
        <v>MASERATIGhibli</v>
      </c>
      <c r="E833" s="59" t="s">
        <v>975</v>
      </c>
      <c r="F833" s="60">
        <v>127570000</v>
      </c>
      <c r="G833" s="60">
        <v>2987</v>
      </c>
      <c r="H833" s="58" t="s">
        <v>250</v>
      </c>
      <c r="I833" s="58" t="s">
        <v>242</v>
      </c>
      <c r="J833" s="58" t="s">
        <v>1680</v>
      </c>
      <c r="K833" s="58"/>
      <c r="L833" s="58" t="s">
        <v>331</v>
      </c>
      <c r="M833" s="58"/>
      <c r="N833" s="58" t="s">
        <v>242</v>
      </c>
      <c r="O833" s="58"/>
      <c r="P833" s="63"/>
      <c r="Q833" s="63"/>
    </row>
    <row r="834" spans="2:17" ht="20.25" customHeight="1" x14ac:dyDescent="0.3">
      <c r="B834" s="59" t="s">
        <v>958</v>
      </c>
      <c r="C834" s="59" t="s">
        <v>137</v>
      </c>
      <c r="D834" s="62" t="str">
        <f t="shared" si="21"/>
        <v>MASERATIQuattroporte</v>
      </c>
      <c r="E834" s="59" t="s">
        <v>976</v>
      </c>
      <c r="F834" s="60">
        <v>163570000</v>
      </c>
      <c r="G834" s="60">
        <v>2987</v>
      </c>
      <c r="H834" s="58" t="s">
        <v>250</v>
      </c>
      <c r="I834" s="58" t="s">
        <v>242</v>
      </c>
      <c r="J834" s="58" t="s">
        <v>1678</v>
      </c>
      <c r="K834" s="58"/>
      <c r="L834" s="58" t="s">
        <v>331</v>
      </c>
      <c r="M834" s="58"/>
      <c r="N834" s="58" t="s">
        <v>242</v>
      </c>
      <c r="O834" s="58"/>
      <c r="P834" s="63"/>
      <c r="Q834" s="63"/>
    </row>
    <row r="835" spans="2:17" ht="20.25" customHeight="1" x14ac:dyDescent="0.3">
      <c r="B835" s="59" t="s">
        <v>958</v>
      </c>
      <c r="C835" s="59" t="s">
        <v>137</v>
      </c>
      <c r="D835" s="62" t="str">
        <f t="shared" si="21"/>
        <v>MASERATIQuattroporte</v>
      </c>
      <c r="E835" s="59" t="s">
        <v>977</v>
      </c>
      <c r="F835" s="60">
        <v>171570000</v>
      </c>
      <c r="G835" s="60">
        <v>2987</v>
      </c>
      <c r="H835" s="58" t="s">
        <v>250</v>
      </c>
      <c r="I835" s="58" t="s">
        <v>242</v>
      </c>
      <c r="J835" s="58" t="s">
        <v>1678</v>
      </c>
      <c r="K835" s="58"/>
      <c r="L835" s="58" t="s">
        <v>331</v>
      </c>
      <c r="M835" s="58"/>
      <c r="N835" s="58" t="s">
        <v>242</v>
      </c>
      <c r="O835" s="58"/>
      <c r="P835" s="63"/>
      <c r="Q835" s="63"/>
    </row>
    <row r="836" spans="2:17" ht="20.25" customHeight="1" x14ac:dyDescent="0.3">
      <c r="B836" s="59" t="s">
        <v>958</v>
      </c>
      <c r="C836" s="59" t="s">
        <v>137</v>
      </c>
      <c r="D836" s="62" t="str">
        <f t="shared" si="21"/>
        <v>MASERATIQuattroporte</v>
      </c>
      <c r="E836" s="59" t="s">
        <v>978</v>
      </c>
      <c r="F836" s="60">
        <v>188600000</v>
      </c>
      <c r="G836" s="60">
        <v>2979</v>
      </c>
      <c r="H836" s="58" t="s">
        <v>241</v>
      </c>
      <c r="I836" s="58" t="s">
        <v>242</v>
      </c>
      <c r="J836" s="58" t="s">
        <v>1678</v>
      </c>
      <c r="K836" s="58"/>
      <c r="L836" s="58" t="s">
        <v>248</v>
      </c>
      <c r="M836" s="58"/>
      <c r="N836" s="58" t="s">
        <v>242</v>
      </c>
      <c r="O836" s="58"/>
      <c r="P836" s="63"/>
      <c r="Q836" s="63"/>
    </row>
    <row r="837" spans="2:17" ht="20.25" customHeight="1" x14ac:dyDescent="0.3">
      <c r="B837" s="59" t="s">
        <v>958</v>
      </c>
      <c r="C837" s="59" t="s">
        <v>137</v>
      </c>
      <c r="D837" s="62" t="str">
        <f t="shared" si="21"/>
        <v>MASERATIQuattroporte</v>
      </c>
      <c r="E837" s="59" t="s">
        <v>979</v>
      </c>
      <c r="F837" s="60">
        <v>241600000</v>
      </c>
      <c r="G837" s="60">
        <v>2979</v>
      </c>
      <c r="H837" s="58" t="s">
        <v>241</v>
      </c>
      <c r="I837" s="58" t="s">
        <v>242</v>
      </c>
      <c r="J837" s="58" t="s">
        <v>1678</v>
      </c>
      <c r="K837" s="58"/>
      <c r="L837" s="58" t="s">
        <v>248</v>
      </c>
      <c r="M837" s="58"/>
      <c r="N837" s="58" t="s">
        <v>242</v>
      </c>
      <c r="O837" s="58"/>
      <c r="P837" s="63"/>
      <c r="Q837" s="63"/>
    </row>
    <row r="838" spans="2:17" ht="20.25" customHeight="1" x14ac:dyDescent="0.3">
      <c r="B838" s="59" t="s">
        <v>958</v>
      </c>
      <c r="C838" s="59" t="s">
        <v>137</v>
      </c>
      <c r="D838" s="62" t="str">
        <f t="shared" si="21"/>
        <v>MASERATIQuattroporte</v>
      </c>
      <c r="E838" s="59" t="s">
        <v>137</v>
      </c>
      <c r="F838" s="60">
        <v>167300000</v>
      </c>
      <c r="G838" s="60">
        <v>2979</v>
      </c>
      <c r="H838" s="58" t="s">
        <v>241</v>
      </c>
      <c r="I838" s="58" t="s">
        <v>242</v>
      </c>
      <c r="J838" s="58" t="s">
        <v>1678</v>
      </c>
      <c r="K838" s="58"/>
      <c r="L838" s="58" t="s">
        <v>248</v>
      </c>
      <c r="M838" s="58"/>
      <c r="N838" s="58" t="s">
        <v>242</v>
      </c>
      <c r="O838" s="58"/>
      <c r="P838" s="63"/>
      <c r="Q838" s="63"/>
    </row>
    <row r="839" spans="2:17" ht="20.25" customHeight="1" x14ac:dyDescent="0.3">
      <c r="B839" s="59" t="s">
        <v>958</v>
      </c>
      <c r="C839" s="59" t="s">
        <v>137</v>
      </c>
      <c r="D839" s="62" t="str">
        <f t="shared" si="21"/>
        <v>MASERATIQuattroporte</v>
      </c>
      <c r="E839" s="59" t="s">
        <v>980</v>
      </c>
      <c r="F839" s="60">
        <v>174600000</v>
      </c>
      <c r="G839" s="60">
        <v>2979</v>
      </c>
      <c r="H839" s="58" t="s">
        <v>241</v>
      </c>
      <c r="I839" s="58" t="s">
        <v>242</v>
      </c>
      <c r="J839" s="58" t="s">
        <v>1678</v>
      </c>
      <c r="K839" s="58"/>
      <c r="L839" s="58" t="s">
        <v>248</v>
      </c>
      <c r="M839" s="58"/>
      <c r="N839" s="58" t="s">
        <v>242</v>
      </c>
      <c r="O839" s="58"/>
      <c r="P839" s="63"/>
      <c r="Q839" s="63"/>
    </row>
    <row r="840" spans="2:17" ht="20.25" customHeight="1" x14ac:dyDescent="0.3">
      <c r="B840" s="59" t="s">
        <v>958</v>
      </c>
      <c r="C840" s="59" t="s">
        <v>137</v>
      </c>
      <c r="D840" s="62" t="str">
        <f t="shared" si="21"/>
        <v>MASERATIQuattroporte</v>
      </c>
      <c r="E840" s="59" t="s">
        <v>981</v>
      </c>
      <c r="F840" s="60">
        <v>188570000</v>
      </c>
      <c r="G840" s="60">
        <v>2979</v>
      </c>
      <c r="H840" s="58" t="s">
        <v>241</v>
      </c>
      <c r="I840" s="58" t="s">
        <v>242</v>
      </c>
      <c r="J840" s="58" t="s">
        <v>1678</v>
      </c>
      <c r="K840" s="58"/>
      <c r="L840" s="58" t="s">
        <v>248</v>
      </c>
      <c r="M840" s="58"/>
      <c r="N840" s="58" t="s">
        <v>242</v>
      </c>
      <c r="O840" s="58"/>
      <c r="P840" s="63"/>
      <c r="Q840" s="63"/>
    </row>
    <row r="841" spans="2:17" ht="20.25" customHeight="1" x14ac:dyDescent="0.3">
      <c r="B841" s="59" t="s">
        <v>958</v>
      </c>
      <c r="C841" s="59" t="s">
        <v>137</v>
      </c>
      <c r="D841" s="62" t="str">
        <f t="shared" si="21"/>
        <v>MASERATIQuattroporte</v>
      </c>
      <c r="E841" s="59" t="s">
        <v>982</v>
      </c>
      <c r="F841" s="60">
        <v>200700000</v>
      </c>
      <c r="G841" s="60">
        <v>2979</v>
      </c>
      <c r="H841" s="58" t="s">
        <v>241</v>
      </c>
      <c r="I841" s="58" t="s">
        <v>242</v>
      </c>
      <c r="J841" s="58" t="s">
        <v>1678</v>
      </c>
      <c r="K841" s="58"/>
      <c r="L841" s="58" t="s">
        <v>248</v>
      </c>
      <c r="M841" s="58"/>
      <c r="N841" s="58" t="s">
        <v>242</v>
      </c>
      <c r="O841" s="58"/>
      <c r="P841" s="63"/>
      <c r="Q841" s="63"/>
    </row>
    <row r="842" spans="2:17" ht="20.25" customHeight="1" x14ac:dyDescent="0.3">
      <c r="B842" s="59" t="s">
        <v>958</v>
      </c>
      <c r="C842" s="59" t="s">
        <v>137</v>
      </c>
      <c r="D842" s="62" t="str">
        <f t="shared" si="21"/>
        <v>MASERATIQuattroporte</v>
      </c>
      <c r="E842" s="59" t="s">
        <v>983</v>
      </c>
      <c r="F842" s="60">
        <v>206600000</v>
      </c>
      <c r="G842" s="60">
        <v>2979</v>
      </c>
      <c r="H842" s="58" t="s">
        <v>241</v>
      </c>
      <c r="I842" s="58" t="s">
        <v>242</v>
      </c>
      <c r="J842" s="58" t="s">
        <v>1678</v>
      </c>
      <c r="K842" s="58"/>
      <c r="L842" s="58" t="s">
        <v>248</v>
      </c>
      <c r="M842" s="58"/>
      <c r="N842" s="58" t="s">
        <v>242</v>
      </c>
      <c r="O842" s="58"/>
      <c r="P842" s="63"/>
      <c r="Q842" s="63"/>
    </row>
    <row r="843" spans="2:17" ht="20.25" customHeight="1" x14ac:dyDescent="0.3">
      <c r="B843" s="59" t="s">
        <v>958</v>
      </c>
      <c r="C843" s="59" t="s">
        <v>137</v>
      </c>
      <c r="D843" s="62" t="str">
        <f t="shared" si="21"/>
        <v>MASERATIQuattroporte</v>
      </c>
      <c r="E843" s="59" t="s">
        <v>984</v>
      </c>
      <c r="F843" s="60">
        <v>310600000</v>
      </c>
      <c r="G843" s="60">
        <v>3799</v>
      </c>
      <c r="H843" s="58" t="s">
        <v>241</v>
      </c>
      <c r="I843" s="58" t="s">
        <v>242</v>
      </c>
      <c r="J843" s="58" t="s">
        <v>1678</v>
      </c>
      <c r="K843" s="58"/>
      <c r="L843" s="58" t="s">
        <v>248</v>
      </c>
      <c r="M843" s="58"/>
      <c r="N843" s="58" t="s">
        <v>242</v>
      </c>
      <c r="O843" s="58"/>
      <c r="P843" s="63"/>
      <c r="Q843" s="63"/>
    </row>
    <row r="844" spans="2:17" ht="20.25" customHeight="1" x14ac:dyDescent="0.3">
      <c r="B844" s="59" t="s">
        <v>958</v>
      </c>
      <c r="C844" s="59" t="s">
        <v>137</v>
      </c>
      <c r="D844" s="62" t="str">
        <f t="shared" si="21"/>
        <v>MASERATIQuattroporte</v>
      </c>
      <c r="E844" s="59" t="s">
        <v>985</v>
      </c>
      <c r="F844" s="60">
        <v>243570000</v>
      </c>
      <c r="G844" s="60">
        <v>3799</v>
      </c>
      <c r="H844" s="58" t="s">
        <v>241</v>
      </c>
      <c r="I844" s="58" t="s">
        <v>242</v>
      </c>
      <c r="J844" s="58" t="s">
        <v>1678</v>
      </c>
      <c r="K844" s="58"/>
      <c r="L844" s="58" t="s">
        <v>248</v>
      </c>
      <c r="M844" s="58"/>
      <c r="N844" s="58" t="s">
        <v>242</v>
      </c>
      <c r="O844" s="58"/>
      <c r="P844" s="63"/>
      <c r="Q844" s="63"/>
    </row>
    <row r="845" spans="2:17" ht="20.25" customHeight="1" x14ac:dyDescent="0.3">
      <c r="B845" s="59" t="s">
        <v>958</v>
      </c>
      <c r="C845" s="59" t="s">
        <v>137</v>
      </c>
      <c r="D845" s="62" t="str">
        <f t="shared" si="21"/>
        <v>MASERATIQuattroporte</v>
      </c>
      <c r="E845" s="59" t="s">
        <v>986</v>
      </c>
      <c r="F845" s="60">
        <v>247570000</v>
      </c>
      <c r="G845" s="60">
        <v>3799</v>
      </c>
      <c r="H845" s="58" t="s">
        <v>241</v>
      </c>
      <c r="I845" s="58" t="s">
        <v>242</v>
      </c>
      <c r="J845" s="58" t="s">
        <v>1678</v>
      </c>
      <c r="K845" s="58"/>
      <c r="L845" s="58" t="s">
        <v>248</v>
      </c>
      <c r="M845" s="58"/>
      <c r="N845" s="58" t="s">
        <v>242</v>
      </c>
      <c r="O845" s="58"/>
      <c r="P845" s="63"/>
      <c r="Q845" s="63"/>
    </row>
    <row r="846" spans="2:17" ht="20.25" customHeight="1" x14ac:dyDescent="0.3">
      <c r="B846" s="59" t="s">
        <v>958</v>
      </c>
      <c r="C846" s="59" t="s">
        <v>138</v>
      </c>
      <c r="D846" s="62" t="str">
        <f t="shared" si="21"/>
        <v>MASERATILevante</v>
      </c>
      <c r="E846" s="59" t="s">
        <v>987</v>
      </c>
      <c r="F846" s="60">
        <v>132070000</v>
      </c>
      <c r="G846" s="60">
        <v>2987</v>
      </c>
      <c r="H846" s="58" t="s">
        <v>250</v>
      </c>
      <c r="I846" s="58" t="s">
        <v>295</v>
      </c>
      <c r="J846" s="58" t="s">
        <v>1681</v>
      </c>
      <c r="K846" s="58"/>
      <c r="L846" s="58" t="s">
        <v>331</v>
      </c>
      <c r="M846" s="58"/>
      <c r="N846" s="58" t="s">
        <v>295</v>
      </c>
      <c r="O846" s="58"/>
      <c r="P846" s="63"/>
      <c r="Q846" s="63"/>
    </row>
    <row r="847" spans="2:17" ht="20.25" customHeight="1" x14ac:dyDescent="0.3">
      <c r="B847" s="59" t="s">
        <v>958</v>
      </c>
      <c r="C847" s="59" t="s">
        <v>138</v>
      </c>
      <c r="D847" s="62" t="str">
        <f t="shared" si="21"/>
        <v>MASERATILevante</v>
      </c>
      <c r="E847" s="59" t="s">
        <v>988</v>
      </c>
      <c r="F847" s="60">
        <v>144070000</v>
      </c>
      <c r="G847" s="60">
        <v>2987</v>
      </c>
      <c r="H847" s="58" t="s">
        <v>250</v>
      </c>
      <c r="I847" s="58" t="s">
        <v>295</v>
      </c>
      <c r="J847" s="58" t="s">
        <v>1681</v>
      </c>
      <c r="K847" s="58"/>
      <c r="L847" s="58" t="s">
        <v>331</v>
      </c>
      <c r="M847" s="58"/>
      <c r="N847" s="58" t="s">
        <v>295</v>
      </c>
      <c r="O847" s="58"/>
      <c r="P847" s="63"/>
      <c r="Q847" s="63"/>
    </row>
    <row r="848" spans="2:17" ht="20.25" customHeight="1" x14ac:dyDescent="0.3">
      <c r="B848" s="59" t="s">
        <v>958</v>
      </c>
      <c r="C848" s="59" t="s">
        <v>138</v>
      </c>
      <c r="D848" s="62" t="str">
        <f t="shared" si="21"/>
        <v>MASERATILevante</v>
      </c>
      <c r="E848" s="59" t="s">
        <v>989</v>
      </c>
      <c r="F848" s="60">
        <v>143070000</v>
      </c>
      <c r="G848" s="60">
        <v>2987</v>
      </c>
      <c r="H848" s="58" t="s">
        <v>250</v>
      </c>
      <c r="I848" s="58" t="s">
        <v>295</v>
      </c>
      <c r="J848" s="58" t="s">
        <v>1681</v>
      </c>
      <c r="K848" s="58"/>
      <c r="L848" s="58" t="s">
        <v>331</v>
      </c>
      <c r="M848" s="58"/>
      <c r="N848" s="58" t="s">
        <v>295</v>
      </c>
      <c r="O848" s="58"/>
      <c r="P848" s="63"/>
      <c r="Q848" s="63"/>
    </row>
    <row r="849" spans="2:17" ht="20.25" customHeight="1" x14ac:dyDescent="0.3">
      <c r="B849" s="59" t="s">
        <v>958</v>
      </c>
      <c r="C849" s="59" t="s">
        <v>138</v>
      </c>
      <c r="D849" s="62" t="str">
        <f t="shared" si="21"/>
        <v>MASERATILevante</v>
      </c>
      <c r="E849" s="59" t="s">
        <v>990</v>
      </c>
      <c r="F849" s="60">
        <v>150600000</v>
      </c>
      <c r="G849" s="60">
        <v>1995</v>
      </c>
      <c r="H849" s="58" t="s">
        <v>241</v>
      </c>
      <c r="I849" s="58" t="s">
        <v>295</v>
      </c>
      <c r="J849" s="58" t="s">
        <v>1681</v>
      </c>
      <c r="K849" s="58"/>
      <c r="L849" s="58" t="s">
        <v>331</v>
      </c>
      <c r="M849" s="58"/>
      <c r="N849" s="58" t="s">
        <v>295</v>
      </c>
      <c r="O849" s="58"/>
      <c r="P849" s="63"/>
      <c r="Q849" s="63"/>
    </row>
    <row r="850" spans="2:17" ht="20.25" customHeight="1" x14ac:dyDescent="0.3">
      <c r="B850" s="59" t="s">
        <v>958</v>
      </c>
      <c r="C850" s="59" t="s">
        <v>138</v>
      </c>
      <c r="D850" s="62" t="str">
        <f t="shared" si="21"/>
        <v>MASERATILevante</v>
      </c>
      <c r="E850" s="59" t="s">
        <v>991</v>
      </c>
      <c r="F850" s="60">
        <v>153500000</v>
      </c>
      <c r="G850" s="60">
        <v>2979</v>
      </c>
      <c r="H850" s="58" t="s">
        <v>241</v>
      </c>
      <c r="I850" s="58" t="s">
        <v>295</v>
      </c>
      <c r="J850" s="58" t="s">
        <v>1681</v>
      </c>
      <c r="K850" s="58"/>
      <c r="L850" s="58" t="s">
        <v>331</v>
      </c>
      <c r="M850" s="58"/>
      <c r="N850" s="58" t="s">
        <v>295</v>
      </c>
      <c r="O850" s="58"/>
      <c r="P850" s="63"/>
      <c r="Q850" s="63"/>
    </row>
    <row r="851" spans="2:17" ht="20.25" customHeight="1" x14ac:dyDescent="0.3">
      <c r="B851" s="59" t="s">
        <v>958</v>
      </c>
      <c r="C851" s="59" t="s">
        <v>138</v>
      </c>
      <c r="D851" s="62" t="str">
        <f t="shared" si="21"/>
        <v>MASERATILevante</v>
      </c>
      <c r="E851" s="59" t="s">
        <v>992</v>
      </c>
      <c r="F851" s="60">
        <v>195600000</v>
      </c>
      <c r="G851" s="60">
        <v>2979</v>
      </c>
      <c r="H851" s="58" t="s">
        <v>241</v>
      </c>
      <c r="I851" s="58" t="s">
        <v>295</v>
      </c>
      <c r="J851" s="58" t="s">
        <v>1681</v>
      </c>
      <c r="K851" s="58"/>
      <c r="L851" s="58" t="s">
        <v>331</v>
      </c>
      <c r="M851" s="58"/>
      <c r="N851" s="58" t="s">
        <v>295</v>
      </c>
      <c r="O851" s="58"/>
      <c r="P851" s="63"/>
      <c r="Q851" s="63"/>
    </row>
    <row r="852" spans="2:17" ht="20.25" customHeight="1" x14ac:dyDescent="0.3">
      <c r="B852" s="59" t="s">
        <v>958</v>
      </c>
      <c r="C852" s="59" t="s">
        <v>138</v>
      </c>
      <c r="D852" s="62" t="str">
        <f t="shared" si="21"/>
        <v>MASERATILevante</v>
      </c>
      <c r="E852" s="59" t="s">
        <v>138</v>
      </c>
      <c r="F852" s="60">
        <v>136100000</v>
      </c>
      <c r="G852" s="60">
        <v>2979</v>
      </c>
      <c r="H852" s="58" t="s">
        <v>241</v>
      </c>
      <c r="I852" s="58" t="s">
        <v>295</v>
      </c>
      <c r="J852" s="58" t="s">
        <v>1681</v>
      </c>
      <c r="K852" s="58"/>
      <c r="L852" s="58" t="s">
        <v>331</v>
      </c>
      <c r="M852" s="58"/>
      <c r="N852" s="58" t="s">
        <v>295</v>
      </c>
      <c r="O852" s="58"/>
      <c r="P852" s="63"/>
      <c r="Q852" s="63"/>
    </row>
    <row r="853" spans="2:17" ht="20.25" customHeight="1" x14ac:dyDescent="0.3">
      <c r="B853" s="59" t="s">
        <v>958</v>
      </c>
      <c r="C853" s="59" t="s">
        <v>138</v>
      </c>
      <c r="D853" s="62" t="str">
        <f t="shared" si="21"/>
        <v>MASERATILevante</v>
      </c>
      <c r="E853" s="59" t="s">
        <v>993</v>
      </c>
      <c r="F853" s="60">
        <v>147100000</v>
      </c>
      <c r="G853" s="60">
        <v>2979</v>
      </c>
      <c r="H853" s="58" t="s">
        <v>241</v>
      </c>
      <c r="I853" s="58" t="s">
        <v>295</v>
      </c>
      <c r="J853" s="58" t="s">
        <v>1681</v>
      </c>
      <c r="K853" s="58"/>
      <c r="L853" s="58" t="s">
        <v>331</v>
      </c>
      <c r="M853" s="58"/>
      <c r="N853" s="58" t="s">
        <v>295</v>
      </c>
      <c r="O853" s="58"/>
      <c r="P853" s="63"/>
      <c r="Q853" s="63"/>
    </row>
    <row r="854" spans="2:17" ht="20.25" customHeight="1" x14ac:dyDescent="0.3">
      <c r="B854" s="59" t="s">
        <v>958</v>
      </c>
      <c r="C854" s="59" t="s">
        <v>138</v>
      </c>
      <c r="D854" s="62" t="str">
        <f t="shared" si="21"/>
        <v>MASERATILevante</v>
      </c>
      <c r="E854" s="59" t="s">
        <v>994</v>
      </c>
      <c r="F854" s="60">
        <v>146100000</v>
      </c>
      <c r="G854" s="60">
        <v>2979</v>
      </c>
      <c r="H854" s="58" t="s">
        <v>241</v>
      </c>
      <c r="I854" s="58" t="s">
        <v>295</v>
      </c>
      <c r="J854" s="58" t="s">
        <v>1681</v>
      </c>
      <c r="K854" s="58"/>
      <c r="L854" s="58" t="s">
        <v>331</v>
      </c>
      <c r="M854" s="58"/>
      <c r="N854" s="58" t="s">
        <v>295</v>
      </c>
      <c r="O854" s="58"/>
      <c r="P854" s="63"/>
      <c r="Q854" s="63"/>
    </row>
    <row r="855" spans="2:17" ht="20.25" customHeight="1" x14ac:dyDescent="0.3">
      <c r="B855" s="59" t="s">
        <v>958</v>
      </c>
      <c r="C855" s="59" t="s">
        <v>138</v>
      </c>
      <c r="D855" s="62" t="str">
        <f t="shared" si="21"/>
        <v>MASERATILevante</v>
      </c>
      <c r="E855" s="59" t="s">
        <v>995</v>
      </c>
      <c r="F855" s="60">
        <v>169070000</v>
      </c>
      <c r="G855" s="60">
        <v>2979</v>
      </c>
      <c r="H855" s="58" t="s">
        <v>241</v>
      </c>
      <c r="I855" s="58" t="s">
        <v>295</v>
      </c>
      <c r="J855" s="58" t="s">
        <v>1681</v>
      </c>
      <c r="K855" s="58"/>
      <c r="L855" s="58" t="s">
        <v>331</v>
      </c>
      <c r="M855" s="58"/>
      <c r="N855" s="58" t="s">
        <v>295</v>
      </c>
      <c r="O855" s="58"/>
      <c r="P855" s="63"/>
      <c r="Q855" s="63"/>
    </row>
    <row r="856" spans="2:17" ht="20.25" customHeight="1" x14ac:dyDescent="0.3">
      <c r="B856" s="59" t="s">
        <v>958</v>
      </c>
      <c r="C856" s="59" t="s">
        <v>138</v>
      </c>
      <c r="D856" s="62" t="str">
        <f t="shared" si="21"/>
        <v>MASERATILevante</v>
      </c>
      <c r="E856" s="59" t="s">
        <v>996</v>
      </c>
      <c r="F856" s="60">
        <v>172100000</v>
      </c>
      <c r="G856" s="60">
        <v>2979</v>
      </c>
      <c r="H856" s="58" t="s">
        <v>241</v>
      </c>
      <c r="I856" s="58" t="s">
        <v>295</v>
      </c>
      <c r="J856" s="58" t="s">
        <v>1681</v>
      </c>
      <c r="K856" s="58"/>
      <c r="L856" s="58" t="s">
        <v>331</v>
      </c>
      <c r="M856" s="58"/>
      <c r="N856" s="58" t="s">
        <v>295</v>
      </c>
      <c r="O856" s="58"/>
      <c r="P856" s="63"/>
      <c r="Q856" s="63"/>
    </row>
    <row r="857" spans="2:17" ht="20.25" customHeight="1" x14ac:dyDescent="0.3">
      <c r="B857" s="59" t="s">
        <v>958</v>
      </c>
      <c r="C857" s="59" t="s">
        <v>138</v>
      </c>
      <c r="D857" s="62" t="str">
        <f t="shared" si="21"/>
        <v>MASERATILevante</v>
      </c>
      <c r="E857" s="59" t="s">
        <v>997</v>
      </c>
      <c r="F857" s="60">
        <v>175100000</v>
      </c>
      <c r="G857" s="60">
        <v>2979</v>
      </c>
      <c r="H857" s="58" t="s">
        <v>241</v>
      </c>
      <c r="I857" s="58" t="s">
        <v>295</v>
      </c>
      <c r="J857" s="58" t="s">
        <v>1681</v>
      </c>
      <c r="K857" s="58"/>
      <c r="L857" s="58" t="s">
        <v>331</v>
      </c>
      <c r="M857" s="58"/>
      <c r="N857" s="58" t="s">
        <v>295</v>
      </c>
      <c r="O857" s="58"/>
      <c r="P857" s="63"/>
      <c r="Q857" s="63"/>
    </row>
    <row r="858" spans="2:17" ht="20.25" customHeight="1" x14ac:dyDescent="0.3">
      <c r="B858" s="59" t="s">
        <v>958</v>
      </c>
      <c r="C858" s="59" t="s">
        <v>138</v>
      </c>
      <c r="D858" s="62" t="str">
        <f t="shared" si="21"/>
        <v>MASERATILevante</v>
      </c>
      <c r="E858" s="59" t="s">
        <v>998</v>
      </c>
      <c r="F858" s="60">
        <v>202070000</v>
      </c>
      <c r="G858" s="60">
        <v>3799</v>
      </c>
      <c r="H858" s="58" t="s">
        <v>241</v>
      </c>
      <c r="I858" s="58" t="s">
        <v>295</v>
      </c>
      <c r="J858" s="58" t="s">
        <v>1681</v>
      </c>
      <c r="K858" s="58"/>
      <c r="L858" s="58" t="s">
        <v>248</v>
      </c>
      <c r="M858" s="58"/>
      <c r="N858" s="58" t="s">
        <v>295</v>
      </c>
      <c r="O858" s="58"/>
      <c r="P858" s="63"/>
      <c r="Q858" s="63"/>
    </row>
    <row r="859" spans="2:17" ht="20.25" customHeight="1" x14ac:dyDescent="0.3">
      <c r="B859" s="59" t="s">
        <v>958</v>
      </c>
      <c r="C859" s="59" t="s">
        <v>138</v>
      </c>
      <c r="D859" s="62" t="str">
        <f t="shared" si="21"/>
        <v>MASERATILevante</v>
      </c>
      <c r="E859" s="59" t="s">
        <v>999</v>
      </c>
      <c r="F859" s="60">
        <v>185000000</v>
      </c>
      <c r="G859" s="60">
        <v>2979</v>
      </c>
      <c r="H859" s="58" t="s">
        <v>241</v>
      </c>
      <c r="I859" s="58" t="s">
        <v>295</v>
      </c>
      <c r="J859" s="58" t="s">
        <v>1681</v>
      </c>
      <c r="K859" s="58"/>
      <c r="L859" s="58" t="s">
        <v>248</v>
      </c>
      <c r="M859" s="58"/>
      <c r="N859" s="58" t="s">
        <v>295</v>
      </c>
      <c r="O859" s="58"/>
      <c r="P859" s="63"/>
      <c r="Q859" s="63"/>
    </row>
    <row r="860" spans="2:17" ht="20.25" customHeight="1" x14ac:dyDescent="0.3">
      <c r="B860" s="59" t="s">
        <v>958</v>
      </c>
      <c r="C860" s="59" t="s">
        <v>138</v>
      </c>
      <c r="D860" s="62" t="str">
        <f t="shared" si="21"/>
        <v>MASERATILevante</v>
      </c>
      <c r="E860" s="59" t="s">
        <v>1000</v>
      </c>
      <c r="F860" s="60">
        <v>243600000</v>
      </c>
      <c r="G860" s="60">
        <v>3799</v>
      </c>
      <c r="H860" s="58" t="s">
        <v>241</v>
      </c>
      <c r="I860" s="58" t="s">
        <v>295</v>
      </c>
      <c r="J860" s="58" t="s">
        <v>1681</v>
      </c>
      <c r="K860" s="58"/>
      <c r="L860" s="58" t="s">
        <v>248</v>
      </c>
      <c r="M860" s="58"/>
      <c r="N860" s="58" t="s">
        <v>295</v>
      </c>
      <c r="O860" s="58"/>
      <c r="P860" s="63"/>
      <c r="Q860" s="63"/>
    </row>
    <row r="861" spans="2:17" ht="20.25" customHeight="1" x14ac:dyDescent="0.3">
      <c r="B861" s="59" t="s">
        <v>958</v>
      </c>
      <c r="C861" s="59" t="s">
        <v>139</v>
      </c>
      <c r="D861" s="62" t="str">
        <f t="shared" si="21"/>
        <v>MASERATIGrecale</v>
      </c>
      <c r="E861" s="59" t="s">
        <v>1001</v>
      </c>
      <c r="F861" s="60">
        <v>97600000</v>
      </c>
      <c r="G861" s="60">
        <v>1995</v>
      </c>
      <c r="H861" s="58" t="s">
        <v>241</v>
      </c>
      <c r="I861" s="58" t="s">
        <v>295</v>
      </c>
      <c r="J861" s="58" t="s">
        <v>1681</v>
      </c>
      <c r="K861" s="58"/>
      <c r="L861" s="58" t="s">
        <v>248</v>
      </c>
      <c r="M861" s="58"/>
      <c r="N861" s="58" t="s">
        <v>295</v>
      </c>
      <c r="O861" s="58"/>
      <c r="P861" s="63"/>
      <c r="Q861" s="63"/>
    </row>
    <row r="862" spans="2:17" ht="20.25" customHeight="1" x14ac:dyDescent="0.3">
      <c r="B862" s="59" t="s">
        <v>958</v>
      </c>
      <c r="C862" s="59" t="s">
        <v>139</v>
      </c>
      <c r="D862" s="62" t="str">
        <f t="shared" si="21"/>
        <v>MASERATIGrecale</v>
      </c>
      <c r="E862" s="59" t="s">
        <v>1002</v>
      </c>
      <c r="F862" s="60">
        <v>119600000</v>
      </c>
      <c r="G862" s="60">
        <v>1995</v>
      </c>
      <c r="H862" s="58" t="s">
        <v>241</v>
      </c>
      <c r="I862" s="58" t="s">
        <v>295</v>
      </c>
      <c r="J862" s="58" t="s">
        <v>1681</v>
      </c>
      <c r="K862" s="58"/>
      <c r="L862" s="58" t="s">
        <v>248</v>
      </c>
      <c r="M862" s="58"/>
      <c r="N862" s="58" t="s">
        <v>295</v>
      </c>
      <c r="O862" s="58"/>
      <c r="P862" s="63"/>
      <c r="Q862" s="63"/>
    </row>
    <row r="863" spans="2:17" ht="20.25" customHeight="1" x14ac:dyDescent="0.3">
      <c r="B863" s="59" t="s">
        <v>958</v>
      </c>
      <c r="C863" s="59" t="s">
        <v>139</v>
      </c>
      <c r="D863" s="62" t="str">
        <f t="shared" si="21"/>
        <v>MASERATIGrecale</v>
      </c>
      <c r="E863" s="59" t="s">
        <v>1761</v>
      </c>
      <c r="F863" s="60">
        <v>131600000</v>
      </c>
      <c r="G863" s="60">
        <v>1995</v>
      </c>
      <c r="H863" s="58" t="s">
        <v>241</v>
      </c>
      <c r="I863" s="58" t="s">
        <v>295</v>
      </c>
      <c r="J863" s="58" t="s">
        <v>1681</v>
      </c>
      <c r="K863" s="58"/>
      <c r="L863" s="58" t="s">
        <v>248</v>
      </c>
      <c r="M863" s="58"/>
      <c r="N863" s="58" t="s">
        <v>295</v>
      </c>
      <c r="O863" s="58"/>
      <c r="P863" s="63"/>
      <c r="Q863" s="63"/>
    </row>
    <row r="864" spans="2:17" ht="20.25" customHeight="1" x14ac:dyDescent="0.3">
      <c r="B864" s="59" t="s">
        <v>958</v>
      </c>
      <c r="C864" s="59" t="s">
        <v>139</v>
      </c>
      <c r="D864" s="62" t="str">
        <f t="shared" ref="D864" si="22">+B864&amp;C864</f>
        <v>MASERATIGrecale</v>
      </c>
      <c r="E864" s="59" t="s">
        <v>1003</v>
      </c>
      <c r="F864" s="60">
        <v>167600000</v>
      </c>
      <c r="G864" s="60">
        <v>2992</v>
      </c>
      <c r="H864" s="58" t="s">
        <v>241</v>
      </c>
      <c r="I864" s="58" t="s">
        <v>295</v>
      </c>
      <c r="J864" s="58" t="s">
        <v>1612</v>
      </c>
      <c r="K864" s="58"/>
      <c r="L864" s="58" t="s">
        <v>248</v>
      </c>
      <c r="M864" s="58"/>
      <c r="N864" s="58" t="s">
        <v>295</v>
      </c>
      <c r="O864" s="58"/>
      <c r="P864" s="63"/>
      <c r="Q864" s="63"/>
    </row>
    <row r="865" spans="2:17" ht="20.25" customHeight="1" x14ac:dyDescent="0.3">
      <c r="B865" s="59" t="s">
        <v>958</v>
      </c>
      <c r="C865" s="59" t="s">
        <v>139</v>
      </c>
      <c r="D865" s="62" t="str">
        <f t="shared" si="21"/>
        <v>MASERATIGrecale</v>
      </c>
      <c r="E865" s="59" t="s">
        <v>1782</v>
      </c>
      <c r="F865" s="60">
        <v>123800000</v>
      </c>
      <c r="G865" s="60">
        <v>0</v>
      </c>
      <c r="H865" s="58" t="s">
        <v>1783</v>
      </c>
      <c r="I865" s="58" t="s">
        <v>295</v>
      </c>
      <c r="J865" s="58" t="s">
        <v>1615</v>
      </c>
      <c r="K865" s="58"/>
      <c r="L865" s="58" t="s">
        <v>1784</v>
      </c>
      <c r="M865" s="58"/>
      <c r="N865" s="58" t="s">
        <v>295</v>
      </c>
      <c r="O865" s="58"/>
      <c r="P865" s="63"/>
      <c r="Q865" s="63"/>
    </row>
    <row r="866" spans="2:17" ht="20.25" customHeight="1" x14ac:dyDescent="0.3">
      <c r="B866" s="59" t="s">
        <v>958</v>
      </c>
      <c r="C866" s="59" t="s">
        <v>140</v>
      </c>
      <c r="D866" s="62" t="str">
        <f t="shared" si="21"/>
        <v>MASERATIGranTurismo</v>
      </c>
      <c r="E866" s="59" t="s">
        <v>1760</v>
      </c>
      <c r="F866" s="60">
        <v>215070000</v>
      </c>
      <c r="G866" s="60">
        <v>4691</v>
      </c>
      <c r="H866" s="58" t="s">
        <v>241</v>
      </c>
      <c r="I866" s="58" t="s">
        <v>242</v>
      </c>
      <c r="J866" s="58" t="s">
        <v>1676</v>
      </c>
      <c r="K866" s="58"/>
      <c r="L866" s="58" t="s">
        <v>286</v>
      </c>
      <c r="M866" s="58"/>
      <c r="N866" s="58" t="s">
        <v>242</v>
      </c>
      <c r="O866" s="58"/>
      <c r="P866" s="63"/>
      <c r="Q866" s="63"/>
    </row>
    <row r="867" spans="2:17" ht="20.25" customHeight="1" x14ac:dyDescent="0.3">
      <c r="B867" s="59" t="s">
        <v>958</v>
      </c>
      <c r="C867" s="59" t="s">
        <v>140</v>
      </c>
      <c r="D867" s="62" t="str">
        <f t="shared" si="21"/>
        <v>MASERATIGranTurismo</v>
      </c>
      <c r="E867" s="59" t="s">
        <v>1004</v>
      </c>
      <c r="F867" s="60">
        <v>229970000</v>
      </c>
      <c r="G867" s="60">
        <v>4691</v>
      </c>
      <c r="H867" s="58" t="s">
        <v>241</v>
      </c>
      <c r="I867" s="58" t="s">
        <v>242</v>
      </c>
      <c r="J867" s="58" t="s">
        <v>1676</v>
      </c>
      <c r="K867" s="58"/>
      <c r="L867" s="58" t="s">
        <v>286</v>
      </c>
      <c r="M867" s="58"/>
      <c r="N867" s="58" t="s">
        <v>242</v>
      </c>
      <c r="O867" s="58"/>
      <c r="P867" s="63"/>
      <c r="Q867" s="63"/>
    </row>
    <row r="868" spans="2:17" ht="20.25" customHeight="1" x14ac:dyDescent="0.3">
      <c r="B868" s="59" t="s">
        <v>958</v>
      </c>
      <c r="C868" s="59" t="s">
        <v>141</v>
      </c>
      <c r="D868" s="62" t="str">
        <f t="shared" si="21"/>
        <v>MASERATIGranCabrio</v>
      </c>
      <c r="E868" s="59" t="s">
        <v>1759</v>
      </c>
      <c r="F868" s="60">
        <v>236870000</v>
      </c>
      <c r="G868" s="60">
        <v>4691</v>
      </c>
      <c r="H868" s="58" t="s">
        <v>241</v>
      </c>
      <c r="I868" s="58" t="s">
        <v>242</v>
      </c>
      <c r="J868" s="58" t="s">
        <v>1676</v>
      </c>
      <c r="K868" s="58"/>
      <c r="L868" s="58" t="s">
        <v>286</v>
      </c>
      <c r="M868" s="58"/>
      <c r="N868" s="58" t="s">
        <v>242</v>
      </c>
      <c r="O868" s="58"/>
      <c r="P868" s="63"/>
      <c r="Q868" s="63"/>
    </row>
    <row r="869" spans="2:17" ht="20.25" customHeight="1" x14ac:dyDescent="0.3">
      <c r="B869" s="59" t="s">
        <v>958</v>
      </c>
      <c r="C869" s="59" t="s">
        <v>141</v>
      </c>
      <c r="D869" s="62" t="str">
        <f t="shared" si="21"/>
        <v>MASERATIGranCabrio</v>
      </c>
      <c r="E869" s="59" t="s">
        <v>1005</v>
      </c>
      <c r="F869" s="60">
        <v>249470000</v>
      </c>
      <c r="G869" s="60">
        <v>4691</v>
      </c>
      <c r="H869" s="58" t="s">
        <v>241</v>
      </c>
      <c r="I869" s="58" t="s">
        <v>242</v>
      </c>
      <c r="J869" s="58" t="s">
        <v>1676</v>
      </c>
      <c r="K869" s="58"/>
      <c r="L869" s="58" t="s">
        <v>286</v>
      </c>
      <c r="M869" s="58"/>
      <c r="N869" s="58" t="s">
        <v>242</v>
      </c>
      <c r="O869" s="58"/>
      <c r="P869" s="63"/>
      <c r="Q869" s="63"/>
    </row>
    <row r="870" spans="2:17" ht="20.25" customHeight="1" x14ac:dyDescent="0.3">
      <c r="B870" s="59" t="s">
        <v>958</v>
      </c>
      <c r="C870" s="59" t="s">
        <v>142</v>
      </c>
      <c r="D870" s="62" t="str">
        <f t="shared" si="21"/>
        <v>MASERATIMC20</v>
      </c>
      <c r="E870" s="59" t="s">
        <v>142</v>
      </c>
      <c r="F870" s="60">
        <v>335600000</v>
      </c>
      <c r="G870" s="60">
        <v>2992</v>
      </c>
      <c r="H870" s="58" t="s">
        <v>241</v>
      </c>
      <c r="I870" s="58" t="s">
        <v>242</v>
      </c>
      <c r="J870" s="58" t="s">
        <v>1676</v>
      </c>
      <c r="K870" s="58"/>
      <c r="L870" s="58" t="s">
        <v>286</v>
      </c>
      <c r="M870" s="58"/>
      <c r="N870" s="58" t="s">
        <v>242</v>
      </c>
      <c r="O870" s="58"/>
      <c r="P870" s="63"/>
      <c r="Q870" s="63"/>
    </row>
    <row r="871" spans="2:17" ht="20.25" customHeight="1" x14ac:dyDescent="0.3">
      <c r="B871" s="59"/>
      <c r="C871" s="59"/>
      <c r="D871" s="62" t="str">
        <f t="shared" si="21"/>
        <v/>
      </c>
      <c r="E871" s="59"/>
      <c r="F871" s="60"/>
      <c r="G871" s="60"/>
      <c r="H871" s="58"/>
      <c r="I871" s="58"/>
      <c r="J871" s="58"/>
      <c r="K871" s="58"/>
      <c r="L871" s="58"/>
      <c r="M871" s="58"/>
      <c r="N871" s="58"/>
      <c r="O871" s="58"/>
      <c r="P871" s="63"/>
      <c r="Q871" s="63"/>
    </row>
    <row r="872" spans="2:17" ht="20.25" customHeight="1" x14ac:dyDescent="0.3">
      <c r="B872" s="59"/>
      <c r="C872" s="59"/>
      <c r="D872" s="62" t="str">
        <f t="shared" si="21"/>
        <v/>
      </c>
      <c r="E872" s="59"/>
      <c r="F872" s="60"/>
      <c r="G872" s="60"/>
      <c r="H872" s="58"/>
      <c r="I872" s="58"/>
      <c r="J872" s="58"/>
      <c r="K872" s="58"/>
      <c r="L872" s="58"/>
      <c r="M872" s="58"/>
      <c r="N872" s="58"/>
      <c r="O872" s="58"/>
      <c r="P872" s="63"/>
      <c r="Q872" s="63"/>
    </row>
    <row r="873" spans="2:17" ht="20.25" customHeight="1" x14ac:dyDescent="0.3">
      <c r="B873" s="59"/>
      <c r="C873" s="59"/>
      <c r="D873" s="62" t="str">
        <f t="shared" si="21"/>
        <v/>
      </c>
      <c r="E873" s="59"/>
      <c r="F873" s="60"/>
      <c r="G873" s="60"/>
      <c r="H873" s="58"/>
      <c r="I873" s="58"/>
      <c r="J873" s="58"/>
      <c r="K873" s="58"/>
      <c r="L873" s="58"/>
      <c r="M873" s="58"/>
      <c r="N873" s="58"/>
      <c r="O873" s="58"/>
      <c r="P873" s="63"/>
      <c r="Q873" s="63"/>
    </row>
    <row r="874" spans="2:17" ht="20.25" customHeight="1" x14ac:dyDescent="0.3">
      <c r="B874" s="59"/>
      <c r="C874" s="59"/>
      <c r="D874" s="62" t="str">
        <f t="shared" si="21"/>
        <v/>
      </c>
      <c r="E874" s="59"/>
      <c r="F874" s="60"/>
      <c r="G874" s="60"/>
      <c r="H874" s="58"/>
      <c r="I874" s="58"/>
      <c r="J874" s="58"/>
      <c r="K874" s="58"/>
      <c r="L874" s="58"/>
      <c r="M874" s="58"/>
      <c r="N874" s="58"/>
      <c r="O874" s="58"/>
      <c r="P874" s="63"/>
      <c r="Q874" s="63"/>
    </row>
    <row r="875" spans="2:17" ht="20.25" customHeight="1" x14ac:dyDescent="0.3">
      <c r="B875" s="59" t="s">
        <v>1006</v>
      </c>
      <c r="C875" s="59" t="s">
        <v>143</v>
      </c>
      <c r="D875" s="62" t="str">
        <f t="shared" si="21"/>
        <v>MINIClubman</v>
      </c>
      <c r="E875" s="59" t="s">
        <v>1007</v>
      </c>
      <c r="F875" s="60">
        <v>42000000</v>
      </c>
      <c r="G875" s="60">
        <v>1499</v>
      </c>
      <c r="H875" s="58" t="s">
        <v>241</v>
      </c>
      <c r="I875" s="58" t="s">
        <v>242</v>
      </c>
      <c r="J875" s="58" t="s">
        <v>1611</v>
      </c>
      <c r="K875" s="58"/>
      <c r="L875" s="58" t="s">
        <v>246</v>
      </c>
      <c r="M875" s="58"/>
      <c r="N875" s="58" t="s">
        <v>242</v>
      </c>
      <c r="O875" s="58"/>
      <c r="P875" s="63"/>
      <c r="Q875" s="63"/>
    </row>
    <row r="876" spans="2:17" ht="20.25" customHeight="1" x14ac:dyDescent="0.3">
      <c r="B876" s="59" t="s">
        <v>1006</v>
      </c>
      <c r="C876" s="59" t="s">
        <v>143</v>
      </c>
      <c r="D876" s="62" t="str">
        <f t="shared" si="21"/>
        <v>MINIClubman</v>
      </c>
      <c r="E876" s="59" t="s">
        <v>1008</v>
      </c>
      <c r="F876" s="60">
        <v>42200000</v>
      </c>
      <c r="G876" s="60">
        <v>1499</v>
      </c>
      <c r="H876" s="58" t="s">
        <v>241</v>
      </c>
      <c r="I876" s="58" t="s">
        <v>242</v>
      </c>
      <c r="J876" s="58" t="s">
        <v>1611</v>
      </c>
      <c r="K876" s="58"/>
      <c r="L876" s="58" t="s">
        <v>246</v>
      </c>
      <c r="M876" s="58"/>
      <c r="N876" s="58" t="s">
        <v>242</v>
      </c>
      <c r="O876" s="58"/>
      <c r="P876" s="63"/>
      <c r="Q876" s="63"/>
    </row>
    <row r="877" spans="2:17" ht="20.25" customHeight="1" x14ac:dyDescent="0.3">
      <c r="B877" s="59" t="s">
        <v>1006</v>
      </c>
      <c r="C877" s="59" t="s">
        <v>143</v>
      </c>
      <c r="D877" s="62" t="str">
        <f t="shared" si="21"/>
        <v>MINIClubman</v>
      </c>
      <c r="E877" s="59" t="s">
        <v>1009</v>
      </c>
      <c r="F877" s="60">
        <v>49600000</v>
      </c>
      <c r="G877" s="60">
        <v>1998</v>
      </c>
      <c r="H877" s="58" t="s">
        <v>241</v>
      </c>
      <c r="I877" s="58" t="s">
        <v>242</v>
      </c>
      <c r="J877" s="58" t="s">
        <v>1611</v>
      </c>
      <c r="K877" s="58"/>
      <c r="L877" s="58" t="s">
        <v>246</v>
      </c>
      <c r="M877" s="58"/>
      <c r="N877" s="58" t="s">
        <v>242</v>
      </c>
      <c r="O877" s="58"/>
      <c r="P877" s="63"/>
      <c r="Q877" s="63"/>
    </row>
    <row r="878" spans="2:17" ht="20.25" customHeight="1" x14ac:dyDescent="0.3">
      <c r="B878" s="59" t="s">
        <v>1006</v>
      </c>
      <c r="C878" s="59" t="s">
        <v>143</v>
      </c>
      <c r="D878" s="62" t="str">
        <f t="shared" si="21"/>
        <v>MINIClubman</v>
      </c>
      <c r="E878" s="59" t="s">
        <v>1010</v>
      </c>
      <c r="F878" s="60">
        <v>50600000</v>
      </c>
      <c r="G878" s="60">
        <v>1998</v>
      </c>
      <c r="H878" s="58" t="s">
        <v>241</v>
      </c>
      <c r="I878" s="58" t="s">
        <v>242</v>
      </c>
      <c r="J878" s="58" t="s">
        <v>1611</v>
      </c>
      <c r="K878" s="58"/>
      <c r="L878" s="58" t="s">
        <v>246</v>
      </c>
      <c r="M878" s="58"/>
      <c r="N878" s="58" t="s">
        <v>242</v>
      </c>
      <c r="O878" s="58"/>
      <c r="P878" s="63"/>
      <c r="Q878" s="63"/>
    </row>
    <row r="879" spans="2:17" ht="20.25" customHeight="1" x14ac:dyDescent="0.3">
      <c r="B879" s="59" t="s">
        <v>1006</v>
      </c>
      <c r="C879" s="59" t="s">
        <v>143</v>
      </c>
      <c r="D879" s="62" t="str">
        <f t="shared" si="21"/>
        <v>MINIClubman</v>
      </c>
      <c r="E879" s="59" t="s">
        <v>1011</v>
      </c>
      <c r="F879" s="60">
        <v>61300000</v>
      </c>
      <c r="G879" s="60">
        <v>1998</v>
      </c>
      <c r="H879" s="58" t="s">
        <v>241</v>
      </c>
      <c r="I879" s="58" t="s">
        <v>242</v>
      </c>
      <c r="J879" s="58" t="s">
        <v>1611</v>
      </c>
      <c r="K879" s="58"/>
      <c r="L879" s="58" t="s">
        <v>246</v>
      </c>
      <c r="M879" s="58"/>
      <c r="N879" s="58" t="s">
        <v>242</v>
      </c>
      <c r="O879" s="58"/>
      <c r="P879" s="63"/>
      <c r="Q879" s="63"/>
    </row>
    <row r="880" spans="2:17" ht="20.25" customHeight="1" x14ac:dyDescent="0.3">
      <c r="B880" s="59" t="s">
        <v>1006</v>
      </c>
      <c r="C880" s="59" t="s">
        <v>143</v>
      </c>
      <c r="D880" s="62" t="str">
        <f t="shared" si="21"/>
        <v>MINIClubman</v>
      </c>
      <c r="E880" s="59" t="s">
        <v>1012</v>
      </c>
      <c r="F880" s="60">
        <v>62100000</v>
      </c>
      <c r="G880" s="60">
        <v>1998</v>
      </c>
      <c r="H880" s="58" t="s">
        <v>241</v>
      </c>
      <c r="I880" s="58" t="s">
        <v>242</v>
      </c>
      <c r="J880" s="58" t="s">
        <v>1611</v>
      </c>
      <c r="K880" s="58"/>
      <c r="L880" s="58" t="s">
        <v>246</v>
      </c>
      <c r="M880" s="58"/>
      <c r="N880" s="58" t="s">
        <v>242</v>
      </c>
      <c r="O880" s="58"/>
      <c r="P880" s="63"/>
      <c r="Q880" s="63"/>
    </row>
    <row r="881" spans="2:17" ht="20.25" customHeight="1" x14ac:dyDescent="0.3">
      <c r="B881" s="59" t="s">
        <v>1006</v>
      </c>
      <c r="C881" s="59" t="s">
        <v>143</v>
      </c>
      <c r="D881" s="62" t="str">
        <f t="shared" si="21"/>
        <v>MINIClubman</v>
      </c>
      <c r="E881" s="59" t="s">
        <v>1013</v>
      </c>
      <c r="F881" s="60">
        <v>43800000</v>
      </c>
      <c r="G881" s="60">
        <v>1995</v>
      </c>
      <c r="H881" s="58" t="s">
        <v>250</v>
      </c>
      <c r="I881" s="58" t="s">
        <v>242</v>
      </c>
      <c r="J881" s="58" t="s">
        <v>1611</v>
      </c>
      <c r="K881" s="58"/>
      <c r="L881" s="58" t="s">
        <v>246</v>
      </c>
      <c r="M881" s="58"/>
      <c r="N881" s="58" t="s">
        <v>242</v>
      </c>
      <c r="O881" s="58"/>
      <c r="P881" s="63"/>
      <c r="Q881" s="63"/>
    </row>
    <row r="882" spans="2:17" ht="20.25" customHeight="1" x14ac:dyDescent="0.3">
      <c r="B882" s="59" t="s">
        <v>1006</v>
      </c>
      <c r="C882" s="59" t="s">
        <v>143</v>
      </c>
      <c r="D882" s="62" t="str">
        <f t="shared" si="21"/>
        <v>MINIClubman</v>
      </c>
      <c r="E882" s="59" t="s">
        <v>1014</v>
      </c>
      <c r="F882" s="60">
        <v>44000000</v>
      </c>
      <c r="G882" s="60">
        <v>1995</v>
      </c>
      <c r="H882" s="58" t="s">
        <v>250</v>
      </c>
      <c r="I882" s="58" t="s">
        <v>242</v>
      </c>
      <c r="J882" s="58" t="s">
        <v>1611</v>
      </c>
      <c r="K882" s="58"/>
      <c r="L882" s="58" t="s">
        <v>246</v>
      </c>
      <c r="M882" s="58"/>
      <c r="N882" s="58" t="s">
        <v>242</v>
      </c>
      <c r="O882" s="58"/>
      <c r="P882" s="63"/>
      <c r="Q882" s="63"/>
    </row>
    <row r="883" spans="2:17" ht="20.25" customHeight="1" x14ac:dyDescent="0.3">
      <c r="B883" s="59" t="s">
        <v>1006</v>
      </c>
      <c r="C883" s="59" t="s">
        <v>143</v>
      </c>
      <c r="D883" s="62" t="str">
        <f t="shared" si="21"/>
        <v>MINIClubman</v>
      </c>
      <c r="E883" s="59" t="s">
        <v>1015</v>
      </c>
      <c r="F883" s="60">
        <v>51300000</v>
      </c>
      <c r="G883" s="60">
        <v>1995</v>
      </c>
      <c r="H883" s="58" t="s">
        <v>250</v>
      </c>
      <c r="I883" s="58" t="s">
        <v>242</v>
      </c>
      <c r="J883" s="58" t="s">
        <v>1611</v>
      </c>
      <c r="K883" s="58"/>
      <c r="L883" s="58" t="s">
        <v>246</v>
      </c>
      <c r="M883" s="58"/>
      <c r="N883" s="58" t="s">
        <v>242</v>
      </c>
      <c r="O883" s="58"/>
      <c r="P883" s="63"/>
      <c r="Q883" s="63"/>
    </row>
    <row r="884" spans="2:17" ht="20.25" customHeight="1" x14ac:dyDescent="0.3">
      <c r="B884" s="59" t="s">
        <v>1006</v>
      </c>
      <c r="C884" s="59" t="s">
        <v>143</v>
      </c>
      <c r="D884" s="62" t="str">
        <f t="shared" si="21"/>
        <v>MINIClubman</v>
      </c>
      <c r="E884" s="59" t="s">
        <v>1016</v>
      </c>
      <c r="F884" s="60">
        <v>52200000</v>
      </c>
      <c r="G884" s="60">
        <v>1995</v>
      </c>
      <c r="H884" s="58" t="s">
        <v>250</v>
      </c>
      <c r="I884" s="58" t="s">
        <v>242</v>
      </c>
      <c r="J884" s="58" t="s">
        <v>1611</v>
      </c>
      <c r="K884" s="58"/>
      <c r="L884" s="58" t="s">
        <v>246</v>
      </c>
      <c r="M884" s="58"/>
      <c r="N884" s="58" t="s">
        <v>242</v>
      </c>
      <c r="O884" s="58"/>
      <c r="P884" s="63"/>
      <c r="Q884" s="63"/>
    </row>
    <row r="885" spans="2:17" ht="20.25" customHeight="1" x14ac:dyDescent="0.3">
      <c r="B885" s="59" t="s">
        <v>1006</v>
      </c>
      <c r="C885" s="59" t="s">
        <v>144</v>
      </c>
      <c r="D885" s="62" t="str">
        <f t="shared" si="21"/>
        <v>MINIHatch</v>
      </c>
      <c r="E885" s="59" t="s">
        <v>1017</v>
      </c>
      <c r="F885" s="60">
        <v>34400000</v>
      </c>
      <c r="G885" s="60">
        <v>1449</v>
      </c>
      <c r="H885" s="58" t="s">
        <v>241</v>
      </c>
      <c r="I885" s="58" t="s">
        <v>242</v>
      </c>
      <c r="J885" s="58" t="s">
        <v>1611</v>
      </c>
      <c r="K885" s="58"/>
      <c r="L885" s="58" t="s">
        <v>246</v>
      </c>
      <c r="M885" s="58"/>
      <c r="N885" s="58" t="s">
        <v>242</v>
      </c>
      <c r="O885" s="58"/>
      <c r="P885" s="63"/>
      <c r="Q885" s="63"/>
    </row>
    <row r="886" spans="2:17" ht="20.25" customHeight="1" x14ac:dyDescent="0.3">
      <c r="B886" s="59" t="s">
        <v>1006</v>
      </c>
      <c r="C886" s="59" t="s">
        <v>144</v>
      </c>
      <c r="D886" s="62" t="str">
        <f t="shared" si="21"/>
        <v>MINIHatch</v>
      </c>
      <c r="E886" s="59" t="s">
        <v>1018</v>
      </c>
      <c r="F886" s="60">
        <v>40100000</v>
      </c>
      <c r="G886" s="60">
        <v>1449</v>
      </c>
      <c r="H886" s="58" t="s">
        <v>241</v>
      </c>
      <c r="I886" s="58" t="s">
        <v>242</v>
      </c>
      <c r="J886" s="58" t="s">
        <v>1611</v>
      </c>
      <c r="K886" s="58"/>
      <c r="L886" s="58" t="s">
        <v>246</v>
      </c>
      <c r="M886" s="58"/>
      <c r="N886" s="58" t="s">
        <v>242</v>
      </c>
      <c r="O886" s="58"/>
      <c r="P886" s="63"/>
      <c r="Q886" s="63"/>
    </row>
    <row r="887" spans="2:17" ht="20.25" customHeight="1" x14ac:dyDescent="0.3">
      <c r="B887" s="59" t="s">
        <v>1006</v>
      </c>
      <c r="C887" s="59" t="s">
        <v>144</v>
      </c>
      <c r="D887" s="62" t="str">
        <f t="shared" si="21"/>
        <v>MINIHatch</v>
      </c>
      <c r="E887" s="59" t="s">
        <v>1019</v>
      </c>
      <c r="F887" s="60">
        <v>40300000</v>
      </c>
      <c r="G887" s="60">
        <v>1449</v>
      </c>
      <c r="H887" s="58" t="s">
        <v>241</v>
      </c>
      <c r="I887" s="58" t="s">
        <v>242</v>
      </c>
      <c r="J887" s="58" t="s">
        <v>1611</v>
      </c>
      <c r="K887" s="58"/>
      <c r="L887" s="58" t="s">
        <v>246</v>
      </c>
      <c r="M887" s="58"/>
      <c r="N887" s="58" t="s">
        <v>242</v>
      </c>
      <c r="O887" s="58"/>
      <c r="P887" s="63"/>
      <c r="Q887" s="63"/>
    </row>
    <row r="888" spans="2:17" ht="20.25" customHeight="1" x14ac:dyDescent="0.3">
      <c r="B888" s="59" t="s">
        <v>1006</v>
      </c>
      <c r="C888" s="59" t="s">
        <v>144</v>
      </c>
      <c r="D888" s="62" t="str">
        <f t="shared" si="21"/>
        <v>MINIHatch</v>
      </c>
      <c r="E888" s="59" t="s">
        <v>1713</v>
      </c>
      <c r="F888" s="60">
        <v>44800000</v>
      </c>
      <c r="G888" s="60">
        <v>1998</v>
      </c>
      <c r="H888" s="58" t="s">
        <v>241</v>
      </c>
      <c r="I888" s="58" t="s">
        <v>242</v>
      </c>
      <c r="J888" s="58" t="s">
        <v>1611</v>
      </c>
      <c r="K888" s="58"/>
      <c r="L888" s="58" t="s">
        <v>246</v>
      </c>
      <c r="M888" s="58"/>
      <c r="N888" s="58" t="s">
        <v>242</v>
      </c>
      <c r="O888" s="58"/>
      <c r="P888" s="63"/>
      <c r="Q888" s="63"/>
    </row>
    <row r="889" spans="2:17" ht="20.25" customHeight="1" x14ac:dyDescent="0.3">
      <c r="B889" s="59" t="s">
        <v>1006</v>
      </c>
      <c r="C889" s="59" t="s">
        <v>144</v>
      </c>
      <c r="D889" s="62" t="str">
        <f t="shared" si="21"/>
        <v>MINIHatch</v>
      </c>
      <c r="E889" s="59" t="s">
        <v>1712</v>
      </c>
      <c r="F889" s="60">
        <v>45800000</v>
      </c>
      <c r="G889" s="60">
        <v>1998</v>
      </c>
      <c r="H889" s="58" t="s">
        <v>241</v>
      </c>
      <c r="I889" s="58" t="s">
        <v>242</v>
      </c>
      <c r="J889" s="58" t="s">
        <v>1611</v>
      </c>
      <c r="K889" s="58"/>
      <c r="L889" s="58" t="s">
        <v>246</v>
      </c>
      <c r="M889" s="58"/>
      <c r="N889" s="58" t="s">
        <v>242</v>
      </c>
      <c r="O889" s="58"/>
      <c r="P889" s="63"/>
      <c r="Q889" s="63"/>
    </row>
    <row r="890" spans="2:17" ht="20.25" customHeight="1" x14ac:dyDescent="0.3">
      <c r="B890" s="59" t="s">
        <v>1006</v>
      </c>
      <c r="C890" s="59" t="s">
        <v>144</v>
      </c>
      <c r="D890" s="62" t="str">
        <f t="shared" si="21"/>
        <v>MINIHatch</v>
      </c>
      <c r="E890" s="59" t="s">
        <v>1020</v>
      </c>
      <c r="F890" s="60">
        <v>53000000</v>
      </c>
      <c r="G890" s="60">
        <v>1998</v>
      </c>
      <c r="H890" s="58" t="s">
        <v>241</v>
      </c>
      <c r="I890" s="58" t="s">
        <v>242</v>
      </c>
      <c r="J890" s="58" t="s">
        <v>1611</v>
      </c>
      <c r="K890" s="58"/>
      <c r="L890" s="58" t="s">
        <v>246</v>
      </c>
      <c r="M890" s="58"/>
      <c r="N890" s="58" t="s">
        <v>242</v>
      </c>
      <c r="O890" s="58"/>
      <c r="P890" s="63"/>
      <c r="Q890" s="63"/>
    </row>
    <row r="891" spans="2:17" ht="20.25" customHeight="1" x14ac:dyDescent="0.3">
      <c r="B891" s="59" t="s">
        <v>1006</v>
      </c>
      <c r="C891" s="59" t="s">
        <v>144</v>
      </c>
      <c r="D891" s="62" t="str">
        <f t="shared" si="21"/>
        <v>MINIHatch</v>
      </c>
      <c r="E891" s="59" t="s">
        <v>1021</v>
      </c>
      <c r="F891" s="60">
        <v>54000000</v>
      </c>
      <c r="G891" s="60">
        <v>1998</v>
      </c>
      <c r="H891" s="58" t="s">
        <v>241</v>
      </c>
      <c r="I891" s="58" t="s">
        <v>242</v>
      </c>
      <c r="J891" s="58" t="s">
        <v>1611</v>
      </c>
      <c r="K891" s="58"/>
      <c r="L891" s="58" t="s">
        <v>246</v>
      </c>
      <c r="M891" s="58"/>
      <c r="N891" s="58" t="s">
        <v>242</v>
      </c>
      <c r="O891" s="58"/>
      <c r="P891" s="63"/>
      <c r="Q891" s="63"/>
    </row>
    <row r="892" spans="2:17" ht="20.25" customHeight="1" x14ac:dyDescent="0.3">
      <c r="B892" s="59" t="s">
        <v>1006</v>
      </c>
      <c r="C892" s="59" t="s">
        <v>144</v>
      </c>
      <c r="D892" s="62" t="str">
        <f t="shared" si="21"/>
        <v>MINIHatch</v>
      </c>
      <c r="E892" s="59" t="s">
        <v>1022</v>
      </c>
      <c r="F892" s="60">
        <v>35200000</v>
      </c>
      <c r="G892" s="60">
        <v>1449</v>
      </c>
      <c r="H892" s="58" t="s">
        <v>241</v>
      </c>
      <c r="I892" s="58" t="s">
        <v>242</v>
      </c>
      <c r="J892" s="58" t="s">
        <v>1611</v>
      </c>
      <c r="K892" s="58"/>
      <c r="L892" s="58" t="s">
        <v>246</v>
      </c>
      <c r="M892" s="58"/>
      <c r="N892" s="58" t="s">
        <v>242</v>
      </c>
      <c r="O892" s="58"/>
      <c r="P892" s="63"/>
      <c r="Q892" s="63"/>
    </row>
    <row r="893" spans="2:17" ht="20.25" customHeight="1" x14ac:dyDescent="0.3">
      <c r="B893" s="59" t="s">
        <v>1006</v>
      </c>
      <c r="C893" s="59" t="s">
        <v>144</v>
      </c>
      <c r="D893" s="62" t="str">
        <f t="shared" si="21"/>
        <v>MINIHatch</v>
      </c>
      <c r="E893" s="59" t="s">
        <v>1023</v>
      </c>
      <c r="F893" s="60">
        <v>35400000</v>
      </c>
      <c r="G893" s="60">
        <v>1449</v>
      </c>
      <c r="H893" s="58" t="s">
        <v>241</v>
      </c>
      <c r="I893" s="58" t="s">
        <v>242</v>
      </c>
      <c r="J893" s="58" t="s">
        <v>1611</v>
      </c>
      <c r="K893" s="58"/>
      <c r="L893" s="58" t="s">
        <v>246</v>
      </c>
      <c r="M893" s="58"/>
      <c r="N893" s="58" t="s">
        <v>242</v>
      </c>
      <c r="O893" s="58"/>
      <c r="P893" s="63"/>
      <c r="Q893" s="63"/>
    </row>
    <row r="894" spans="2:17" ht="20.25" customHeight="1" x14ac:dyDescent="0.3">
      <c r="B894" s="59" t="s">
        <v>1006</v>
      </c>
      <c r="C894" s="59" t="s">
        <v>144</v>
      </c>
      <c r="D894" s="62" t="str">
        <f t="shared" ref="D894:D963" si="23">+B894&amp;C894</f>
        <v>MINIHatch</v>
      </c>
      <c r="E894" s="59" t="s">
        <v>1714</v>
      </c>
      <c r="F894" s="60">
        <v>45700000</v>
      </c>
      <c r="G894" s="60">
        <v>1998</v>
      </c>
      <c r="H894" s="58" t="s">
        <v>241</v>
      </c>
      <c r="I894" s="58" t="s">
        <v>242</v>
      </c>
      <c r="J894" s="58" t="s">
        <v>1611</v>
      </c>
      <c r="K894" s="58"/>
      <c r="L894" s="58" t="s">
        <v>246</v>
      </c>
      <c r="M894" s="58"/>
      <c r="N894" s="58" t="s">
        <v>242</v>
      </c>
      <c r="O894" s="58"/>
      <c r="P894" s="63"/>
      <c r="Q894" s="63"/>
    </row>
    <row r="895" spans="2:17" ht="20.25" customHeight="1" x14ac:dyDescent="0.3">
      <c r="B895" s="59" t="s">
        <v>1006</v>
      </c>
      <c r="C895" s="59" t="s">
        <v>144</v>
      </c>
      <c r="D895" s="62" t="str">
        <f t="shared" si="23"/>
        <v>MINIHatch</v>
      </c>
      <c r="E895" s="59" t="s">
        <v>1715</v>
      </c>
      <c r="F895" s="60">
        <v>46700000</v>
      </c>
      <c r="G895" s="60">
        <v>1998</v>
      </c>
      <c r="H895" s="58" t="s">
        <v>241</v>
      </c>
      <c r="I895" s="58" t="s">
        <v>242</v>
      </c>
      <c r="J895" s="58" t="s">
        <v>1611</v>
      </c>
      <c r="K895" s="58"/>
      <c r="L895" s="58" t="s">
        <v>246</v>
      </c>
      <c r="M895" s="58"/>
      <c r="N895" s="58" t="s">
        <v>242</v>
      </c>
      <c r="O895" s="58"/>
      <c r="P895" s="63"/>
      <c r="Q895" s="63"/>
    </row>
    <row r="896" spans="2:17" ht="20.25" customHeight="1" x14ac:dyDescent="0.3">
      <c r="B896" s="59" t="s">
        <v>1006</v>
      </c>
      <c r="C896" s="59" t="s">
        <v>145</v>
      </c>
      <c r="D896" s="62" t="str">
        <f t="shared" si="23"/>
        <v>MINICountryman</v>
      </c>
      <c r="E896" s="59" t="s">
        <v>1024</v>
      </c>
      <c r="F896" s="60">
        <v>41700000</v>
      </c>
      <c r="G896" s="60">
        <v>1499</v>
      </c>
      <c r="H896" s="58" t="s">
        <v>241</v>
      </c>
      <c r="I896" s="58" t="s">
        <v>242</v>
      </c>
      <c r="J896" s="58" t="s">
        <v>1611</v>
      </c>
      <c r="K896" s="58"/>
      <c r="L896" s="58" t="s">
        <v>284</v>
      </c>
      <c r="M896" s="58"/>
      <c r="N896" s="58" t="s">
        <v>242</v>
      </c>
      <c r="O896" s="58"/>
      <c r="P896" s="63"/>
      <c r="Q896" s="63"/>
    </row>
    <row r="897" spans="2:17" ht="20.25" customHeight="1" x14ac:dyDescent="0.3">
      <c r="B897" s="59" t="s">
        <v>1006</v>
      </c>
      <c r="C897" s="59" t="s">
        <v>145</v>
      </c>
      <c r="D897" s="62" t="str">
        <f t="shared" si="23"/>
        <v>MINICountryman</v>
      </c>
      <c r="E897" s="59" t="s">
        <v>1025</v>
      </c>
      <c r="F897" s="60">
        <v>41900000</v>
      </c>
      <c r="G897" s="60">
        <v>1499</v>
      </c>
      <c r="H897" s="58" t="s">
        <v>241</v>
      </c>
      <c r="I897" s="58" t="s">
        <v>242</v>
      </c>
      <c r="J897" s="58" t="s">
        <v>1611</v>
      </c>
      <c r="K897" s="58"/>
      <c r="L897" s="58" t="s">
        <v>284</v>
      </c>
      <c r="M897" s="58"/>
      <c r="N897" s="58" t="s">
        <v>242</v>
      </c>
      <c r="O897" s="58"/>
      <c r="P897" s="63"/>
      <c r="Q897" s="63"/>
    </row>
    <row r="898" spans="2:17" ht="20.25" customHeight="1" x14ac:dyDescent="0.3">
      <c r="B898" s="59" t="s">
        <v>1006</v>
      </c>
      <c r="C898" s="59" t="s">
        <v>145</v>
      </c>
      <c r="D898" s="62" t="str">
        <f t="shared" si="23"/>
        <v>MINICountryman</v>
      </c>
      <c r="E898" s="59" t="s">
        <v>1026</v>
      </c>
      <c r="F898" s="60">
        <v>47600000</v>
      </c>
      <c r="G898" s="60">
        <v>1499</v>
      </c>
      <c r="H898" s="58" t="s">
        <v>241</v>
      </c>
      <c r="I898" s="58" t="s">
        <v>242</v>
      </c>
      <c r="J898" s="58" t="s">
        <v>1611</v>
      </c>
      <c r="K898" s="58"/>
      <c r="L898" s="58" t="s">
        <v>284</v>
      </c>
      <c r="M898" s="58"/>
      <c r="N898" s="58" t="s">
        <v>242</v>
      </c>
      <c r="O898" s="58"/>
      <c r="P898" s="63"/>
      <c r="Q898" s="63"/>
    </row>
    <row r="899" spans="2:17" ht="20.25" customHeight="1" x14ac:dyDescent="0.3">
      <c r="B899" s="59" t="s">
        <v>1006</v>
      </c>
      <c r="C899" s="59" t="s">
        <v>145</v>
      </c>
      <c r="D899" s="62" t="str">
        <f t="shared" si="23"/>
        <v>MINICountryman</v>
      </c>
      <c r="E899" s="59" t="s">
        <v>1027</v>
      </c>
      <c r="F899" s="60">
        <v>47900000</v>
      </c>
      <c r="G899" s="60">
        <v>1499</v>
      </c>
      <c r="H899" s="58" t="s">
        <v>241</v>
      </c>
      <c r="I899" s="58" t="s">
        <v>242</v>
      </c>
      <c r="J899" s="58" t="s">
        <v>1611</v>
      </c>
      <c r="K899" s="58"/>
      <c r="L899" s="58" t="s">
        <v>284</v>
      </c>
      <c r="M899" s="58"/>
      <c r="N899" s="58" t="s">
        <v>242</v>
      </c>
      <c r="O899" s="58"/>
      <c r="P899" s="63"/>
      <c r="Q899" s="63"/>
    </row>
    <row r="900" spans="2:17" ht="20.25" customHeight="1" x14ac:dyDescent="0.3">
      <c r="B900" s="59" t="s">
        <v>1006</v>
      </c>
      <c r="C900" s="59" t="s">
        <v>145</v>
      </c>
      <c r="D900" s="62" t="str">
        <f t="shared" si="23"/>
        <v>MINICountryman</v>
      </c>
      <c r="E900" s="59" t="s">
        <v>1028</v>
      </c>
      <c r="F900" s="60">
        <v>53200000</v>
      </c>
      <c r="G900" s="60">
        <v>1998</v>
      </c>
      <c r="H900" s="58" t="s">
        <v>241</v>
      </c>
      <c r="I900" s="58" t="s">
        <v>242</v>
      </c>
      <c r="J900" s="58" t="s">
        <v>1611</v>
      </c>
      <c r="K900" s="58"/>
      <c r="L900" s="58" t="s">
        <v>284</v>
      </c>
      <c r="M900" s="58"/>
      <c r="N900" s="58" t="s">
        <v>242</v>
      </c>
      <c r="O900" s="58"/>
      <c r="P900" s="63"/>
      <c r="Q900" s="63"/>
    </row>
    <row r="901" spans="2:17" ht="20.25" customHeight="1" x14ac:dyDescent="0.3">
      <c r="B901" s="59" t="s">
        <v>1006</v>
      </c>
      <c r="C901" s="59" t="s">
        <v>145</v>
      </c>
      <c r="D901" s="62" t="str">
        <f t="shared" si="23"/>
        <v>MINICountryman</v>
      </c>
      <c r="E901" s="59" t="s">
        <v>1029</v>
      </c>
      <c r="F901" s="60">
        <v>55000000</v>
      </c>
      <c r="G901" s="60">
        <v>1998</v>
      </c>
      <c r="H901" s="58" t="s">
        <v>241</v>
      </c>
      <c r="I901" s="58" t="s">
        <v>242</v>
      </c>
      <c r="J901" s="58" t="s">
        <v>1611</v>
      </c>
      <c r="K901" s="58"/>
      <c r="L901" s="58" t="s">
        <v>284</v>
      </c>
      <c r="M901" s="58"/>
      <c r="N901" s="58" t="s">
        <v>242</v>
      </c>
      <c r="O901" s="58"/>
      <c r="P901" s="63"/>
      <c r="Q901" s="63"/>
    </row>
    <row r="902" spans="2:17" ht="20.25" customHeight="1" x14ac:dyDescent="0.3">
      <c r="B902" s="59" t="s">
        <v>1006</v>
      </c>
      <c r="C902" s="59" t="s">
        <v>145</v>
      </c>
      <c r="D902" s="62" t="str">
        <f t="shared" si="23"/>
        <v>MINICountryman</v>
      </c>
      <c r="E902" s="59" t="s">
        <v>1030</v>
      </c>
      <c r="F902" s="60">
        <v>62500000</v>
      </c>
      <c r="G902" s="60">
        <v>1998</v>
      </c>
      <c r="H902" s="58" t="s">
        <v>241</v>
      </c>
      <c r="I902" s="58" t="s">
        <v>242</v>
      </c>
      <c r="J902" s="58" t="s">
        <v>1611</v>
      </c>
      <c r="K902" s="58"/>
      <c r="L902" s="58" t="s">
        <v>284</v>
      </c>
      <c r="M902" s="58"/>
      <c r="N902" s="58" t="s">
        <v>242</v>
      </c>
      <c r="O902" s="58"/>
      <c r="P902" s="63"/>
      <c r="Q902" s="63"/>
    </row>
    <row r="903" spans="2:17" ht="20.25" customHeight="1" x14ac:dyDescent="0.3">
      <c r="B903" s="59" t="s">
        <v>1006</v>
      </c>
      <c r="C903" s="59" t="s">
        <v>145</v>
      </c>
      <c r="D903" s="62" t="str">
        <f t="shared" si="23"/>
        <v>MINICountryman</v>
      </c>
      <c r="E903" s="59" t="s">
        <v>1031</v>
      </c>
      <c r="F903" s="60">
        <v>64300000</v>
      </c>
      <c r="G903" s="60">
        <v>1998</v>
      </c>
      <c r="H903" s="58" t="s">
        <v>241</v>
      </c>
      <c r="I903" s="58" t="s">
        <v>242</v>
      </c>
      <c r="J903" s="58" t="s">
        <v>1611</v>
      </c>
      <c r="K903" s="58"/>
      <c r="L903" s="58" t="s">
        <v>284</v>
      </c>
      <c r="M903" s="58"/>
      <c r="N903" s="58" t="s">
        <v>242</v>
      </c>
      <c r="O903" s="58"/>
      <c r="P903" s="63"/>
      <c r="Q903" s="63"/>
    </row>
    <row r="904" spans="2:17" ht="20.25" customHeight="1" x14ac:dyDescent="0.3">
      <c r="B904" s="59" t="s">
        <v>1006</v>
      </c>
      <c r="C904" s="59" t="s">
        <v>145</v>
      </c>
      <c r="D904" s="62" t="str">
        <f t="shared" si="23"/>
        <v>MINICountryman</v>
      </c>
      <c r="E904" s="59" t="s">
        <v>1032</v>
      </c>
      <c r="F904" s="60">
        <v>49200000</v>
      </c>
      <c r="G904" s="60">
        <v>1995</v>
      </c>
      <c r="H904" s="58" t="s">
        <v>250</v>
      </c>
      <c r="I904" s="58" t="s">
        <v>242</v>
      </c>
      <c r="J904" s="58" t="s">
        <v>1611</v>
      </c>
      <c r="K904" s="58"/>
      <c r="L904" s="58" t="s">
        <v>284</v>
      </c>
      <c r="M904" s="58"/>
      <c r="N904" s="58" t="s">
        <v>242</v>
      </c>
      <c r="O904" s="58"/>
      <c r="P904" s="63"/>
      <c r="Q904" s="63"/>
    </row>
    <row r="905" spans="2:17" ht="20.25" customHeight="1" x14ac:dyDescent="0.3">
      <c r="B905" s="59" t="s">
        <v>1006</v>
      </c>
      <c r="C905" s="59" t="s">
        <v>145</v>
      </c>
      <c r="D905" s="62" t="str">
        <f t="shared" si="23"/>
        <v>MINICountryman</v>
      </c>
      <c r="E905" s="59" t="s">
        <v>1033</v>
      </c>
      <c r="F905" s="60">
        <v>49500000</v>
      </c>
      <c r="G905" s="60">
        <v>1995</v>
      </c>
      <c r="H905" s="58" t="s">
        <v>250</v>
      </c>
      <c r="I905" s="58" t="s">
        <v>242</v>
      </c>
      <c r="J905" s="58" t="s">
        <v>1611</v>
      </c>
      <c r="K905" s="58"/>
      <c r="L905" s="58" t="s">
        <v>284</v>
      </c>
      <c r="M905" s="58"/>
      <c r="N905" s="58" t="s">
        <v>242</v>
      </c>
      <c r="O905" s="58"/>
      <c r="P905" s="63"/>
      <c r="Q905" s="63"/>
    </row>
    <row r="906" spans="2:17" ht="20.25" customHeight="1" x14ac:dyDescent="0.3">
      <c r="B906" s="59" t="s">
        <v>1006</v>
      </c>
      <c r="C906" s="59" t="s">
        <v>145</v>
      </c>
      <c r="D906" s="62" t="str">
        <f t="shared" si="23"/>
        <v>MINICountryman</v>
      </c>
      <c r="E906" s="59" t="s">
        <v>1034</v>
      </c>
      <c r="F906" s="60">
        <v>56500000</v>
      </c>
      <c r="G906" s="60">
        <v>1995</v>
      </c>
      <c r="H906" s="58" t="s">
        <v>250</v>
      </c>
      <c r="I906" s="58" t="s">
        <v>242</v>
      </c>
      <c r="J906" s="58" t="s">
        <v>1611</v>
      </c>
      <c r="K906" s="58"/>
      <c r="L906" s="58" t="s">
        <v>284</v>
      </c>
      <c r="M906" s="58"/>
      <c r="N906" s="58" t="s">
        <v>242</v>
      </c>
      <c r="O906" s="58"/>
      <c r="P906" s="63"/>
      <c r="Q906" s="63"/>
    </row>
    <row r="907" spans="2:17" ht="20.25" customHeight="1" x14ac:dyDescent="0.3">
      <c r="B907" s="59" t="s">
        <v>1006</v>
      </c>
      <c r="C907" s="59" t="s">
        <v>145</v>
      </c>
      <c r="D907" s="62" t="str">
        <f t="shared" ref="D907:D909" si="24">+B907&amp;C907</f>
        <v>MINICountryman</v>
      </c>
      <c r="E907" s="59" t="s">
        <v>1035</v>
      </c>
      <c r="F907" s="60">
        <v>58300000</v>
      </c>
      <c r="G907" s="60">
        <v>1995</v>
      </c>
      <c r="H907" s="58" t="s">
        <v>250</v>
      </c>
      <c r="I907" s="58" t="s">
        <v>242</v>
      </c>
      <c r="J907" s="58" t="s">
        <v>1611</v>
      </c>
      <c r="K907" s="58"/>
      <c r="L907" s="58" t="s">
        <v>284</v>
      </c>
      <c r="M907" s="58"/>
      <c r="N907" s="58" t="s">
        <v>242</v>
      </c>
      <c r="O907" s="58"/>
      <c r="P907" s="63"/>
      <c r="Q907" s="63"/>
    </row>
    <row r="908" spans="2:17" ht="20.25" customHeight="1" x14ac:dyDescent="0.3">
      <c r="B908" s="59" t="s">
        <v>1006</v>
      </c>
      <c r="C908" s="59" t="s">
        <v>145</v>
      </c>
      <c r="D908" s="62" t="str">
        <f t="shared" si="24"/>
        <v>MINICountryman</v>
      </c>
      <c r="E908" s="59" t="s">
        <v>1717</v>
      </c>
      <c r="F908" s="60">
        <v>56670000</v>
      </c>
      <c r="G908" s="60">
        <v>0</v>
      </c>
      <c r="H908" s="58" t="s">
        <v>1716</v>
      </c>
      <c r="I908" s="58" t="s">
        <v>1716</v>
      </c>
      <c r="J908" s="58"/>
      <c r="K908" s="58"/>
      <c r="L908" s="58" t="s">
        <v>286</v>
      </c>
      <c r="M908" s="58"/>
      <c r="N908" s="58" t="s">
        <v>1716</v>
      </c>
      <c r="O908" s="58"/>
      <c r="P908" s="63"/>
      <c r="Q908" s="63"/>
    </row>
    <row r="909" spans="2:17" ht="20.25" customHeight="1" x14ac:dyDescent="0.3">
      <c r="B909" s="59" t="s">
        <v>1006</v>
      </c>
      <c r="C909" s="59" t="s">
        <v>145</v>
      </c>
      <c r="D909" s="62" t="str">
        <f t="shared" si="24"/>
        <v>MINICountryman</v>
      </c>
      <c r="E909" s="59" t="s">
        <v>1718</v>
      </c>
      <c r="F909" s="60">
        <v>58300000</v>
      </c>
      <c r="G909" s="60">
        <v>0</v>
      </c>
      <c r="H909" s="58" t="s">
        <v>1716</v>
      </c>
      <c r="I909" s="58" t="s">
        <v>1716</v>
      </c>
      <c r="J909" s="58"/>
      <c r="K909" s="58"/>
      <c r="L909" s="58" t="s">
        <v>286</v>
      </c>
      <c r="M909" s="58"/>
      <c r="N909" s="58" t="s">
        <v>1716</v>
      </c>
      <c r="O909" s="58"/>
      <c r="P909" s="63"/>
      <c r="Q909" s="63"/>
    </row>
    <row r="910" spans="2:17" ht="20.25" customHeight="1" x14ac:dyDescent="0.3">
      <c r="B910" s="59" t="s">
        <v>1006</v>
      </c>
      <c r="C910" s="59" t="s">
        <v>145</v>
      </c>
      <c r="D910" s="62" t="str">
        <f t="shared" si="23"/>
        <v>MINICountryman</v>
      </c>
      <c r="E910" s="59" t="s">
        <v>1719</v>
      </c>
      <c r="F910" s="60">
        <v>58300000</v>
      </c>
      <c r="G910" s="60">
        <v>0</v>
      </c>
      <c r="H910" s="58" t="s">
        <v>1720</v>
      </c>
      <c r="I910" s="58" t="s">
        <v>1720</v>
      </c>
      <c r="J910" s="58"/>
      <c r="K910" s="58"/>
      <c r="L910" s="58" t="s">
        <v>286</v>
      </c>
      <c r="M910" s="58"/>
      <c r="N910" s="58" t="s">
        <v>1720</v>
      </c>
      <c r="O910" s="58"/>
      <c r="P910" s="63"/>
      <c r="Q910" s="63"/>
    </row>
    <row r="911" spans="2:17" ht="20.25" customHeight="1" x14ac:dyDescent="0.3">
      <c r="B911" s="59" t="s">
        <v>1006</v>
      </c>
      <c r="C911" s="59" t="s">
        <v>146</v>
      </c>
      <c r="D911" s="62" t="str">
        <f t="shared" si="23"/>
        <v>MINIConvertible</v>
      </c>
      <c r="E911" s="59" t="s">
        <v>1036</v>
      </c>
      <c r="F911" s="60">
        <v>45500000</v>
      </c>
      <c r="G911" s="60">
        <v>1499</v>
      </c>
      <c r="H911" s="58" t="s">
        <v>241</v>
      </c>
      <c r="I911" s="58" t="s">
        <v>242</v>
      </c>
      <c r="J911" s="58" t="s">
        <v>1611</v>
      </c>
      <c r="K911" s="58"/>
      <c r="L911" s="58" t="s">
        <v>246</v>
      </c>
      <c r="M911" s="58"/>
      <c r="N911" s="58" t="s">
        <v>242</v>
      </c>
      <c r="O911" s="58"/>
      <c r="P911" s="63"/>
      <c r="Q911" s="63"/>
    </row>
    <row r="912" spans="2:17" ht="20.25" customHeight="1" x14ac:dyDescent="0.3">
      <c r="B912" s="59" t="s">
        <v>1006</v>
      </c>
      <c r="C912" s="59" t="s">
        <v>146</v>
      </c>
      <c r="D912" s="62" t="str">
        <f t="shared" si="23"/>
        <v>MINIConvertible</v>
      </c>
      <c r="E912" s="59" t="s">
        <v>1037</v>
      </c>
      <c r="F912" s="60">
        <v>45700000</v>
      </c>
      <c r="G912" s="60">
        <v>1499</v>
      </c>
      <c r="H912" s="58" t="s">
        <v>241</v>
      </c>
      <c r="I912" s="58" t="s">
        <v>242</v>
      </c>
      <c r="J912" s="58" t="s">
        <v>1611</v>
      </c>
      <c r="K912" s="58"/>
      <c r="L912" s="58" t="s">
        <v>246</v>
      </c>
      <c r="M912" s="58"/>
      <c r="N912" s="58" t="s">
        <v>242</v>
      </c>
      <c r="O912" s="58"/>
      <c r="P912" s="63"/>
      <c r="Q912" s="63"/>
    </row>
    <row r="913" spans="2:17" ht="20.25" customHeight="1" x14ac:dyDescent="0.3">
      <c r="B913" s="59" t="s">
        <v>1006</v>
      </c>
      <c r="C913" s="59" t="s">
        <v>146</v>
      </c>
      <c r="D913" s="62" t="str">
        <f t="shared" si="23"/>
        <v>MINIConvertible</v>
      </c>
      <c r="E913" s="59" t="s">
        <v>1038</v>
      </c>
      <c r="F913" s="60">
        <v>49800000</v>
      </c>
      <c r="G913" s="60">
        <v>1998</v>
      </c>
      <c r="H913" s="58" t="s">
        <v>241</v>
      </c>
      <c r="I913" s="58" t="s">
        <v>242</v>
      </c>
      <c r="J913" s="58" t="s">
        <v>1611</v>
      </c>
      <c r="K913" s="58"/>
      <c r="L913" s="58" t="s">
        <v>246</v>
      </c>
      <c r="M913" s="58"/>
      <c r="N913" s="58" t="s">
        <v>242</v>
      </c>
      <c r="O913" s="58"/>
      <c r="P913" s="63"/>
      <c r="Q913" s="63"/>
    </row>
    <row r="914" spans="2:17" ht="20.25" customHeight="1" x14ac:dyDescent="0.3">
      <c r="B914" s="59" t="s">
        <v>1006</v>
      </c>
      <c r="C914" s="59" t="s">
        <v>146</v>
      </c>
      <c r="D914" s="62" t="str">
        <f t="shared" si="23"/>
        <v>MINIConvertible</v>
      </c>
      <c r="E914" s="59" t="s">
        <v>1039</v>
      </c>
      <c r="F914" s="60">
        <v>50800000</v>
      </c>
      <c r="G914" s="60">
        <v>1998</v>
      </c>
      <c r="H914" s="58" t="s">
        <v>241</v>
      </c>
      <c r="I914" s="58" t="s">
        <v>242</v>
      </c>
      <c r="J914" s="58" t="s">
        <v>1611</v>
      </c>
      <c r="K914" s="58"/>
      <c r="L914" s="58" t="s">
        <v>246</v>
      </c>
      <c r="M914" s="58"/>
      <c r="N914" s="58" t="s">
        <v>242</v>
      </c>
      <c r="O914" s="58"/>
      <c r="P914" s="63"/>
      <c r="Q914" s="63"/>
    </row>
    <row r="915" spans="2:17" ht="20.25" customHeight="1" x14ac:dyDescent="0.3">
      <c r="B915" s="59" t="s">
        <v>1006</v>
      </c>
      <c r="C915" s="59" t="s">
        <v>146</v>
      </c>
      <c r="D915" s="62" t="str">
        <f t="shared" si="23"/>
        <v>MINIConvertible</v>
      </c>
      <c r="E915" s="59" t="s">
        <v>1040</v>
      </c>
      <c r="F915" s="60">
        <v>57300000</v>
      </c>
      <c r="G915" s="60">
        <v>1998</v>
      </c>
      <c r="H915" s="58" t="s">
        <v>241</v>
      </c>
      <c r="I915" s="58" t="s">
        <v>242</v>
      </c>
      <c r="J915" s="58" t="s">
        <v>1611</v>
      </c>
      <c r="K915" s="58"/>
      <c r="L915" s="58" t="s">
        <v>246</v>
      </c>
      <c r="M915" s="58"/>
      <c r="N915" s="58" t="s">
        <v>242</v>
      </c>
      <c r="O915" s="58"/>
      <c r="P915" s="63"/>
      <c r="Q915" s="63"/>
    </row>
    <row r="916" spans="2:17" ht="20.25" customHeight="1" x14ac:dyDescent="0.3">
      <c r="B916" s="59" t="s">
        <v>1006</v>
      </c>
      <c r="C916" s="59" t="s">
        <v>146</v>
      </c>
      <c r="D916" s="62" t="str">
        <f t="shared" si="23"/>
        <v>MINIConvertible</v>
      </c>
      <c r="E916" s="59" t="s">
        <v>1041</v>
      </c>
      <c r="F916" s="60">
        <v>58300000</v>
      </c>
      <c r="G916" s="60">
        <v>1998</v>
      </c>
      <c r="H916" s="58" t="s">
        <v>241</v>
      </c>
      <c r="I916" s="58" t="s">
        <v>242</v>
      </c>
      <c r="J916" s="58" t="s">
        <v>1611</v>
      </c>
      <c r="K916" s="58"/>
      <c r="L916" s="58" t="s">
        <v>246</v>
      </c>
      <c r="M916" s="58"/>
      <c r="N916" s="58" t="s">
        <v>242</v>
      </c>
      <c r="O916" s="58"/>
      <c r="P916" s="63"/>
      <c r="Q916" s="63"/>
    </row>
    <row r="917" spans="2:17" ht="20.25" customHeight="1" x14ac:dyDescent="0.3">
      <c r="B917" s="59" t="s">
        <v>1006</v>
      </c>
      <c r="C917" s="59" t="s">
        <v>147</v>
      </c>
      <c r="D917" s="62" t="str">
        <f t="shared" si="23"/>
        <v>MINIElectric</v>
      </c>
      <c r="E917" s="59" t="s">
        <v>1770</v>
      </c>
      <c r="F917" s="60">
        <v>45600000</v>
      </c>
      <c r="G917" s="60">
        <v>0</v>
      </c>
      <c r="H917" s="58" t="s">
        <v>308</v>
      </c>
      <c r="I917" s="58" t="s">
        <v>308</v>
      </c>
      <c r="J917" s="58"/>
      <c r="K917" s="58"/>
      <c r="L917" s="58" t="s">
        <v>286</v>
      </c>
      <c r="M917" s="58"/>
      <c r="N917" s="58" t="s">
        <v>242</v>
      </c>
      <c r="O917" s="58"/>
      <c r="P917" s="63"/>
      <c r="Q917" s="63"/>
    </row>
    <row r="918" spans="2:17" ht="20.25" customHeight="1" x14ac:dyDescent="0.3">
      <c r="B918" s="59" t="s">
        <v>1006</v>
      </c>
      <c r="C918" s="59" t="s">
        <v>147</v>
      </c>
      <c r="D918" s="62" t="str">
        <f t="shared" si="23"/>
        <v>MINIElectric</v>
      </c>
      <c r="E918" s="59" t="s">
        <v>1771</v>
      </c>
      <c r="F918" s="60">
        <v>48900000</v>
      </c>
      <c r="G918" s="60">
        <v>0</v>
      </c>
      <c r="H918" s="58" t="s">
        <v>308</v>
      </c>
      <c r="I918" s="58" t="s">
        <v>308</v>
      </c>
      <c r="J918" s="58"/>
      <c r="K918" s="58"/>
      <c r="L918" s="58" t="s">
        <v>286</v>
      </c>
      <c r="M918" s="58"/>
      <c r="N918" s="58" t="s">
        <v>242</v>
      </c>
      <c r="O918" s="58"/>
      <c r="P918" s="63"/>
      <c r="Q918" s="63"/>
    </row>
    <row r="919" spans="2:17" ht="20.25" customHeight="1" x14ac:dyDescent="0.3">
      <c r="B919" s="59" t="s">
        <v>1006</v>
      </c>
      <c r="C919" s="59" t="s">
        <v>1721</v>
      </c>
      <c r="D919" s="62" t="str">
        <f t="shared" si="23"/>
        <v>MINIAceman</v>
      </c>
      <c r="E919" s="59" t="s">
        <v>1722</v>
      </c>
      <c r="F919" s="60">
        <v>49700000</v>
      </c>
      <c r="G919" s="60">
        <v>0</v>
      </c>
      <c r="H919" s="58" t="s">
        <v>308</v>
      </c>
      <c r="I919" s="58" t="s">
        <v>308</v>
      </c>
      <c r="J919" s="58"/>
      <c r="K919" s="58"/>
      <c r="L919" s="58" t="s">
        <v>286</v>
      </c>
      <c r="M919" s="58"/>
      <c r="N919" s="58" t="s">
        <v>308</v>
      </c>
      <c r="O919" s="58"/>
      <c r="P919" s="63"/>
      <c r="Q919" s="63"/>
    </row>
    <row r="920" spans="2:17" ht="20.25" customHeight="1" x14ac:dyDescent="0.3">
      <c r="B920" s="59" t="s">
        <v>1006</v>
      </c>
      <c r="C920" s="59" t="s">
        <v>1721</v>
      </c>
      <c r="D920" s="62" t="str">
        <f t="shared" si="23"/>
        <v>MINIAceman</v>
      </c>
      <c r="E920" s="59" t="s">
        <v>1723</v>
      </c>
      <c r="F920" s="60">
        <v>58000000</v>
      </c>
      <c r="G920" s="60">
        <v>0</v>
      </c>
      <c r="H920" s="58" t="s">
        <v>308</v>
      </c>
      <c r="I920" s="58" t="s">
        <v>308</v>
      </c>
      <c r="J920" s="58"/>
      <c r="K920" s="58"/>
      <c r="L920" s="58" t="s">
        <v>286</v>
      </c>
      <c r="M920" s="58"/>
      <c r="N920" s="58" t="s">
        <v>308</v>
      </c>
      <c r="O920" s="58"/>
      <c r="P920" s="63"/>
      <c r="Q920" s="63"/>
    </row>
    <row r="921" spans="2:17" ht="20.25" customHeight="1" x14ac:dyDescent="0.3">
      <c r="B921" s="59" t="s">
        <v>1006</v>
      </c>
      <c r="C921" s="59" t="s">
        <v>1721</v>
      </c>
      <c r="D921" s="62" t="str">
        <f t="shared" ref="D921" si="25">+B921&amp;C921</f>
        <v>MINIAceman</v>
      </c>
      <c r="E921" s="59" t="s">
        <v>1724</v>
      </c>
      <c r="F921" s="60">
        <v>58600000</v>
      </c>
      <c r="G921" s="60">
        <v>0</v>
      </c>
      <c r="H921" s="58" t="s">
        <v>308</v>
      </c>
      <c r="I921" s="58" t="s">
        <v>308</v>
      </c>
      <c r="J921" s="58"/>
      <c r="K921" s="58"/>
      <c r="L921" s="58" t="s">
        <v>286</v>
      </c>
      <c r="M921" s="58"/>
      <c r="N921" s="58" t="s">
        <v>308</v>
      </c>
      <c r="O921" s="58"/>
      <c r="P921" s="63"/>
      <c r="Q921" s="63"/>
    </row>
    <row r="922" spans="2:17" ht="20.25" customHeight="1" x14ac:dyDescent="0.3">
      <c r="B922" s="59" t="s">
        <v>1006</v>
      </c>
      <c r="C922" s="59" t="s">
        <v>1721</v>
      </c>
      <c r="D922" s="62" t="str">
        <f t="shared" si="23"/>
        <v>MINIAceman</v>
      </c>
      <c r="E922" s="59" t="s">
        <v>1772</v>
      </c>
      <c r="F922" s="60">
        <v>62500000</v>
      </c>
      <c r="G922" s="60">
        <v>0</v>
      </c>
      <c r="H922" s="58" t="s">
        <v>308</v>
      </c>
      <c r="I922" s="58" t="s">
        <v>308</v>
      </c>
      <c r="J922" s="58"/>
      <c r="K922" s="58"/>
      <c r="L922" s="58" t="s">
        <v>286</v>
      </c>
      <c r="M922" s="58"/>
      <c r="N922" s="58" t="s">
        <v>308</v>
      </c>
      <c r="O922" s="58"/>
      <c r="P922" s="63"/>
      <c r="Q922" s="63"/>
    </row>
    <row r="923" spans="2:17" ht="20.25" customHeight="1" x14ac:dyDescent="0.3">
      <c r="B923" s="59"/>
      <c r="C923" s="59"/>
      <c r="D923" s="62"/>
      <c r="E923" s="59"/>
      <c r="F923" s="60"/>
      <c r="G923" s="60"/>
      <c r="H923" s="58"/>
      <c r="I923" s="58"/>
      <c r="J923" s="58"/>
      <c r="K923" s="58"/>
      <c r="L923" s="58"/>
      <c r="M923" s="58"/>
      <c r="N923" s="58"/>
      <c r="O923" s="58"/>
      <c r="P923" s="63"/>
      <c r="Q923" s="63"/>
    </row>
    <row r="924" spans="2:17" ht="20.25" customHeight="1" x14ac:dyDescent="0.3">
      <c r="B924" s="59"/>
      <c r="C924" s="59"/>
      <c r="D924" s="62"/>
      <c r="E924" s="59"/>
      <c r="F924" s="60"/>
      <c r="G924" s="60"/>
      <c r="H924" s="58"/>
      <c r="I924" s="58"/>
      <c r="J924" s="58"/>
      <c r="K924" s="58"/>
      <c r="L924" s="58"/>
      <c r="M924" s="58"/>
      <c r="N924" s="58"/>
      <c r="O924" s="58"/>
      <c r="P924" s="63"/>
      <c r="Q924" s="63"/>
    </row>
    <row r="925" spans="2:17" ht="20.25" customHeight="1" x14ac:dyDescent="0.3">
      <c r="B925" s="59"/>
      <c r="C925" s="59"/>
      <c r="D925" s="62" t="str">
        <f t="shared" si="23"/>
        <v/>
      </c>
      <c r="E925" s="59"/>
      <c r="F925" s="60"/>
      <c r="G925" s="60"/>
      <c r="H925" s="58"/>
      <c r="I925" s="58"/>
      <c r="J925" s="58"/>
      <c r="K925" s="58"/>
      <c r="L925" s="58"/>
      <c r="M925" s="58"/>
      <c r="N925" s="58"/>
      <c r="O925" s="58"/>
      <c r="P925" s="63"/>
      <c r="Q925" s="63"/>
    </row>
    <row r="926" spans="2:17" ht="20.25" customHeight="1" x14ac:dyDescent="0.3">
      <c r="B926" s="59" t="s">
        <v>1042</v>
      </c>
      <c r="C926" s="59">
        <v>208</v>
      </c>
      <c r="D926" s="62" t="str">
        <f t="shared" si="23"/>
        <v>PEUGEOT208</v>
      </c>
      <c r="E926" s="59" t="s">
        <v>1043</v>
      </c>
      <c r="F926" s="60">
        <v>49000000</v>
      </c>
      <c r="G926" s="60">
        <v>0</v>
      </c>
      <c r="H926" s="58" t="s">
        <v>308</v>
      </c>
      <c r="I926" s="58" t="s">
        <v>308</v>
      </c>
      <c r="J926" s="58" t="s">
        <v>1679</v>
      </c>
      <c r="K926" s="58"/>
      <c r="L926" s="58" t="s">
        <v>286</v>
      </c>
      <c r="M926" s="58"/>
      <c r="N926" s="58" t="s">
        <v>242</v>
      </c>
      <c r="O926" s="58" t="s">
        <v>1044</v>
      </c>
      <c r="P926" s="63"/>
      <c r="Q926" s="63"/>
    </row>
    <row r="927" spans="2:17" ht="20.25" customHeight="1" x14ac:dyDescent="0.3">
      <c r="B927" s="59" t="s">
        <v>1042</v>
      </c>
      <c r="C927" s="59">
        <v>208</v>
      </c>
      <c r="D927" s="62" t="str">
        <f t="shared" si="23"/>
        <v>PEUGEOT208</v>
      </c>
      <c r="E927" s="59" t="s">
        <v>1045</v>
      </c>
      <c r="F927" s="60">
        <v>53000000</v>
      </c>
      <c r="G927" s="60">
        <v>0</v>
      </c>
      <c r="H927" s="58" t="s">
        <v>308</v>
      </c>
      <c r="I927" s="58" t="s">
        <v>308</v>
      </c>
      <c r="J927" s="58" t="s">
        <v>1679</v>
      </c>
      <c r="K927" s="58"/>
      <c r="L927" s="58" t="s">
        <v>286</v>
      </c>
      <c r="M927" s="58"/>
      <c r="N927" s="58" t="s">
        <v>242</v>
      </c>
      <c r="O927" s="58" t="s">
        <v>1044</v>
      </c>
      <c r="P927" s="63"/>
      <c r="Q927" s="63"/>
    </row>
    <row r="928" spans="2:17" ht="20.25" customHeight="1" x14ac:dyDescent="0.3">
      <c r="B928" s="59" t="s">
        <v>1042</v>
      </c>
      <c r="C928" s="59">
        <v>308</v>
      </c>
      <c r="D928" s="62" t="str">
        <f t="shared" si="23"/>
        <v>PEUGEOT308</v>
      </c>
      <c r="E928" s="59" t="s">
        <v>1046</v>
      </c>
      <c r="F928" s="60">
        <v>36800000</v>
      </c>
      <c r="G928" s="60">
        <v>1499</v>
      </c>
      <c r="H928" s="58" t="s">
        <v>250</v>
      </c>
      <c r="I928" s="58" t="s">
        <v>242</v>
      </c>
      <c r="J928" s="58" t="s">
        <v>1515</v>
      </c>
      <c r="K928" s="58"/>
      <c r="L928" s="58" t="s">
        <v>86</v>
      </c>
      <c r="M928" s="58"/>
      <c r="N928" s="58" t="s">
        <v>242</v>
      </c>
      <c r="O928" s="58"/>
      <c r="P928" s="63"/>
      <c r="Q928" s="63"/>
    </row>
    <row r="929" spans="2:17" ht="20.25" customHeight="1" x14ac:dyDescent="0.3">
      <c r="B929" s="59" t="s">
        <v>1042</v>
      </c>
      <c r="C929" s="59">
        <v>308</v>
      </c>
      <c r="D929" s="62" t="str">
        <f t="shared" si="23"/>
        <v>PEUGEOT308</v>
      </c>
      <c r="E929" s="59" t="s">
        <v>1047</v>
      </c>
      <c r="F929" s="60">
        <v>42300000</v>
      </c>
      <c r="G929" s="60">
        <v>1499</v>
      </c>
      <c r="H929" s="58" t="s">
        <v>250</v>
      </c>
      <c r="I929" s="58" t="s">
        <v>242</v>
      </c>
      <c r="J929" s="58" t="s">
        <v>1515</v>
      </c>
      <c r="K929" s="58"/>
      <c r="L929" s="58" t="s">
        <v>86</v>
      </c>
      <c r="M929" s="58"/>
      <c r="N929" s="58" t="s">
        <v>242</v>
      </c>
      <c r="O929" s="58"/>
      <c r="P929" s="63"/>
      <c r="Q929" s="63"/>
    </row>
    <row r="930" spans="2:17" ht="20.25" customHeight="1" x14ac:dyDescent="0.3">
      <c r="B930" s="59" t="s">
        <v>1042</v>
      </c>
      <c r="C930" s="59">
        <v>308</v>
      </c>
      <c r="D930" s="62" t="str">
        <f t="shared" si="23"/>
        <v>PEUGEOT308</v>
      </c>
      <c r="E930" s="59" t="s">
        <v>1048</v>
      </c>
      <c r="F930" s="60">
        <v>39810000</v>
      </c>
      <c r="G930" s="60">
        <v>1997</v>
      </c>
      <c r="H930" s="58" t="s">
        <v>250</v>
      </c>
      <c r="I930" s="58" t="s">
        <v>242</v>
      </c>
      <c r="J930" s="58" t="s">
        <v>1515</v>
      </c>
      <c r="K930" s="58"/>
      <c r="L930" s="58" t="s">
        <v>286</v>
      </c>
      <c r="M930" s="58"/>
      <c r="N930" s="58" t="s">
        <v>242</v>
      </c>
      <c r="O930" s="58"/>
      <c r="P930" s="63"/>
      <c r="Q930" s="63"/>
    </row>
    <row r="931" spans="2:17" ht="20.25" customHeight="1" x14ac:dyDescent="0.3">
      <c r="B931" s="59" t="s">
        <v>1042</v>
      </c>
      <c r="C931" s="59">
        <v>408</v>
      </c>
      <c r="D931" s="62" t="str">
        <f t="shared" si="23"/>
        <v>PEUGEOT408</v>
      </c>
      <c r="E931" s="59" t="s">
        <v>1049</v>
      </c>
      <c r="F931" s="60">
        <v>42900000</v>
      </c>
      <c r="G931" s="60">
        <v>1199</v>
      </c>
      <c r="H931" s="58" t="s">
        <v>241</v>
      </c>
      <c r="I931" s="58" t="s">
        <v>242</v>
      </c>
      <c r="J931" s="58" t="s">
        <v>1614</v>
      </c>
      <c r="K931" s="58"/>
      <c r="L931" s="58" t="s">
        <v>86</v>
      </c>
      <c r="M931" s="58"/>
      <c r="N931" s="58" t="s">
        <v>242</v>
      </c>
      <c r="O931" s="58"/>
      <c r="P931" s="63"/>
      <c r="Q931" s="63"/>
    </row>
    <row r="932" spans="2:17" ht="20.25" customHeight="1" x14ac:dyDescent="0.3">
      <c r="B932" s="59" t="s">
        <v>1042</v>
      </c>
      <c r="C932" s="59">
        <v>408</v>
      </c>
      <c r="D932" s="62" t="str">
        <f t="shared" si="23"/>
        <v>PEUGEOT408</v>
      </c>
      <c r="E932" s="59" t="s">
        <v>1050</v>
      </c>
      <c r="F932" s="60">
        <v>46900000</v>
      </c>
      <c r="G932" s="60">
        <v>1199</v>
      </c>
      <c r="H932" s="58" t="s">
        <v>241</v>
      </c>
      <c r="I932" s="58" t="s">
        <v>242</v>
      </c>
      <c r="J932" s="58" t="s">
        <v>1614</v>
      </c>
      <c r="K932" s="58"/>
      <c r="L932" s="58" t="s">
        <v>86</v>
      </c>
      <c r="M932" s="58"/>
      <c r="N932" s="58" t="s">
        <v>242</v>
      </c>
      <c r="O932" s="58"/>
      <c r="P932" s="63"/>
      <c r="Q932" s="63"/>
    </row>
    <row r="933" spans="2:17" ht="20.25" customHeight="1" x14ac:dyDescent="0.3">
      <c r="B933" s="59" t="s">
        <v>1042</v>
      </c>
      <c r="C933" s="59">
        <v>508</v>
      </c>
      <c r="D933" s="62" t="str">
        <f t="shared" si="23"/>
        <v>PEUGEOT508</v>
      </c>
      <c r="E933" s="59" t="s">
        <v>1051</v>
      </c>
      <c r="F933" s="60">
        <v>45900000</v>
      </c>
      <c r="G933" s="60">
        <v>1499</v>
      </c>
      <c r="H933" s="58" t="s">
        <v>250</v>
      </c>
      <c r="I933" s="58" t="s">
        <v>242</v>
      </c>
      <c r="J933" s="58" t="s">
        <v>1614</v>
      </c>
      <c r="K933" s="58"/>
      <c r="L933" s="58" t="s">
        <v>1052</v>
      </c>
      <c r="M933" s="58"/>
      <c r="N933" s="58" t="s">
        <v>242</v>
      </c>
      <c r="O933" s="58"/>
      <c r="P933" s="63"/>
      <c r="Q933" s="63"/>
    </row>
    <row r="934" spans="2:17" ht="20.25" customHeight="1" x14ac:dyDescent="0.3">
      <c r="B934" s="59" t="s">
        <v>1042</v>
      </c>
      <c r="C934" s="59">
        <v>508</v>
      </c>
      <c r="D934" s="62" t="str">
        <f t="shared" si="23"/>
        <v>PEUGEOT508</v>
      </c>
      <c r="E934" s="59" t="s">
        <v>1053</v>
      </c>
      <c r="F934" s="60">
        <v>49900000</v>
      </c>
      <c r="G934" s="60">
        <v>1499</v>
      </c>
      <c r="H934" s="58" t="s">
        <v>250</v>
      </c>
      <c r="I934" s="58" t="s">
        <v>242</v>
      </c>
      <c r="J934" s="58" t="s">
        <v>1614</v>
      </c>
      <c r="K934" s="58"/>
      <c r="L934" s="58" t="s">
        <v>1052</v>
      </c>
      <c r="M934" s="58"/>
      <c r="N934" s="58" t="s">
        <v>242</v>
      </c>
      <c r="O934" s="58"/>
      <c r="P934" s="63"/>
      <c r="Q934" s="63"/>
    </row>
    <row r="935" spans="2:17" ht="20.25" customHeight="1" x14ac:dyDescent="0.3">
      <c r="B935" s="59" t="s">
        <v>1042</v>
      </c>
      <c r="C935" s="59">
        <v>508</v>
      </c>
      <c r="D935" s="62" t="str">
        <f t="shared" si="23"/>
        <v>PEUGEOT508</v>
      </c>
      <c r="E935" s="59" t="s">
        <v>1054</v>
      </c>
      <c r="F935" s="60">
        <v>53900000</v>
      </c>
      <c r="G935" s="60">
        <v>1499</v>
      </c>
      <c r="H935" s="58" t="s">
        <v>250</v>
      </c>
      <c r="I935" s="58" t="s">
        <v>242</v>
      </c>
      <c r="J935" s="58" t="s">
        <v>1614</v>
      </c>
      <c r="K935" s="58"/>
      <c r="L935" s="58" t="s">
        <v>1052</v>
      </c>
      <c r="M935" s="58"/>
      <c r="N935" s="58" t="s">
        <v>242</v>
      </c>
      <c r="O935" s="58"/>
      <c r="P935" s="63"/>
      <c r="Q935" s="63"/>
    </row>
    <row r="936" spans="2:17" ht="20.25" customHeight="1" x14ac:dyDescent="0.3">
      <c r="B936" s="59" t="s">
        <v>1042</v>
      </c>
      <c r="C936" s="59">
        <v>508</v>
      </c>
      <c r="D936" s="62" t="str">
        <f t="shared" si="23"/>
        <v>PEUGEOT508</v>
      </c>
      <c r="E936" s="59" t="s">
        <v>1055</v>
      </c>
      <c r="F936" s="60">
        <v>43920000</v>
      </c>
      <c r="G936" s="60">
        <v>1997</v>
      </c>
      <c r="H936" s="58" t="s">
        <v>250</v>
      </c>
      <c r="I936" s="58" t="s">
        <v>242</v>
      </c>
      <c r="J936" s="58" t="s">
        <v>1614</v>
      </c>
      <c r="K936" s="58"/>
      <c r="L936" s="58" t="s">
        <v>1052</v>
      </c>
      <c r="M936" s="58"/>
      <c r="N936" s="58" t="s">
        <v>242</v>
      </c>
      <c r="O936" s="58"/>
      <c r="P936" s="63"/>
      <c r="Q936" s="63"/>
    </row>
    <row r="937" spans="2:17" ht="20.25" customHeight="1" x14ac:dyDescent="0.3">
      <c r="B937" s="59" t="s">
        <v>1042</v>
      </c>
      <c r="C937" s="59">
        <v>508</v>
      </c>
      <c r="D937" s="62" t="str">
        <f t="shared" si="23"/>
        <v>PEUGEOT508</v>
      </c>
      <c r="E937" s="59" t="s">
        <v>1056</v>
      </c>
      <c r="F937" s="60">
        <v>49750000</v>
      </c>
      <c r="G937" s="60">
        <v>1997</v>
      </c>
      <c r="H937" s="58" t="s">
        <v>250</v>
      </c>
      <c r="I937" s="58" t="s">
        <v>242</v>
      </c>
      <c r="J937" s="58" t="s">
        <v>1614</v>
      </c>
      <c r="K937" s="58"/>
      <c r="L937" s="58" t="s">
        <v>1052</v>
      </c>
      <c r="M937" s="58"/>
      <c r="N937" s="58" t="s">
        <v>242</v>
      </c>
      <c r="O937" s="58"/>
      <c r="P937" s="63"/>
      <c r="Q937" s="63"/>
    </row>
    <row r="938" spans="2:17" ht="20.25" customHeight="1" x14ac:dyDescent="0.3">
      <c r="B938" s="59" t="s">
        <v>1042</v>
      </c>
      <c r="C938" s="59">
        <v>508</v>
      </c>
      <c r="D938" s="62" t="str">
        <f t="shared" si="23"/>
        <v>PEUGEOT508</v>
      </c>
      <c r="E938" s="59" t="s">
        <v>1057</v>
      </c>
      <c r="F938" s="60">
        <v>51720000</v>
      </c>
      <c r="G938" s="60">
        <v>1997</v>
      </c>
      <c r="H938" s="58" t="s">
        <v>250</v>
      </c>
      <c r="I938" s="58" t="s">
        <v>242</v>
      </c>
      <c r="J938" s="58" t="s">
        <v>1614</v>
      </c>
      <c r="K938" s="58"/>
      <c r="L938" s="58" t="s">
        <v>1052</v>
      </c>
      <c r="M938" s="58"/>
      <c r="N938" s="58" t="s">
        <v>242</v>
      </c>
      <c r="O938" s="58"/>
      <c r="P938" s="63"/>
      <c r="Q938" s="63"/>
    </row>
    <row r="939" spans="2:17" ht="20.25" customHeight="1" x14ac:dyDescent="0.3">
      <c r="B939" s="59" t="s">
        <v>1042</v>
      </c>
      <c r="C939" s="59">
        <v>508</v>
      </c>
      <c r="D939" s="62" t="str">
        <f t="shared" si="23"/>
        <v>PEUGEOT508</v>
      </c>
      <c r="E939" s="59" t="s">
        <v>1058</v>
      </c>
      <c r="F939" s="60">
        <v>49270000</v>
      </c>
      <c r="G939" s="60">
        <v>1499</v>
      </c>
      <c r="H939" s="58" t="s">
        <v>250</v>
      </c>
      <c r="I939" s="58" t="s">
        <v>242</v>
      </c>
      <c r="J939" s="58" t="s">
        <v>1614</v>
      </c>
      <c r="K939" s="58"/>
      <c r="L939" s="58" t="s">
        <v>1052</v>
      </c>
      <c r="M939" s="58"/>
      <c r="N939" s="58" t="s">
        <v>242</v>
      </c>
      <c r="O939" s="58"/>
      <c r="P939" s="63"/>
      <c r="Q939" s="63"/>
    </row>
    <row r="940" spans="2:17" ht="20.25" customHeight="1" x14ac:dyDescent="0.3">
      <c r="B940" s="59" t="s">
        <v>1042</v>
      </c>
      <c r="C940" s="59">
        <v>508</v>
      </c>
      <c r="D940" s="62" t="str">
        <f t="shared" si="23"/>
        <v>PEUGEOT508</v>
      </c>
      <c r="E940" s="59" t="s">
        <v>1059</v>
      </c>
      <c r="F940" s="60">
        <v>51750000</v>
      </c>
      <c r="G940" s="60">
        <v>1997</v>
      </c>
      <c r="H940" s="58" t="s">
        <v>250</v>
      </c>
      <c r="I940" s="58" t="s">
        <v>242</v>
      </c>
      <c r="J940" s="58" t="s">
        <v>1614</v>
      </c>
      <c r="K940" s="58"/>
      <c r="L940" s="58" t="s">
        <v>1052</v>
      </c>
      <c r="M940" s="58"/>
      <c r="N940" s="58" t="s">
        <v>242</v>
      </c>
      <c r="O940" s="58"/>
      <c r="P940" s="63"/>
      <c r="Q940" s="63"/>
    </row>
    <row r="941" spans="2:17" ht="20.25" customHeight="1" x14ac:dyDescent="0.3">
      <c r="B941" s="59" t="s">
        <v>1042</v>
      </c>
      <c r="C941" s="59">
        <v>2008</v>
      </c>
      <c r="D941" s="62" t="str">
        <f t="shared" si="23"/>
        <v>PEUGEOT2008</v>
      </c>
      <c r="E941" s="59" t="s">
        <v>1060</v>
      </c>
      <c r="F941" s="60">
        <v>37000000</v>
      </c>
      <c r="G941" s="60">
        <v>1499</v>
      </c>
      <c r="H941" s="58" t="s">
        <v>250</v>
      </c>
      <c r="I941" s="58" t="s">
        <v>295</v>
      </c>
      <c r="J941" s="58" t="s">
        <v>1613</v>
      </c>
      <c r="K941" s="58"/>
      <c r="L941" s="58" t="s">
        <v>86</v>
      </c>
      <c r="M941" s="58"/>
      <c r="N941" s="58" t="s">
        <v>295</v>
      </c>
      <c r="O941" s="58"/>
      <c r="P941" s="63"/>
      <c r="Q941" s="63"/>
    </row>
    <row r="942" spans="2:17" ht="20.25" customHeight="1" x14ac:dyDescent="0.3">
      <c r="B942" s="59" t="s">
        <v>1042</v>
      </c>
      <c r="C942" s="59">
        <v>2008</v>
      </c>
      <c r="D942" s="62" t="str">
        <f t="shared" si="23"/>
        <v>PEUGEOT2008</v>
      </c>
      <c r="E942" s="59" t="s">
        <v>1061</v>
      </c>
      <c r="F942" s="60">
        <v>40000000</v>
      </c>
      <c r="G942" s="60">
        <v>1499</v>
      </c>
      <c r="H942" s="58" t="s">
        <v>250</v>
      </c>
      <c r="I942" s="58" t="s">
        <v>295</v>
      </c>
      <c r="J942" s="58" t="s">
        <v>1613</v>
      </c>
      <c r="K942" s="58"/>
      <c r="L942" s="58" t="s">
        <v>86</v>
      </c>
      <c r="M942" s="58"/>
      <c r="N942" s="58" t="s">
        <v>295</v>
      </c>
      <c r="O942" s="58"/>
      <c r="P942" s="63"/>
      <c r="Q942" s="63"/>
    </row>
    <row r="943" spans="2:17" ht="20.25" customHeight="1" x14ac:dyDescent="0.3">
      <c r="B943" s="59" t="s">
        <v>1042</v>
      </c>
      <c r="C943" s="59">
        <v>2008</v>
      </c>
      <c r="D943" s="62" t="str">
        <f t="shared" si="23"/>
        <v>PEUGEOT2008</v>
      </c>
      <c r="E943" s="59" t="s">
        <v>1062</v>
      </c>
      <c r="F943" s="60">
        <v>50900000</v>
      </c>
      <c r="G943" s="60">
        <v>0</v>
      </c>
      <c r="H943" s="58" t="s">
        <v>308</v>
      </c>
      <c r="I943" s="58" t="s">
        <v>308</v>
      </c>
      <c r="J943" s="58" t="s">
        <v>1679</v>
      </c>
      <c r="K943" s="58"/>
      <c r="L943" s="58" t="s">
        <v>286</v>
      </c>
      <c r="M943" s="58"/>
      <c r="N943" s="58" t="s">
        <v>295</v>
      </c>
      <c r="O943" s="58" t="s">
        <v>1044</v>
      </c>
      <c r="P943" s="63"/>
      <c r="Q943" s="63"/>
    </row>
    <row r="944" spans="2:17" ht="20.25" customHeight="1" x14ac:dyDescent="0.3">
      <c r="B944" s="59" t="s">
        <v>1042</v>
      </c>
      <c r="C944" s="59">
        <v>2008</v>
      </c>
      <c r="D944" s="62" t="str">
        <f t="shared" si="23"/>
        <v>PEUGEOT2008</v>
      </c>
      <c r="E944" s="59" t="s">
        <v>1063</v>
      </c>
      <c r="F944" s="60">
        <v>53900000</v>
      </c>
      <c r="G944" s="60">
        <v>0</v>
      </c>
      <c r="H944" s="58" t="s">
        <v>308</v>
      </c>
      <c r="I944" s="58" t="s">
        <v>308</v>
      </c>
      <c r="J944" s="58" t="s">
        <v>1679</v>
      </c>
      <c r="K944" s="58"/>
      <c r="L944" s="58" t="s">
        <v>286</v>
      </c>
      <c r="M944" s="58"/>
      <c r="N944" s="58" t="s">
        <v>295</v>
      </c>
      <c r="O944" s="58" t="s">
        <v>1044</v>
      </c>
      <c r="P944" s="63"/>
      <c r="Q944" s="63"/>
    </row>
    <row r="945" spans="2:17" ht="20.25" customHeight="1" x14ac:dyDescent="0.3">
      <c r="B945" s="59" t="s">
        <v>1042</v>
      </c>
      <c r="C945" s="59">
        <v>3008</v>
      </c>
      <c r="D945" s="62" t="str">
        <f t="shared" si="23"/>
        <v>PEUGEOT3008</v>
      </c>
      <c r="E945" s="59" t="s">
        <v>1064</v>
      </c>
      <c r="F945" s="60">
        <v>47500000</v>
      </c>
      <c r="G945" s="60">
        <v>1499</v>
      </c>
      <c r="H945" s="58" t="s">
        <v>250</v>
      </c>
      <c r="I945" s="58" t="s">
        <v>295</v>
      </c>
      <c r="J945" s="58" t="s">
        <v>1515</v>
      </c>
      <c r="K945" s="58"/>
      <c r="L945" s="58" t="s">
        <v>86</v>
      </c>
      <c r="M945" s="58"/>
      <c r="N945" s="58" t="s">
        <v>295</v>
      </c>
      <c r="O945" s="58"/>
      <c r="P945" s="63"/>
      <c r="Q945" s="63"/>
    </row>
    <row r="946" spans="2:17" ht="20.25" customHeight="1" x14ac:dyDescent="0.3">
      <c r="B946" s="59" t="s">
        <v>1042</v>
      </c>
      <c r="C946" s="59">
        <v>3008</v>
      </c>
      <c r="D946" s="62" t="str">
        <f t="shared" si="23"/>
        <v>PEUGEOT3008</v>
      </c>
      <c r="E946" s="59" t="s">
        <v>1065</v>
      </c>
      <c r="F946" s="60">
        <v>50500000</v>
      </c>
      <c r="G946" s="60">
        <v>1499</v>
      </c>
      <c r="H946" s="58" t="s">
        <v>250</v>
      </c>
      <c r="I946" s="58" t="s">
        <v>295</v>
      </c>
      <c r="J946" s="58" t="s">
        <v>1515</v>
      </c>
      <c r="K946" s="58"/>
      <c r="L946" s="58" t="s">
        <v>86</v>
      </c>
      <c r="M946" s="58"/>
      <c r="N946" s="58" t="s">
        <v>295</v>
      </c>
      <c r="O946" s="58"/>
      <c r="P946" s="63"/>
      <c r="Q946" s="63"/>
    </row>
    <row r="947" spans="2:17" ht="20.25" customHeight="1" x14ac:dyDescent="0.3">
      <c r="B947" s="59" t="s">
        <v>1042</v>
      </c>
      <c r="C947" s="59">
        <v>3008</v>
      </c>
      <c r="D947" s="62" t="str">
        <f t="shared" si="23"/>
        <v>PEUGEOT3008</v>
      </c>
      <c r="E947" s="59" t="s">
        <v>1066</v>
      </c>
      <c r="F947" s="60">
        <v>53500000</v>
      </c>
      <c r="G947" s="60">
        <v>1499</v>
      </c>
      <c r="H947" s="58" t="s">
        <v>250</v>
      </c>
      <c r="I947" s="58" t="s">
        <v>295</v>
      </c>
      <c r="J947" s="58" t="s">
        <v>1515</v>
      </c>
      <c r="K947" s="58"/>
      <c r="L947" s="58" t="s">
        <v>86</v>
      </c>
      <c r="M947" s="58"/>
      <c r="N947" s="58" t="s">
        <v>295</v>
      </c>
      <c r="O947" s="58"/>
      <c r="P947" s="63"/>
      <c r="Q947" s="63"/>
    </row>
    <row r="948" spans="2:17" ht="20.25" customHeight="1" x14ac:dyDescent="0.3">
      <c r="B948" s="59" t="s">
        <v>1042</v>
      </c>
      <c r="C948" s="59">
        <v>3008</v>
      </c>
      <c r="D948" s="62" t="str">
        <f t="shared" si="23"/>
        <v>PEUGEOT3008</v>
      </c>
      <c r="E948" s="59" t="s">
        <v>1067</v>
      </c>
      <c r="F948" s="60">
        <v>45500000</v>
      </c>
      <c r="G948" s="60">
        <v>1199</v>
      </c>
      <c r="H948" s="58" t="s">
        <v>241</v>
      </c>
      <c r="I948" s="58" t="s">
        <v>295</v>
      </c>
      <c r="J948" s="58" t="s">
        <v>1515</v>
      </c>
      <c r="K948" s="58"/>
      <c r="L948" s="58" t="s">
        <v>86</v>
      </c>
      <c r="M948" s="58"/>
      <c r="N948" s="58" t="s">
        <v>295</v>
      </c>
      <c r="O948" s="58"/>
      <c r="P948" s="63"/>
      <c r="Q948" s="63"/>
    </row>
    <row r="949" spans="2:17" ht="20.25" customHeight="1" x14ac:dyDescent="0.3">
      <c r="B949" s="59" t="s">
        <v>1042</v>
      </c>
      <c r="C949" s="59">
        <v>3008</v>
      </c>
      <c r="D949" s="62" t="str">
        <f t="shared" si="23"/>
        <v>PEUGEOT3008</v>
      </c>
      <c r="E949" s="59" t="s">
        <v>1068</v>
      </c>
      <c r="F949" s="60">
        <v>48500000</v>
      </c>
      <c r="G949" s="60">
        <v>1199</v>
      </c>
      <c r="H949" s="58" t="s">
        <v>241</v>
      </c>
      <c r="I949" s="58" t="s">
        <v>295</v>
      </c>
      <c r="J949" s="58" t="s">
        <v>1515</v>
      </c>
      <c r="K949" s="58"/>
      <c r="L949" s="58" t="s">
        <v>86</v>
      </c>
      <c r="M949" s="58"/>
      <c r="N949" s="58" t="s">
        <v>295</v>
      </c>
      <c r="O949" s="58"/>
      <c r="P949" s="63"/>
      <c r="Q949" s="63"/>
    </row>
    <row r="950" spans="2:17" ht="20.25" customHeight="1" x14ac:dyDescent="0.3">
      <c r="B950" s="59" t="s">
        <v>1042</v>
      </c>
      <c r="C950" s="59">
        <v>3008</v>
      </c>
      <c r="D950" s="62" t="str">
        <f t="shared" si="23"/>
        <v>PEUGEOT3008</v>
      </c>
      <c r="E950" s="59" t="s">
        <v>1069</v>
      </c>
      <c r="F950" s="60">
        <v>51500000</v>
      </c>
      <c r="G950" s="60">
        <v>1199</v>
      </c>
      <c r="H950" s="58" t="s">
        <v>241</v>
      </c>
      <c r="I950" s="58" t="s">
        <v>295</v>
      </c>
      <c r="J950" s="58" t="s">
        <v>1515</v>
      </c>
      <c r="K950" s="58"/>
      <c r="L950" s="58" t="s">
        <v>86</v>
      </c>
      <c r="M950" s="58"/>
      <c r="N950" s="58" t="s">
        <v>295</v>
      </c>
      <c r="O950" s="58"/>
      <c r="P950" s="63"/>
      <c r="Q950" s="63"/>
    </row>
    <row r="951" spans="2:17" ht="20.25" customHeight="1" x14ac:dyDescent="0.3">
      <c r="B951" s="59" t="s">
        <v>1042</v>
      </c>
      <c r="C951" s="59">
        <v>5008</v>
      </c>
      <c r="D951" s="62" t="str">
        <f t="shared" si="23"/>
        <v>PEUGEOT5008</v>
      </c>
      <c r="E951" s="59" t="s">
        <v>1070</v>
      </c>
      <c r="F951" s="60">
        <v>50000000</v>
      </c>
      <c r="G951" s="60">
        <v>1199</v>
      </c>
      <c r="H951" s="58" t="s">
        <v>241</v>
      </c>
      <c r="I951" s="58" t="s">
        <v>322</v>
      </c>
      <c r="J951" s="58" t="s">
        <v>1614</v>
      </c>
      <c r="K951" s="58"/>
      <c r="L951" s="58" t="s">
        <v>86</v>
      </c>
      <c r="M951" s="58"/>
      <c r="N951" s="58" t="s">
        <v>322</v>
      </c>
      <c r="O951" s="58"/>
      <c r="P951" s="63"/>
      <c r="Q951" s="63"/>
    </row>
    <row r="952" spans="2:17" ht="20.25" customHeight="1" x14ac:dyDescent="0.3">
      <c r="B952" s="59" t="s">
        <v>1042</v>
      </c>
      <c r="C952" s="59">
        <v>5008</v>
      </c>
      <c r="D952" s="62" t="str">
        <f t="shared" si="23"/>
        <v>PEUGEOT5008</v>
      </c>
      <c r="E952" s="59" t="s">
        <v>1071</v>
      </c>
      <c r="F952" s="60">
        <v>53000000</v>
      </c>
      <c r="G952" s="60">
        <v>1199</v>
      </c>
      <c r="H952" s="58" t="s">
        <v>241</v>
      </c>
      <c r="I952" s="58" t="s">
        <v>322</v>
      </c>
      <c r="J952" s="58" t="s">
        <v>1614</v>
      </c>
      <c r="K952" s="58"/>
      <c r="L952" s="58" t="s">
        <v>86</v>
      </c>
      <c r="M952" s="58"/>
      <c r="N952" s="58" t="s">
        <v>322</v>
      </c>
      <c r="O952" s="58"/>
      <c r="P952" s="63"/>
      <c r="Q952" s="63"/>
    </row>
    <row r="953" spans="2:17" ht="20.25" customHeight="1" x14ac:dyDescent="0.3">
      <c r="B953" s="59" t="s">
        <v>1042</v>
      </c>
      <c r="C953" s="59">
        <v>5008</v>
      </c>
      <c r="D953" s="62" t="str">
        <f t="shared" si="23"/>
        <v>PEUGEOT5008</v>
      </c>
      <c r="E953" s="59" t="s">
        <v>1072</v>
      </c>
      <c r="F953" s="60">
        <v>55000000</v>
      </c>
      <c r="G953" s="60">
        <v>1199</v>
      </c>
      <c r="H953" s="58" t="s">
        <v>241</v>
      </c>
      <c r="I953" s="58" t="s">
        <v>322</v>
      </c>
      <c r="J953" s="58" t="s">
        <v>1614</v>
      </c>
      <c r="K953" s="58"/>
      <c r="L953" s="58" t="s">
        <v>86</v>
      </c>
      <c r="M953" s="58"/>
      <c r="N953" s="58" t="s">
        <v>322</v>
      </c>
      <c r="O953" s="58"/>
      <c r="P953" s="63"/>
      <c r="Q953" s="63"/>
    </row>
    <row r="954" spans="2:17" ht="20.25" customHeight="1" x14ac:dyDescent="0.3">
      <c r="B954" s="59" t="s">
        <v>1042</v>
      </c>
      <c r="C954" s="59">
        <v>5008</v>
      </c>
      <c r="D954" s="62" t="str">
        <f t="shared" si="23"/>
        <v>PEUGEOT5008</v>
      </c>
      <c r="E954" s="59" t="s">
        <v>1073</v>
      </c>
      <c r="F954" s="60">
        <v>52000000</v>
      </c>
      <c r="G954" s="60">
        <v>1499</v>
      </c>
      <c r="H954" s="58" t="s">
        <v>250</v>
      </c>
      <c r="I954" s="58" t="s">
        <v>322</v>
      </c>
      <c r="J954" s="58" t="s">
        <v>1614</v>
      </c>
      <c r="K954" s="58"/>
      <c r="L954" s="58" t="s">
        <v>86</v>
      </c>
      <c r="M954" s="58"/>
      <c r="N954" s="58" t="s">
        <v>322</v>
      </c>
      <c r="O954" s="58"/>
      <c r="P954" s="63"/>
      <c r="Q954" s="63"/>
    </row>
    <row r="955" spans="2:17" ht="20.25" customHeight="1" x14ac:dyDescent="0.3">
      <c r="B955" s="59" t="s">
        <v>1042</v>
      </c>
      <c r="C955" s="59">
        <v>5008</v>
      </c>
      <c r="D955" s="62" t="str">
        <f t="shared" si="23"/>
        <v>PEUGEOT5008</v>
      </c>
      <c r="E955" s="59" t="s">
        <v>1074</v>
      </c>
      <c r="F955" s="60">
        <v>55000000</v>
      </c>
      <c r="G955" s="60">
        <v>1499</v>
      </c>
      <c r="H955" s="58" t="s">
        <v>250</v>
      </c>
      <c r="I955" s="58" t="s">
        <v>322</v>
      </c>
      <c r="J955" s="58" t="s">
        <v>1614</v>
      </c>
      <c r="K955" s="58"/>
      <c r="L955" s="58" t="s">
        <v>86</v>
      </c>
      <c r="M955" s="58"/>
      <c r="N955" s="58" t="s">
        <v>322</v>
      </c>
      <c r="O955" s="58"/>
      <c r="P955" s="63"/>
      <c r="Q955" s="63"/>
    </row>
    <row r="956" spans="2:17" ht="20.25" customHeight="1" x14ac:dyDescent="0.3">
      <c r="B956" s="59" t="s">
        <v>1042</v>
      </c>
      <c r="C956" s="59">
        <v>5008</v>
      </c>
      <c r="D956" s="62" t="str">
        <f t="shared" si="23"/>
        <v>PEUGEOT5008</v>
      </c>
      <c r="E956" s="59" t="s">
        <v>1075</v>
      </c>
      <c r="F956" s="60">
        <v>61000000</v>
      </c>
      <c r="G956" s="60">
        <v>1997</v>
      </c>
      <c r="H956" s="58" t="s">
        <v>250</v>
      </c>
      <c r="I956" s="58" t="s">
        <v>322</v>
      </c>
      <c r="J956" s="58" t="s">
        <v>1614</v>
      </c>
      <c r="K956" s="58"/>
      <c r="L956" s="58" t="s">
        <v>86</v>
      </c>
      <c r="M956" s="58"/>
      <c r="N956" s="58" t="s">
        <v>322</v>
      </c>
      <c r="O956" s="58"/>
      <c r="P956" s="63"/>
      <c r="Q956" s="63"/>
    </row>
    <row r="957" spans="2:17" ht="20.25" customHeight="1" x14ac:dyDescent="0.3">
      <c r="B957" s="59"/>
      <c r="C957" s="59"/>
      <c r="D957" s="62"/>
      <c r="E957" s="59"/>
      <c r="F957" s="60"/>
      <c r="G957" s="60"/>
      <c r="H957" s="58"/>
      <c r="I957" s="58"/>
      <c r="J957" s="58"/>
      <c r="K957" s="58"/>
      <c r="L957" s="58"/>
      <c r="M957" s="58"/>
      <c r="N957" s="58"/>
      <c r="O957" s="58"/>
      <c r="P957" s="63"/>
      <c r="Q957" s="63"/>
    </row>
    <row r="958" spans="2:17" ht="20.25" customHeight="1" x14ac:dyDescent="0.3">
      <c r="B958" s="59"/>
      <c r="C958" s="59"/>
      <c r="D958" s="62"/>
      <c r="E958" s="59"/>
      <c r="F958" s="60"/>
      <c r="G958" s="60"/>
      <c r="H958" s="58"/>
      <c r="I958" s="58"/>
      <c r="J958" s="58"/>
      <c r="K958" s="58"/>
      <c r="L958" s="58"/>
      <c r="M958" s="58"/>
      <c r="N958" s="58"/>
      <c r="O958" s="58"/>
      <c r="P958" s="63"/>
      <c r="Q958" s="63"/>
    </row>
    <row r="959" spans="2:17" ht="20.25" customHeight="1" x14ac:dyDescent="0.3">
      <c r="B959" s="59"/>
      <c r="C959" s="59"/>
      <c r="D959" s="62"/>
      <c r="E959" s="59"/>
      <c r="F959" s="60"/>
      <c r="G959" s="60"/>
      <c r="H959" s="58"/>
      <c r="I959" s="58"/>
      <c r="J959" s="58"/>
      <c r="K959" s="58"/>
      <c r="L959" s="58"/>
      <c r="M959" s="58"/>
      <c r="N959" s="58"/>
      <c r="O959" s="58"/>
      <c r="P959" s="63"/>
      <c r="Q959" s="63"/>
    </row>
    <row r="960" spans="2:17" ht="20.25" customHeight="1" x14ac:dyDescent="0.3">
      <c r="B960" s="59"/>
      <c r="C960" s="59"/>
      <c r="D960" s="62" t="str">
        <f t="shared" si="23"/>
        <v/>
      </c>
      <c r="E960" s="59"/>
      <c r="F960" s="60"/>
      <c r="G960" s="60"/>
      <c r="H960" s="58"/>
      <c r="I960" s="58"/>
      <c r="J960" s="58"/>
      <c r="K960" s="58"/>
      <c r="L960" s="58"/>
      <c r="M960" s="58"/>
      <c r="N960" s="58"/>
      <c r="O960" s="58"/>
      <c r="P960" s="63"/>
      <c r="Q960" s="63"/>
    </row>
    <row r="961" spans="1:17" ht="20.25" customHeight="1" x14ac:dyDescent="0.3">
      <c r="A961" s="50" t="s">
        <v>1076</v>
      </c>
      <c r="B961" s="59" t="s">
        <v>1077</v>
      </c>
      <c r="C961" s="59" t="s">
        <v>148</v>
      </c>
      <c r="D961" s="62" t="str">
        <f t="shared" si="23"/>
        <v>PORSCHE718</v>
      </c>
      <c r="E961" s="59" t="s">
        <v>1078</v>
      </c>
      <c r="F961" s="60">
        <v>91600000</v>
      </c>
      <c r="G961" s="60">
        <v>1988</v>
      </c>
      <c r="H961" s="58" t="s">
        <v>241</v>
      </c>
      <c r="I961" s="58" t="s">
        <v>242</v>
      </c>
      <c r="J961" s="58" t="s">
        <v>1611</v>
      </c>
      <c r="K961" s="58" t="s">
        <v>470</v>
      </c>
      <c r="L961" s="58"/>
      <c r="M961" s="58" t="s">
        <v>331</v>
      </c>
      <c r="N961" s="58" t="s">
        <v>242</v>
      </c>
      <c r="O961" s="58"/>
      <c r="P961" s="63"/>
      <c r="Q961" s="63"/>
    </row>
    <row r="962" spans="1:17" ht="20.25" customHeight="1" x14ac:dyDescent="0.3">
      <c r="B962" s="59" t="s">
        <v>1077</v>
      </c>
      <c r="C962" s="59" t="s">
        <v>148</v>
      </c>
      <c r="D962" s="62" t="str">
        <f t="shared" si="23"/>
        <v>PORSCHE718</v>
      </c>
      <c r="E962" s="59" t="s">
        <v>1079</v>
      </c>
      <c r="F962" s="60">
        <v>103500000</v>
      </c>
      <c r="G962" s="60">
        <v>2497</v>
      </c>
      <c r="H962" s="58" t="s">
        <v>241</v>
      </c>
      <c r="I962" s="58" t="s">
        <v>242</v>
      </c>
      <c r="J962" s="58" t="s">
        <v>1611</v>
      </c>
      <c r="K962" s="58" t="s">
        <v>470</v>
      </c>
      <c r="L962" s="58"/>
      <c r="M962" s="58" t="s">
        <v>331</v>
      </c>
      <c r="N962" s="58" t="s">
        <v>242</v>
      </c>
      <c r="O962" s="58"/>
      <c r="P962" s="63"/>
      <c r="Q962" s="63"/>
    </row>
    <row r="963" spans="1:17" ht="20.25" customHeight="1" x14ac:dyDescent="0.3">
      <c r="B963" s="59" t="s">
        <v>1077</v>
      </c>
      <c r="C963" s="59" t="s">
        <v>148</v>
      </c>
      <c r="D963" s="62" t="str">
        <f t="shared" si="23"/>
        <v>PORSCHE718</v>
      </c>
      <c r="E963" s="59" t="s">
        <v>1080</v>
      </c>
      <c r="F963" s="60">
        <v>130500000</v>
      </c>
      <c r="G963" s="60">
        <v>3995</v>
      </c>
      <c r="H963" s="58" t="s">
        <v>241</v>
      </c>
      <c r="I963" s="58" t="s">
        <v>242</v>
      </c>
      <c r="J963" s="58" t="s">
        <v>1611</v>
      </c>
      <c r="K963" s="58" t="s">
        <v>470</v>
      </c>
      <c r="L963" s="58"/>
      <c r="M963" s="58" t="s">
        <v>331</v>
      </c>
      <c r="N963" s="58" t="s">
        <v>242</v>
      </c>
      <c r="O963" s="58"/>
      <c r="P963" s="63"/>
      <c r="Q963" s="63"/>
    </row>
    <row r="964" spans="1:17" ht="20.25" customHeight="1" x14ac:dyDescent="0.3">
      <c r="B964" s="59" t="s">
        <v>1077</v>
      </c>
      <c r="C964" s="59" t="s">
        <v>148</v>
      </c>
      <c r="D964" s="62" t="str">
        <f t="shared" ref="D964:D1026" si="26">+B964&amp;C964</f>
        <v>PORSCHE718</v>
      </c>
      <c r="E964" s="59" t="s">
        <v>1081</v>
      </c>
      <c r="F964" s="60">
        <v>138700000</v>
      </c>
      <c r="G964" s="60">
        <v>3995</v>
      </c>
      <c r="H964" s="58" t="s">
        <v>241</v>
      </c>
      <c r="I964" s="58" t="s">
        <v>242</v>
      </c>
      <c r="J964" s="58" t="s">
        <v>1611</v>
      </c>
      <c r="K964" s="58" t="s">
        <v>470</v>
      </c>
      <c r="L964" s="58"/>
      <c r="M964" s="58" t="s">
        <v>331</v>
      </c>
      <c r="N964" s="58" t="s">
        <v>242</v>
      </c>
      <c r="O964" s="58"/>
      <c r="P964" s="63"/>
      <c r="Q964" s="63"/>
    </row>
    <row r="965" spans="1:17" ht="20.25" customHeight="1" x14ac:dyDescent="0.3">
      <c r="B965" s="59" t="s">
        <v>1077</v>
      </c>
      <c r="C965" s="59" t="s">
        <v>148</v>
      </c>
      <c r="D965" s="62" t="str">
        <f t="shared" si="26"/>
        <v>PORSCHE718</v>
      </c>
      <c r="E965" s="59" t="s">
        <v>1082</v>
      </c>
      <c r="F965" s="60">
        <v>96300000</v>
      </c>
      <c r="G965" s="60">
        <v>1988</v>
      </c>
      <c r="H965" s="58" t="s">
        <v>241</v>
      </c>
      <c r="I965" s="58" t="s">
        <v>242</v>
      </c>
      <c r="J965" s="58" t="s">
        <v>1611</v>
      </c>
      <c r="K965" s="58" t="s">
        <v>343</v>
      </c>
      <c r="L965" s="58"/>
      <c r="M965" s="58" t="s">
        <v>331</v>
      </c>
      <c r="N965" s="58" t="s">
        <v>242</v>
      </c>
      <c r="O965" s="58"/>
      <c r="P965" s="63"/>
      <c r="Q965" s="63"/>
    </row>
    <row r="966" spans="1:17" ht="20.25" customHeight="1" x14ac:dyDescent="0.3">
      <c r="B966" s="59" t="s">
        <v>1077</v>
      </c>
      <c r="C966" s="59" t="s">
        <v>148</v>
      </c>
      <c r="D966" s="62" t="str">
        <f t="shared" si="26"/>
        <v>PORSCHE718</v>
      </c>
      <c r="E966" s="59" t="s">
        <v>1083</v>
      </c>
      <c r="F966" s="60">
        <v>108200000</v>
      </c>
      <c r="G966" s="60">
        <v>2497</v>
      </c>
      <c r="H966" s="58" t="s">
        <v>241</v>
      </c>
      <c r="I966" s="58" t="s">
        <v>242</v>
      </c>
      <c r="J966" s="58" t="s">
        <v>1611</v>
      </c>
      <c r="K966" s="58" t="s">
        <v>343</v>
      </c>
      <c r="L966" s="58"/>
      <c r="M966" s="58" t="s">
        <v>331</v>
      </c>
      <c r="N966" s="58" t="s">
        <v>242</v>
      </c>
      <c r="O966" s="58"/>
      <c r="P966" s="63"/>
      <c r="Q966" s="63"/>
    </row>
    <row r="967" spans="1:17" ht="20.25" customHeight="1" x14ac:dyDescent="0.3">
      <c r="B967" s="59" t="s">
        <v>1077</v>
      </c>
      <c r="C967" s="59" t="s">
        <v>148</v>
      </c>
      <c r="D967" s="62" t="str">
        <f t="shared" si="26"/>
        <v>PORSCHE718</v>
      </c>
      <c r="E967" s="59" t="s">
        <v>1084</v>
      </c>
      <c r="F967" s="60">
        <v>135300000</v>
      </c>
      <c r="G967" s="60">
        <v>3995</v>
      </c>
      <c r="H967" s="58" t="s">
        <v>241</v>
      </c>
      <c r="I967" s="58" t="s">
        <v>242</v>
      </c>
      <c r="J967" s="58" t="s">
        <v>1611</v>
      </c>
      <c r="K967" s="58" t="s">
        <v>343</v>
      </c>
      <c r="L967" s="58"/>
      <c r="M967" s="58" t="s">
        <v>331</v>
      </c>
      <c r="N967" s="58" t="s">
        <v>242</v>
      </c>
      <c r="O967" s="58"/>
      <c r="P967" s="63"/>
      <c r="Q967" s="63"/>
    </row>
    <row r="968" spans="1:17" ht="20.25" customHeight="1" x14ac:dyDescent="0.3">
      <c r="B968" s="59" t="s">
        <v>1077</v>
      </c>
      <c r="C968" s="59" t="s">
        <v>149</v>
      </c>
      <c r="D968" s="62" t="str">
        <f t="shared" si="26"/>
        <v>PORSCHE911</v>
      </c>
      <c r="E968" s="59" t="s">
        <v>1085</v>
      </c>
      <c r="F968" s="60">
        <v>171100000</v>
      </c>
      <c r="G968" s="60">
        <v>2981</v>
      </c>
      <c r="H968" s="58" t="s">
        <v>241</v>
      </c>
      <c r="I968" s="58" t="s">
        <v>242</v>
      </c>
      <c r="J968" s="58" t="s">
        <v>1612</v>
      </c>
      <c r="K968" s="58" t="s">
        <v>343</v>
      </c>
      <c r="L968" s="58"/>
      <c r="M968" s="58" t="s">
        <v>331</v>
      </c>
      <c r="N968" s="58" t="s">
        <v>242</v>
      </c>
      <c r="O968" s="58"/>
      <c r="P968" s="63"/>
      <c r="Q968" s="63"/>
    </row>
    <row r="969" spans="1:17" ht="20.25" customHeight="1" x14ac:dyDescent="0.3">
      <c r="B969" s="59" t="s">
        <v>1077</v>
      </c>
      <c r="C969" s="59" t="s">
        <v>149</v>
      </c>
      <c r="D969" s="62" t="str">
        <f t="shared" si="26"/>
        <v>PORSCHE911</v>
      </c>
      <c r="E969" s="59" t="s">
        <v>1086</v>
      </c>
      <c r="F969" s="60">
        <v>180300000</v>
      </c>
      <c r="G969" s="60">
        <v>2981</v>
      </c>
      <c r="H969" s="58" t="s">
        <v>241</v>
      </c>
      <c r="I969" s="58" t="s">
        <v>242</v>
      </c>
      <c r="J969" s="58" t="s">
        <v>1612</v>
      </c>
      <c r="K969" s="58" t="s">
        <v>343</v>
      </c>
      <c r="L969" s="58"/>
      <c r="M969" s="58" t="s">
        <v>331</v>
      </c>
      <c r="N969" s="58" t="s">
        <v>242</v>
      </c>
      <c r="O969" s="58"/>
      <c r="P969" s="63"/>
      <c r="Q969" s="63"/>
    </row>
    <row r="970" spans="1:17" ht="20.25" customHeight="1" x14ac:dyDescent="0.3">
      <c r="B970" s="59" t="s">
        <v>1077</v>
      </c>
      <c r="C970" s="59" t="s">
        <v>149</v>
      </c>
      <c r="D970" s="62" t="str">
        <f t="shared" si="26"/>
        <v>PORSCHE911</v>
      </c>
      <c r="E970" s="59" t="s">
        <v>1087</v>
      </c>
      <c r="F970" s="60">
        <v>188500000</v>
      </c>
      <c r="G970" s="60">
        <v>2981</v>
      </c>
      <c r="H970" s="58" t="s">
        <v>241</v>
      </c>
      <c r="I970" s="58" t="s">
        <v>242</v>
      </c>
      <c r="J970" s="58" t="s">
        <v>1612</v>
      </c>
      <c r="K970" s="58" t="s">
        <v>343</v>
      </c>
      <c r="L970" s="58"/>
      <c r="M970" s="58" t="s">
        <v>331</v>
      </c>
      <c r="N970" s="58" t="s">
        <v>242</v>
      </c>
      <c r="O970" s="58"/>
      <c r="P970" s="63"/>
      <c r="Q970" s="63"/>
    </row>
    <row r="971" spans="1:17" ht="20.25" customHeight="1" x14ac:dyDescent="0.3">
      <c r="B971" s="59" t="s">
        <v>1077</v>
      </c>
      <c r="C971" s="59" t="s">
        <v>149</v>
      </c>
      <c r="D971" s="62" t="str">
        <f t="shared" si="26"/>
        <v>PORSCHE911</v>
      </c>
      <c r="E971" s="59" t="s">
        <v>1088</v>
      </c>
      <c r="F971" s="60">
        <v>197700000</v>
      </c>
      <c r="G971" s="60">
        <v>2981</v>
      </c>
      <c r="H971" s="58" t="s">
        <v>241</v>
      </c>
      <c r="I971" s="58" t="s">
        <v>242</v>
      </c>
      <c r="J971" s="58" t="s">
        <v>1612</v>
      </c>
      <c r="K971" s="58" t="s">
        <v>343</v>
      </c>
      <c r="L971" s="58"/>
      <c r="M971" s="58" t="s">
        <v>331</v>
      </c>
      <c r="N971" s="58" t="s">
        <v>242</v>
      </c>
      <c r="O971" s="58"/>
      <c r="P971" s="63"/>
      <c r="Q971" s="63"/>
    </row>
    <row r="972" spans="1:17" ht="20.25" customHeight="1" x14ac:dyDescent="0.3">
      <c r="B972" s="59" t="s">
        <v>1077</v>
      </c>
      <c r="C972" s="59" t="s">
        <v>149</v>
      </c>
      <c r="D972" s="62" t="str">
        <f t="shared" si="26"/>
        <v>PORSCHE911</v>
      </c>
      <c r="E972" s="59" t="s">
        <v>1089</v>
      </c>
      <c r="F972" s="60">
        <v>216900000</v>
      </c>
      <c r="G972" s="60">
        <v>2981</v>
      </c>
      <c r="H972" s="58" t="s">
        <v>241</v>
      </c>
      <c r="I972" s="58" t="s">
        <v>242</v>
      </c>
      <c r="J972" s="58" t="s">
        <v>1612</v>
      </c>
      <c r="K972" s="58" t="s">
        <v>470</v>
      </c>
      <c r="L972" s="58"/>
      <c r="M972" s="58" t="s">
        <v>1779</v>
      </c>
      <c r="N972" s="58" t="s">
        <v>242</v>
      </c>
      <c r="O972" s="58"/>
      <c r="P972" s="63"/>
      <c r="Q972" s="63"/>
    </row>
    <row r="973" spans="1:17" ht="20.25" customHeight="1" x14ac:dyDescent="0.3">
      <c r="B973" s="59" t="s">
        <v>1077</v>
      </c>
      <c r="C973" s="59" t="s">
        <v>149</v>
      </c>
      <c r="D973" s="62" t="str">
        <f t="shared" si="26"/>
        <v>PORSCHE911</v>
      </c>
      <c r="E973" s="59" t="s">
        <v>1090</v>
      </c>
      <c r="F973" s="60">
        <v>226100000</v>
      </c>
      <c r="G973" s="60">
        <v>2981</v>
      </c>
      <c r="H973" s="58" t="s">
        <v>241</v>
      </c>
      <c r="I973" s="58" t="s">
        <v>242</v>
      </c>
      <c r="J973" s="58" t="s">
        <v>1612</v>
      </c>
      <c r="K973" s="58" t="s">
        <v>470</v>
      </c>
      <c r="L973" s="58"/>
      <c r="M973" s="58" t="s">
        <v>1779</v>
      </c>
      <c r="N973" s="58" t="s">
        <v>242</v>
      </c>
      <c r="O973" s="58"/>
      <c r="P973" s="63"/>
      <c r="Q973" s="63"/>
    </row>
    <row r="974" spans="1:17" ht="20.25" customHeight="1" x14ac:dyDescent="0.3">
      <c r="B974" s="59" t="s">
        <v>1077</v>
      </c>
      <c r="C974" s="59" t="s">
        <v>149</v>
      </c>
      <c r="D974" s="62" t="str">
        <f t="shared" si="26"/>
        <v>PORSCHE911</v>
      </c>
      <c r="E974" s="59" t="s">
        <v>1091</v>
      </c>
      <c r="F974" s="60">
        <v>187000000</v>
      </c>
      <c r="G974" s="60">
        <v>2981</v>
      </c>
      <c r="H974" s="58" t="s">
        <v>241</v>
      </c>
      <c r="I974" s="58" t="s">
        <v>242</v>
      </c>
      <c r="J974" s="58" t="s">
        <v>1612</v>
      </c>
      <c r="K974" s="58" t="s">
        <v>343</v>
      </c>
      <c r="L974" s="58"/>
      <c r="M974" s="58" t="s">
        <v>331</v>
      </c>
      <c r="N974" s="58" t="s">
        <v>242</v>
      </c>
      <c r="O974" s="58"/>
      <c r="P974" s="63"/>
      <c r="Q974" s="63"/>
    </row>
    <row r="975" spans="1:17" ht="20.25" customHeight="1" x14ac:dyDescent="0.3">
      <c r="B975" s="59" t="s">
        <v>1077</v>
      </c>
      <c r="C975" s="59" t="s">
        <v>149</v>
      </c>
      <c r="D975" s="62" t="str">
        <f t="shared" si="26"/>
        <v>PORSCHE911</v>
      </c>
      <c r="E975" s="59" t="s">
        <v>1092</v>
      </c>
      <c r="F975" s="60">
        <v>196200000</v>
      </c>
      <c r="G975" s="60">
        <v>2981</v>
      </c>
      <c r="H975" s="58" t="s">
        <v>241</v>
      </c>
      <c r="I975" s="58" t="s">
        <v>242</v>
      </c>
      <c r="J975" s="58" t="s">
        <v>1612</v>
      </c>
      <c r="K975" s="58" t="s">
        <v>343</v>
      </c>
      <c r="L975" s="58"/>
      <c r="M975" s="58" t="s">
        <v>331</v>
      </c>
      <c r="N975" s="58" t="s">
        <v>242</v>
      </c>
      <c r="O975" s="58"/>
      <c r="P975" s="63"/>
      <c r="Q975" s="63"/>
    </row>
    <row r="976" spans="1:17" ht="20.25" customHeight="1" x14ac:dyDescent="0.3">
      <c r="B976" s="59" t="s">
        <v>1077</v>
      </c>
      <c r="C976" s="59" t="s">
        <v>149</v>
      </c>
      <c r="D976" s="62" t="str">
        <f t="shared" si="26"/>
        <v>PORSCHE911</v>
      </c>
      <c r="E976" s="59" t="s">
        <v>1093</v>
      </c>
      <c r="F976" s="60">
        <v>204300000</v>
      </c>
      <c r="G976" s="60">
        <v>2981</v>
      </c>
      <c r="H976" s="58" t="s">
        <v>241</v>
      </c>
      <c r="I976" s="58" t="s">
        <v>242</v>
      </c>
      <c r="J976" s="58" t="s">
        <v>1612</v>
      </c>
      <c r="K976" s="58" t="s">
        <v>343</v>
      </c>
      <c r="L976" s="58"/>
      <c r="M976" s="58" t="s">
        <v>331</v>
      </c>
      <c r="N976" s="58" t="s">
        <v>242</v>
      </c>
      <c r="O976" s="58"/>
      <c r="P976" s="63"/>
      <c r="Q976" s="63"/>
    </row>
    <row r="977" spans="2:17" ht="20.25" customHeight="1" x14ac:dyDescent="0.3">
      <c r="B977" s="59" t="s">
        <v>1077</v>
      </c>
      <c r="C977" s="59" t="s">
        <v>149</v>
      </c>
      <c r="D977" s="62" t="str">
        <f t="shared" si="26"/>
        <v>PORSCHE911</v>
      </c>
      <c r="E977" s="59" t="s">
        <v>1094</v>
      </c>
      <c r="F977" s="60">
        <v>212900000</v>
      </c>
      <c r="G977" s="60">
        <v>2981</v>
      </c>
      <c r="H977" s="58" t="s">
        <v>241</v>
      </c>
      <c r="I977" s="58" t="s">
        <v>242</v>
      </c>
      <c r="J977" s="58" t="s">
        <v>1612</v>
      </c>
      <c r="K977" s="58" t="s">
        <v>343</v>
      </c>
      <c r="L977" s="58"/>
      <c r="M977" s="58" t="s">
        <v>331</v>
      </c>
      <c r="N977" s="58" t="s">
        <v>242</v>
      </c>
      <c r="O977" s="58"/>
      <c r="P977" s="63"/>
      <c r="Q977" s="63"/>
    </row>
    <row r="978" spans="2:17" ht="20.25" customHeight="1" x14ac:dyDescent="0.3">
      <c r="B978" s="59" t="s">
        <v>1077</v>
      </c>
      <c r="C978" s="59" t="s">
        <v>149</v>
      </c>
      <c r="D978" s="62" t="str">
        <f t="shared" si="26"/>
        <v>PORSCHE911</v>
      </c>
      <c r="E978" s="59" t="s">
        <v>1095</v>
      </c>
      <c r="F978" s="60">
        <v>232700000</v>
      </c>
      <c r="G978" s="60">
        <v>2981</v>
      </c>
      <c r="H978" s="58" t="s">
        <v>241</v>
      </c>
      <c r="I978" s="58" t="s">
        <v>242</v>
      </c>
      <c r="J978" s="58" t="s">
        <v>1612</v>
      </c>
      <c r="K978" s="58" t="s">
        <v>470</v>
      </c>
      <c r="L978" s="58"/>
      <c r="M978" s="58" t="s">
        <v>1779</v>
      </c>
      <c r="N978" s="58" t="s">
        <v>242</v>
      </c>
      <c r="O978" s="58"/>
      <c r="P978" s="63"/>
      <c r="Q978" s="63"/>
    </row>
    <row r="979" spans="2:17" ht="20.25" customHeight="1" x14ac:dyDescent="0.3">
      <c r="B979" s="59" t="s">
        <v>1077</v>
      </c>
      <c r="C979" s="59" t="s">
        <v>149</v>
      </c>
      <c r="D979" s="62" t="str">
        <f t="shared" si="26"/>
        <v>PORSCHE911</v>
      </c>
      <c r="E979" s="59" t="s">
        <v>1096</v>
      </c>
      <c r="F979" s="60">
        <v>241900000</v>
      </c>
      <c r="G979" s="60">
        <v>2981</v>
      </c>
      <c r="H979" s="58" t="s">
        <v>241</v>
      </c>
      <c r="I979" s="58" t="s">
        <v>242</v>
      </c>
      <c r="J979" s="58" t="s">
        <v>1612</v>
      </c>
      <c r="K979" s="58" t="s">
        <v>470</v>
      </c>
      <c r="L979" s="58"/>
      <c r="M979" s="58" t="s">
        <v>1779</v>
      </c>
      <c r="N979" s="58" t="s">
        <v>242</v>
      </c>
      <c r="O979" s="58"/>
      <c r="P979" s="63"/>
      <c r="Q979" s="63"/>
    </row>
    <row r="980" spans="2:17" ht="20.25" customHeight="1" x14ac:dyDescent="0.3">
      <c r="B980" s="59" t="s">
        <v>1077</v>
      </c>
      <c r="C980" s="59" t="s">
        <v>149</v>
      </c>
      <c r="D980" s="62" t="str">
        <f t="shared" si="26"/>
        <v>PORSCHE911</v>
      </c>
      <c r="E980" s="59" t="s">
        <v>1097</v>
      </c>
      <c r="F980" s="60">
        <v>196200000</v>
      </c>
      <c r="G980" s="60">
        <v>2981</v>
      </c>
      <c r="H980" s="58" t="s">
        <v>241</v>
      </c>
      <c r="I980" s="58" t="s">
        <v>242</v>
      </c>
      <c r="J980" s="58" t="s">
        <v>1612</v>
      </c>
      <c r="K980" s="58" t="s">
        <v>343</v>
      </c>
      <c r="L980" s="58"/>
      <c r="M980" s="58" t="s">
        <v>331</v>
      </c>
      <c r="N980" s="58" t="s">
        <v>242</v>
      </c>
      <c r="O980" s="58"/>
      <c r="P980" s="63"/>
      <c r="Q980" s="63"/>
    </row>
    <row r="981" spans="2:17" ht="20.25" customHeight="1" x14ac:dyDescent="0.3">
      <c r="B981" s="59" t="s">
        <v>1077</v>
      </c>
      <c r="C981" s="59" t="s">
        <v>149</v>
      </c>
      <c r="D981" s="62" t="str">
        <f t="shared" si="26"/>
        <v>PORSCHE911</v>
      </c>
      <c r="E981" s="59" t="s">
        <v>1098</v>
      </c>
      <c r="F981" s="60">
        <v>213500000</v>
      </c>
      <c r="G981" s="60">
        <v>2981</v>
      </c>
      <c r="H981" s="58" t="s">
        <v>241</v>
      </c>
      <c r="I981" s="58" t="s">
        <v>242</v>
      </c>
      <c r="J981" s="58" t="s">
        <v>1612</v>
      </c>
      <c r="K981" s="58" t="s">
        <v>343</v>
      </c>
      <c r="L981" s="58"/>
      <c r="M981" s="58" t="s">
        <v>331</v>
      </c>
      <c r="N981" s="58" t="s">
        <v>242</v>
      </c>
      <c r="O981" s="58"/>
      <c r="P981" s="63"/>
      <c r="Q981" s="63"/>
    </row>
    <row r="982" spans="2:17" ht="20.25" customHeight="1" x14ac:dyDescent="0.3">
      <c r="B982" s="59" t="s">
        <v>1077</v>
      </c>
      <c r="C982" s="59" t="s">
        <v>149</v>
      </c>
      <c r="D982" s="62" t="str">
        <f t="shared" si="26"/>
        <v>PORSCHE911</v>
      </c>
      <c r="E982" s="59" t="s">
        <v>1099</v>
      </c>
      <c r="F982" s="60">
        <v>241900000</v>
      </c>
      <c r="G982" s="60">
        <v>2981</v>
      </c>
      <c r="H982" s="58" t="s">
        <v>241</v>
      </c>
      <c r="I982" s="58" t="s">
        <v>242</v>
      </c>
      <c r="J982" s="58" t="s">
        <v>1612</v>
      </c>
      <c r="K982" s="58" t="s">
        <v>470</v>
      </c>
      <c r="L982" s="58"/>
      <c r="M982" s="58" t="s">
        <v>1779</v>
      </c>
      <c r="N982" s="58" t="s">
        <v>242</v>
      </c>
      <c r="O982" s="58"/>
      <c r="P982" s="63"/>
      <c r="Q982" s="63"/>
    </row>
    <row r="983" spans="2:17" ht="20.25" customHeight="1" x14ac:dyDescent="0.3">
      <c r="B983" s="59" t="s">
        <v>1077</v>
      </c>
      <c r="C983" s="59" t="s">
        <v>149</v>
      </c>
      <c r="D983" s="62" t="str">
        <f t="shared" si="26"/>
        <v>PORSCHE911</v>
      </c>
      <c r="E983" s="59" t="s">
        <v>1100</v>
      </c>
      <c r="F983" s="60">
        <v>310400000</v>
      </c>
      <c r="G983" s="60">
        <v>3745</v>
      </c>
      <c r="H983" s="58" t="s">
        <v>241</v>
      </c>
      <c r="I983" s="58" t="s">
        <v>242</v>
      </c>
      <c r="J983" s="58" t="s">
        <v>1612</v>
      </c>
      <c r="K983" s="58" t="s">
        <v>470</v>
      </c>
      <c r="L983" s="58"/>
      <c r="M983" s="58" t="s">
        <v>432</v>
      </c>
      <c r="N983" s="58" t="s">
        <v>242</v>
      </c>
      <c r="O983" s="58"/>
      <c r="P983" s="63"/>
      <c r="Q983" s="63"/>
    </row>
    <row r="984" spans="2:17" ht="20.25" customHeight="1" x14ac:dyDescent="0.3">
      <c r="B984" s="59" t="s">
        <v>1077</v>
      </c>
      <c r="C984" s="59" t="s">
        <v>149</v>
      </c>
      <c r="D984" s="62" t="str">
        <f t="shared" si="26"/>
        <v>PORSCHE911</v>
      </c>
      <c r="E984" s="59" t="s">
        <v>1101</v>
      </c>
      <c r="F984" s="60">
        <v>326000000</v>
      </c>
      <c r="G984" s="60">
        <v>3745</v>
      </c>
      <c r="H984" s="58" t="s">
        <v>241</v>
      </c>
      <c r="I984" s="58" t="s">
        <v>242</v>
      </c>
      <c r="J984" s="58" t="s">
        <v>1612</v>
      </c>
      <c r="K984" s="58" t="s">
        <v>470</v>
      </c>
      <c r="L984" s="58"/>
      <c r="M984" s="58" t="s">
        <v>432</v>
      </c>
      <c r="N984" s="58" t="s">
        <v>242</v>
      </c>
      <c r="O984" s="58"/>
      <c r="P984" s="63"/>
      <c r="Q984" s="63"/>
    </row>
    <row r="985" spans="2:17" ht="20.25" customHeight="1" x14ac:dyDescent="0.3">
      <c r="B985" s="59" t="s">
        <v>1077</v>
      </c>
      <c r="C985" s="59" t="s">
        <v>149</v>
      </c>
      <c r="D985" s="62" t="str">
        <f t="shared" si="26"/>
        <v>PORSCHE911</v>
      </c>
      <c r="E985" s="59" t="s">
        <v>1102</v>
      </c>
      <c r="F985" s="60">
        <v>251600000</v>
      </c>
      <c r="G985" s="60">
        <v>3996</v>
      </c>
      <c r="H985" s="58" t="s">
        <v>241</v>
      </c>
      <c r="I985" s="58" t="s">
        <v>242</v>
      </c>
      <c r="J985" s="58" t="s">
        <v>1612</v>
      </c>
      <c r="K985" s="58" t="s">
        <v>470</v>
      </c>
      <c r="L985" s="58"/>
      <c r="M985" s="58" t="s">
        <v>1779</v>
      </c>
      <c r="N985" s="58" t="s">
        <v>242</v>
      </c>
      <c r="O985" s="58"/>
      <c r="P985" s="63"/>
      <c r="Q985" s="63"/>
    </row>
    <row r="986" spans="2:17" ht="20.25" customHeight="1" x14ac:dyDescent="0.3">
      <c r="B986" s="59" t="s">
        <v>1077</v>
      </c>
      <c r="C986" s="59" t="s">
        <v>150</v>
      </c>
      <c r="D986" s="62" t="str">
        <f t="shared" si="26"/>
        <v>PORSCHEPanamera</v>
      </c>
      <c r="E986" s="59" t="s">
        <v>1103</v>
      </c>
      <c r="F986" s="60">
        <v>150300000</v>
      </c>
      <c r="G986" s="60">
        <v>2894</v>
      </c>
      <c r="H986" s="58" t="s">
        <v>241</v>
      </c>
      <c r="I986" s="58" t="s">
        <v>242</v>
      </c>
      <c r="J986" s="58" t="s">
        <v>1610</v>
      </c>
      <c r="K986" s="58" t="s">
        <v>646</v>
      </c>
      <c r="L986" s="58"/>
      <c r="M986" s="58" t="s">
        <v>1104</v>
      </c>
      <c r="N986" s="58" t="s">
        <v>242</v>
      </c>
      <c r="O986" s="58"/>
      <c r="P986" s="63"/>
      <c r="Q986" s="63"/>
    </row>
    <row r="987" spans="2:17" ht="20.25" customHeight="1" x14ac:dyDescent="0.3">
      <c r="B987" s="59" t="s">
        <v>1077</v>
      </c>
      <c r="C987" s="59" t="s">
        <v>150</v>
      </c>
      <c r="D987" s="62" t="str">
        <f t="shared" si="26"/>
        <v>PORSCHEPanamera</v>
      </c>
      <c r="E987" s="59" t="s">
        <v>1105</v>
      </c>
      <c r="F987" s="60">
        <v>158800000</v>
      </c>
      <c r="G987" s="60">
        <v>2894</v>
      </c>
      <c r="H987" s="58" t="s">
        <v>241</v>
      </c>
      <c r="I987" s="58" t="s">
        <v>242</v>
      </c>
      <c r="J987" s="58" t="s">
        <v>1610</v>
      </c>
      <c r="K987" s="58" t="s">
        <v>646</v>
      </c>
      <c r="L987" s="58"/>
      <c r="M987" s="58" t="s">
        <v>1104</v>
      </c>
      <c r="N987" s="58" t="s">
        <v>242</v>
      </c>
      <c r="O987" s="58"/>
      <c r="P987" s="63"/>
      <c r="Q987" s="63"/>
    </row>
    <row r="988" spans="2:17" ht="20.25" customHeight="1" x14ac:dyDescent="0.3">
      <c r="B988" s="59" t="s">
        <v>1077</v>
      </c>
      <c r="C988" s="59" t="s">
        <v>150</v>
      </c>
      <c r="D988" s="62" t="str">
        <f t="shared" si="26"/>
        <v>PORSCHEPanamera</v>
      </c>
      <c r="E988" s="59" t="s">
        <v>1106</v>
      </c>
      <c r="F988" s="60">
        <v>166800000</v>
      </c>
      <c r="G988" s="60">
        <v>2894</v>
      </c>
      <c r="H988" s="58" t="s">
        <v>241</v>
      </c>
      <c r="I988" s="58" t="s">
        <v>242</v>
      </c>
      <c r="J988" s="58" t="s">
        <v>1610</v>
      </c>
      <c r="K988" s="58" t="s">
        <v>646</v>
      </c>
      <c r="L988" s="58"/>
      <c r="M988" s="58" t="s">
        <v>1104</v>
      </c>
      <c r="N988" s="58" t="s">
        <v>242</v>
      </c>
      <c r="O988" s="58"/>
      <c r="P988" s="63"/>
      <c r="Q988" s="63"/>
    </row>
    <row r="989" spans="2:17" ht="20.25" customHeight="1" x14ac:dyDescent="0.3">
      <c r="B989" s="59" t="s">
        <v>1077</v>
      </c>
      <c r="C989" s="59" t="s">
        <v>150</v>
      </c>
      <c r="D989" s="62" t="str">
        <f t="shared" si="26"/>
        <v>PORSCHEPanamera</v>
      </c>
      <c r="E989" s="59" t="s">
        <v>1107</v>
      </c>
      <c r="F989" s="60">
        <v>308100000</v>
      </c>
      <c r="G989" s="60">
        <v>3996</v>
      </c>
      <c r="H989" s="58" t="s">
        <v>241</v>
      </c>
      <c r="I989" s="58" t="s">
        <v>242</v>
      </c>
      <c r="J989" s="58" t="s">
        <v>1610</v>
      </c>
      <c r="K989" s="58" t="s">
        <v>470</v>
      </c>
      <c r="L989" s="58"/>
      <c r="M989" s="58" t="s">
        <v>1780</v>
      </c>
      <c r="N989" s="58" t="s">
        <v>242</v>
      </c>
      <c r="O989" s="58"/>
      <c r="P989" s="63"/>
      <c r="Q989" s="63"/>
    </row>
    <row r="990" spans="2:17" ht="20.25" customHeight="1" x14ac:dyDescent="0.3">
      <c r="B990" s="59" t="s">
        <v>1077</v>
      </c>
      <c r="C990" s="59" t="s">
        <v>150</v>
      </c>
      <c r="D990" s="62" t="str">
        <f t="shared" si="26"/>
        <v>PORSCHEPanamera</v>
      </c>
      <c r="E990" s="59" t="s">
        <v>1108</v>
      </c>
      <c r="F990" s="60">
        <v>221200000</v>
      </c>
      <c r="G990" s="60">
        <v>3996</v>
      </c>
      <c r="H990" s="58" t="s">
        <v>241</v>
      </c>
      <c r="I990" s="58" t="s">
        <v>242</v>
      </c>
      <c r="J990" s="58" t="s">
        <v>1610</v>
      </c>
      <c r="K990" s="58" t="s">
        <v>470</v>
      </c>
      <c r="L990" s="58"/>
      <c r="M990" s="58" t="s">
        <v>1781</v>
      </c>
      <c r="N990" s="58" t="s">
        <v>242</v>
      </c>
      <c r="O990" s="58"/>
      <c r="P990" s="63"/>
      <c r="Q990" s="63"/>
    </row>
    <row r="991" spans="2:17" ht="20.25" customHeight="1" x14ac:dyDescent="0.3">
      <c r="B991" s="59" t="s">
        <v>1077</v>
      </c>
      <c r="C991" s="59" t="s">
        <v>150</v>
      </c>
      <c r="D991" s="62" t="str">
        <f t="shared" si="26"/>
        <v>PORSCHEPanamera</v>
      </c>
      <c r="E991" s="59" t="s">
        <v>1109</v>
      </c>
      <c r="F991" s="60">
        <v>173600000</v>
      </c>
      <c r="G991" s="60">
        <v>2894</v>
      </c>
      <c r="H991" s="58" t="s">
        <v>241</v>
      </c>
      <c r="I991" s="58" t="s">
        <v>283</v>
      </c>
      <c r="J991" s="58" t="s">
        <v>1610</v>
      </c>
      <c r="K991" s="58" t="s">
        <v>432</v>
      </c>
      <c r="L991" s="58"/>
      <c r="M991" s="58" t="s">
        <v>1104</v>
      </c>
      <c r="N991" s="58" t="s">
        <v>242</v>
      </c>
      <c r="O991" s="58"/>
      <c r="P991" s="63"/>
      <c r="Q991" s="63"/>
    </row>
    <row r="992" spans="2:17" ht="20.25" customHeight="1" x14ac:dyDescent="0.3">
      <c r="B992" s="59" t="s">
        <v>1077</v>
      </c>
      <c r="C992" s="59" t="s">
        <v>150</v>
      </c>
      <c r="D992" s="62" t="str">
        <f t="shared" si="26"/>
        <v>PORSCHEPanamera</v>
      </c>
      <c r="E992" s="59" t="s">
        <v>1110</v>
      </c>
      <c r="F992" s="60">
        <v>186800000</v>
      </c>
      <c r="G992" s="60">
        <v>2894</v>
      </c>
      <c r="H992" s="58" t="s">
        <v>241</v>
      </c>
      <c r="I992" s="58" t="s">
        <v>283</v>
      </c>
      <c r="J992" s="58" t="s">
        <v>1610</v>
      </c>
      <c r="K992" s="58" t="s">
        <v>432</v>
      </c>
      <c r="L992" s="58"/>
      <c r="M992" s="58" t="s">
        <v>1104</v>
      </c>
      <c r="N992" s="58" t="s">
        <v>242</v>
      </c>
      <c r="O992" s="58"/>
      <c r="P992" s="63"/>
      <c r="Q992" s="63"/>
    </row>
    <row r="993" spans="2:17" ht="20.25" customHeight="1" x14ac:dyDescent="0.3">
      <c r="B993" s="59" t="s">
        <v>1077</v>
      </c>
      <c r="C993" s="59" t="s">
        <v>150</v>
      </c>
      <c r="D993" s="62" t="str">
        <f t="shared" si="26"/>
        <v>PORSCHEPanamera</v>
      </c>
      <c r="E993" s="59" t="s">
        <v>1111</v>
      </c>
      <c r="F993" s="60">
        <v>317800000</v>
      </c>
      <c r="G993" s="60">
        <v>3996</v>
      </c>
      <c r="H993" s="58" t="s">
        <v>241</v>
      </c>
      <c r="I993" s="58" t="s">
        <v>283</v>
      </c>
      <c r="J993" s="58" t="s">
        <v>1610</v>
      </c>
      <c r="K993" s="58" t="s">
        <v>470</v>
      </c>
      <c r="L993" s="58"/>
      <c r="M993" s="58" t="s">
        <v>1780</v>
      </c>
      <c r="N993" s="58" t="s">
        <v>242</v>
      </c>
      <c r="O993" s="58"/>
      <c r="P993" s="63"/>
      <c r="Q993" s="63"/>
    </row>
    <row r="994" spans="2:17" ht="20.25" customHeight="1" x14ac:dyDescent="0.3">
      <c r="B994" s="59" t="s">
        <v>1077</v>
      </c>
      <c r="C994" s="59" t="s">
        <v>151</v>
      </c>
      <c r="D994" s="62" t="str">
        <f t="shared" si="26"/>
        <v>PORSCHETaycan</v>
      </c>
      <c r="E994" s="59" t="s">
        <v>151</v>
      </c>
      <c r="F994" s="60">
        <v>129900000</v>
      </c>
      <c r="G994" s="60">
        <v>0</v>
      </c>
      <c r="H994" s="58" t="s">
        <v>308</v>
      </c>
      <c r="I994" s="58" t="s">
        <v>1486</v>
      </c>
      <c r="J994" s="58" t="s">
        <v>1515</v>
      </c>
      <c r="K994" s="58"/>
      <c r="L994" s="58" t="s">
        <v>1499</v>
      </c>
      <c r="M994" s="58" t="s">
        <v>1779</v>
      </c>
      <c r="N994" s="58" t="s">
        <v>242</v>
      </c>
      <c r="O994" s="58"/>
      <c r="P994" s="63"/>
      <c r="Q994" s="63"/>
    </row>
    <row r="995" spans="2:17" ht="20.25" customHeight="1" x14ac:dyDescent="0.3">
      <c r="B995" s="59" t="s">
        <v>1077</v>
      </c>
      <c r="C995" s="59" t="s">
        <v>151</v>
      </c>
      <c r="D995" s="62" t="str">
        <f t="shared" si="26"/>
        <v>PORSCHETaycan</v>
      </c>
      <c r="E995" s="59" t="s">
        <v>1112</v>
      </c>
      <c r="F995" s="60">
        <v>155700000</v>
      </c>
      <c r="G995" s="60">
        <v>0</v>
      </c>
      <c r="H995" s="58" t="s">
        <v>308</v>
      </c>
      <c r="I995" s="58" t="s">
        <v>1486</v>
      </c>
      <c r="J995" s="58" t="s">
        <v>1515</v>
      </c>
      <c r="K995" s="58"/>
      <c r="L995" s="58" t="s">
        <v>1499</v>
      </c>
      <c r="M995" s="58" t="s">
        <v>1780</v>
      </c>
      <c r="N995" s="58" t="s">
        <v>242</v>
      </c>
      <c r="O995" s="58"/>
      <c r="P995" s="63"/>
      <c r="Q995" s="63"/>
    </row>
    <row r="996" spans="2:17" ht="20.25" customHeight="1" x14ac:dyDescent="0.3">
      <c r="B996" s="59" t="s">
        <v>1077</v>
      </c>
      <c r="C996" s="59" t="s">
        <v>151</v>
      </c>
      <c r="D996" s="62" t="str">
        <f t="shared" si="26"/>
        <v>PORSCHETaycan</v>
      </c>
      <c r="E996" s="59" t="s">
        <v>1113</v>
      </c>
      <c r="F996" s="60">
        <v>209800000</v>
      </c>
      <c r="G996" s="60">
        <v>0</v>
      </c>
      <c r="H996" s="58" t="s">
        <v>308</v>
      </c>
      <c r="I996" s="58" t="s">
        <v>1486</v>
      </c>
      <c r="J996" s="58" t="s">
        <v>1515</v>
      </c>
      <c r="K996" s="58"/>
      <c r="L996" s="58" t="s">
        <v>1499</v>
      </c>
      <c r="M996" s="58" t="s">
        <v>1780</v>
      </c>
      <c r="N996" s="58" t="s">
        <v>242</v>
      </c>
      <c r="O996" s="58"/>
      <c r="P996" s="63"/>
      <c r="Q996" s="63"/>
    </row>
    <row r="997" spans="2:17" ht="20.25" customHeight="1" x14ac:dyDescent="0.3">
      <c r="B997" s="59" t="s">
        <v>1077</v>
      </c>
      <c r="C997" s="59" t="s">
        <v>151</v>
      </c>
      <c r="D997" s="62" t="str">
        <f t="shared" si="26"/>
        <v>PORSCHETaycan</v>
      </c>
      <c r="E997" s="59" t="s">
        <v>1114</v>
      </c>
      <c r="F997" s="60">
        <v>247400000</v>
      </c>
      <c r="G997" s="60">
        <v>0</v>
      </c>
      <c r="H997" s="58" t="s">
        <v>308</v>
      </c>
      <c r="I997" s="58" t="s">
        <v>1486</v>
      </c>
      <c r="J997" s="58" t="s">
        <v>1515</v>
      </c>
      <c r="K997" s="58"/>
      <c r="L997" s="58" t="s">
        <v>1499</v>
      </c>
      <c r="M997" s="58" t="s">
        <v>1780</v>
      </c>
      <c r="N997" s="58" t="s">
        <v>242</v>
      </c>
      <c r="O997" s="58"/>
      <c r="P997" s="63"/>
      <c r="Q997" s="63"/>
    </row>
    <row r="998" spans="2:17" ht="20.25" customHeight="1" x14ac:dyDescent="0.3">
      <c r="B998" s="59" t="s">
        <v>1077</v>
      </c>
      <c r="C998" s="59" t="s">
        <v>151</v>
      </c>
      <c r="D998" s="62" t="str">
        <f t="shared" ref="D998" si="27">+B998&amp;C998</f>
        <v>PORSCHETaycan</v>
      </c>
      <c r="E998" s="59" t="s">
        <v>1684</v>
      </c>
      <c r="F998" s="60">
        <v>187500000</v>
      </c>
      <c r="G998" s="60">
        <v>0</v>
      </c>
      <c r="H998" s="58" t="s">
        <v>308</v>
      </c>
      <c r="I998" s="58" t="s">
        <v>1486</v>
      </c>
      <c r="J998" s="58" t="s">
        <v>1515</v>
      </c>
      <c r="K998" s="58"/>
      <c r="L998" s="58" t="s">
        <v>1499</v>
      </c>
      <c r="M998" s="58" t="s">
        <v>1780</v>
      </c>
      <c r="N998" s="58" t="s">
        <v>242</v>
      </c>
      <c r="O998" s="58"/>
      <c r="P998" s="63"/>
      <c r="Q998" s="63"/>
    </row>
    <row r="999" spans="2:17" ht="20.25" customHeight="1" x14ac:dyDescent="0.3">
      <c r="B999" s="59" t="s">
        <v>1077</v>
      </c>
      <c r="C999" s="59" t="s">
        <v>151</v>
      </c>
      <c r="D999" s="62" t="str">
        <f t="shared" si="26"/>
        <v>PORSCHETaycan</v>
      </c>
      <c r="E999" s="59" t="s">
        <v>1115</v>
      </c>
      <c r="F999" s="60">
        <v>187500000</v>
      </c>
      <c r="G999" s="60">
        <v>0</v>
      </c>
      <c r="H999" s="58" t="s">
        <v>308</v>
      </c>
      <c r="I999" s="58" t="s">
        <v>1486</v>
      </c>
      <c r="J999" s="58" t="s">
        <v>1515</v>
      </c>
      <c r="K999" s="58"/>
      <c r="L999" s="58" t="s">
        <v>1499</v>
      </c>
      <c r="M999" s="58" t="s">
        <v>1780</v>
      </c>
      <c r="N999" s="58" t="s">
        <v>242</v>
      </c>
      <c r="O999" s="58"/>
      <c r="P999" s="63"/>
      <c r="Q999" s="63"/>
    </row>
    <row r="1000" spans="2:17" ht="20.25" customHeight="1" x14ac:dyDescent="0.3">
      <c r="B1000" s="59" t="s">
        <v>1077</v>
      </c>
      <c r="C1000" s="59" t="s">
        <v>151</v>
      </c>
      <c r="D1000" s="62" t="str">
        <f t="shared" si="26"/>
        <v>PORSCHETaycan</v>
      </c>
      <c r="E1000" s="59" t="s">
        <v>1116</v>
      </c>
      <c r="F1000" s="60">
        <v>144100000</v>
      </c>
      <c r="G1000" s="60">
        <v>0</v>
      </c>
      <c r="H1000" s="58" t="s">
        <v>308</v>
      </c>
      <c r="I1000" s="58" t="s">
        <v>1486</v>
      </c>
      <c r="J1000" s="58" t="s">
        <v>1515</v>
      </c>
      <c r="K1000" s="58"/>
      <c r="L1000" s="58" t="s">
        <v>1499</v>
      </c>
      <c r="M1000" s="58" t="s">
        <v>432</v>
      </c>
      <c r="N1000" s="58" t="s">
        <v>242</v>
      </c>
      <c r="O1000" s="58"/>
      <c r="P1000" s="63"/>
      <c r="Q1000" s="63"/>
    </row>
    <row r="1001" spans="2:17" ht="20.25" customHeight="1" x14ac:dyDescent="0.3">
      <c r="B1001" s="59" t="s">
        <v>1077</v>
      </c>
      <c r="C1001" s="59" t="s">
        <v>151</v>
      </c>
      <c r="D1001" s="62" t="str">
        <f t="shared" si="26"/>
        <v>PORSCHETaycan</v>
      </c>
      <c r="E1001" s="59" t="s">
        <v>1117</v>
      </c>
      <c r="F1001" s="60">
        <v>161700000</v>
      </c>
      <c r="G1001" s="60">
        <v>0</v>
      </c>
      <c r="H1001" s="58" t="s">
        <v>308</v>
      </c>
      <c r="I1001" s="58" t="s">
        <v>1486</v>
      </c>
      <c r="J1001" s="58" t="s">
        <v>1515</v>
      </c>
      <c r="K1001" s="58"/>
      <c r="L1001" s="58" t="s">
        <v>1499</v>
      </c>
      <c r="M1001" s="58" t="s">
        <v>432</v>
      </c>
      <c r="N1001" s="58" t="s">
        <v>242</v>
      </c>
      <c r="O1001" s="58"/>
      <c r="P1001" s="63"/>
      <c r="Q1001" s="63"/>
    </row>
    <row r="1002" spans="2:17" ht="20.25" customHeight="1" x14ac:dyDescent="0.3">
      <c r="B1002" s="59" t="s">
        <v>1077</v>
      </c>
      <c r="C1002" s="59" t="s">
        <v>151</v>
      </c>
      <c r="D1002" s="62" t="str">
        <f t="shared" si="26"/>
        <v>PORSCHETaycan</v>
      </c>
      <c r="E1002" s="59" t="s">
        <v>1118</v>
      </c>
      <c r="F1002" s="60">
        <v>212200000</v>
      </c>
      <c r="G1002" s="60">
        <v>0</v>
      </c>
      <c r="H1002" s="58" t="s">
        <v>308</v>
      </c>
      <c r="I1002" s="58" t="s">
        <v>1486</v>
      </c>
      <c r="J1002" s="58" t="s">
        <v>1515</v>
      </c>
      <c r="K1002" s="58"/>
      <c r="L1002" s="58" t="s">
        <v>1499</v>
      </c>
      <c r="M1002" s="58" t="s">
        <v>432</v>
      </c>
      <c r="N1002" s="58" t="s">
        <v>242</v>
      </c>
      <c r="O1002" s="58"/>
      <c r="P1002" s="63"/>
      <c r="Q1002" s="63"/>
    </row>
    <row r="1003" spans="2:17" ht="20.25" customHeight="1" x14ac:dyDescent="0.3">
      <c r="B1003" s="59" t="s">
        <v>1077</v>
      </c>
      <c r="C1003" s="59" t="s">
        <v>152</v>
      </c>
      <c r="D1003" s="62" t="str">
        <f t="shared" si="26"/>
        <v>PORSCHEMacan</v>
      </c>
      <c r="E1003" s="59" t="s">
        <v>152</v>
      </c>
      <c r="F1003" s="60">
        <v>76400000</v>
      </c>
      <c r="G1003" s="60">
        <v>1984</v>
      </c>
      <c r="H1003" s="58" t="s">
        <v>241</v>
      </c>
      <c r="I1003" s="58" t="s">
        <v>295</v>
      </c>
      <c r="J1003" s="58" t="s">
        <v>1246</v>
      </c>
      <c r="K1003" s="58" t="s">
        <v>470</v>
      </c>
      <c r="L1003" s="58"/>
      <c r="M1003" s="58" t="s">
        <v>331</v>
      </c>
      <c r="N1003" s="58" t="s">
        <v>295</v>
      </c>
      <c r="O1003" s="58"/>
      <c r="P1003" s="63"/>
      <c r="Q1003" s="63"/>
    </row>
    <row r="1004" spans="2:17" ht="20.25" customHeight="1" x14ac:dyDescent="0.3">
      <c r="B1004" s="59" t="s">
        <v>1077</v>
      </c>
      <c r="C1004" s="59" t="s">
        <v>152</v>
      </c>
      <c r="D1004" s="62" t="str">
        <f t="shared" si="26"/>
        <v>PORSCHEMacan</v>
      </c>
      <c r="E1004" s="59" t="s">
        <v>1119</v>
      </c>
      <c r="F1004" s="60">
        <v>107800000</v>
      </c>
      <c r="G1004" s="60">
        <v>2894</v>
      </c>
      <c r="H1004" s="58" t="s">
        <v>241</v>
      </c>
      <c r="I1004" s="58" t="s">
        <v>295</v>
      </c>
      <c r="J1004" s="58" t="s">
        <v>1246</v>
      </c>
      <c r="K1004" s="58" t="s">
        <v>470</v>
      </c>
      <c r="L1004" s="58"/>
      <c r="M1004" s="58" t="s">
        <v>331</v>
      </c>
      <c r="N1004" s="58" t="s">
        <v>295</v>
      </c>
      <c r="O1004" s="58"/>
      <c r="P1004" s="63"/>
      <c r="Q1004" s="63"/>
    </row>
    <row r="1005" spans="2:17" ht="20.25" customHeight="1" x14ac:dyDescent="0.3">
      <c r="B1005" s="59" t="s">
        <v>1077</v>
      </c>
      <c r="C1005" s="59" t="s">
        <v>152</v>
      </c>
      <c r="D1005" s="62" t="str">
        <f t="shared" si="26"/>
        <v>PORSCHEMacan</v>
      </c>
      <c r="E1005" s="59" t="s">
        <v>1120</v>
      </c>
      <c r="F1005" s="60">
        <v>127000000</v>
      </c>
      <c r="G1005" s="60">
        <v>2894</v>
      </c>
      <c r="H1005" s="58" t="s">
        <v>241</v>
      </c>
      <c r="I1005" s="58" t="s">
        <v>295</v>
      </c>
      <c r="J1005" s="58" t="s">
        <v>1246</v>
      </c>
      <c r="K1005" s="58" t="s">
        <v>470</v>
      </c>
      <c r="L1005" s="58"/>
      <c r="M1005" s="58" t="s">
        <v>331</v>
      </c>
      <c r="N1005" s="58" t="s">
        <v>295</v>
      </c>
      <c r="O1005" s="58"/>
      <c r="P1005" s="63"/>
      <c r="Q1005" s="63"/>
    </row>
    <row r="1006" spans="2:17" ht="20.25" customHeight="1" x14ac:dyDescent="0.3">
      <c r="B1006" s="59" t="s">
        <v>1077</v>
      </c>
      <c r="C1006" s="59" t="s">
        <v>1623</v>
      </c>
      <c r="D1006" s="62" t="str">
        <f t="shared" si="26"/>
        <v>PORSCHEMacanEv</v>
      </c>
      <c r="E1006" s="59" t="s">
        <v>1604</v>
      </c>
      <c r="F1006" s="60">
        <v>99100000</v>
      </c>
      <c r="G1006" s="60">
        <v>0</v>
      </c>
      <c r="H1006" s="58" t="s">
        <v>1486</v>
      </c>
      <c r="I1006" s="58" t="s">
        <v>1486</v>
      </c>
      <c r="J1006" s="58"/>
      <c r="K1006" s="58"/>
      <c r="L1006" s="58" t="s">
        <v>1499</v>
      </c>
      <c r="M1006" s="58" t="s">
        <v>1779</v>
      </c>
      <c r="N1006" s="58" t="s">
        <v>295</v>
      </c>
      <c r="O1006" s="58"/>
      <c r="P1006" s="63"/>
      <c r="Q1006" s="63"/>
    </row>
    <row r="1007" spans="2:17" ht="20.25" customHeight="1" x14ac:dyDescent="0.3">
      <c r="B1007" s="59" t="s">
        <v>1077</v>
      </c>
      <c r="C1007" s="59" t="s">
        <v>1623</v>
      </c>
      <c r="D1007" s="62" t="str">
        <f t="shared" si="26"/>
        <v>PORSCHEMacanEv</v>
      </c>
      <c r="E1007" s="59" t="s">
        <v>1605</v>
      </c>
      <c r="F1007" s="60">
        <v>105900000</v>
      </c>
      <c r="G1007" s="60">
        <v>0</v>
      </c>
      <c r="H1007" s="58" t="s">
        <v>1486</v>
      </c>
      <c r="I1007" s="58" t="s">
        <v>1486</v>
      </c>
      <c r="J1007" s="58"/>
      <c r="K1007" s="58"/>
      <c r="L1007" s="58" t="s">
        <v>1499</v>
      </c>
      <c r="M1007" s="58" t="s">
        <v>1779</v>
      </c>
      <c r="N1007" s="58" t="s">
        <v>295</v>
      </c>
      <c r="O1007" s="58"/>
      <c r="P1007" s="63"/>
      <c r="Q1007" s="63"/>
    </row>
    <row r="1008" spans="2:17" ht="20.25" customHeight="1" x14ac:dyDescent="0.3">
      <c r="B1008" s="59" t="s">
        <v>1077</v>
      </c>
      <c r="C1008" s="59" t="s">
        <v>1623</v>
      </c>
      <c r="D1008" s="62" t="str">
        <f t="shared" si="26"/>
        <v>PORSCHEMacanEv</v>
      </c>
      <c r="E1008" s="59" t="s">
        <v>1606</v>
      </c>
      <c r="F1008" s="60">
        <v>114400000</v>
      </c>
      <c r="G1008" s="60">
        <v>0</v>
      </c>
      <c r="H1008" s="58" t="s">
        <v>1486</v>
      </c>
      <c r="I1008" s="58" t="s">
        <v>1486</v>
      </c>
      <c r="J1008" s="58"/>
      <c r="K1008" s="58"/>
      <c r="L1008" s="58" t="s">
        <v>1499</v>
      </c>
      <c r="M1008" s="58" t="s">
        <v>1779</v>
      </c>
      <c r="N1008" s="58" t="s">
        <v>295</v>
      </c>
      <c r="O1008" s="58"/>
      <c r="P1008" s="63"/>
      <c r="Q1008" s="63"/>
    </row>
    <row r="1009" spans="2:17" ht="20.25" customHeight="1" x14ac:dyDescent="0.3">
      <c r="B1009" s="59" t="s">
        <v>1077</v>
      </c>
      <c r="C1009" s="59" t="s">
        <v>1623</v>
      </c>
      <c r="D1009" s="62" t="str">
        <f t="shared" si="26"/>
        <v>PORSCHEMacanEv</v>
      </c>
      <c r="E1009" s="59" t="s">
        <v>1607</v>
      </c>
      <c r="F1009" s="60">
        <v>138500000</v>
      </c>
      <c r="G1009" s="60">
        <v>0</v>
      </c>
      <c r="H1009" s="58" t="s">
        <v>1486</v>
      </c>
      <c r="I1009" s="58" t="s">
        <v>1486</v>
      </c>
      <c r="J1009" s="58"/>
      <c r="K1009" s="58"/>
      <c r="L1009" s="58" t="s">
        <v>1499</v>
      </c>
      <c r="M1009" s="58" t="s">
        <v>1779</v>
      </c>
      <c r="N1009" s="58" t="s">
        <v>295</v>
      </c>
      <c r="O1009" s="58"/>
      <c r="P1009" s="63"/>
      <c r="Q1009" s="63"/>
    </row>
    <row r="1010" spans="2:17" ht="20.25" customHeight="1" x14ac:dyDescent="0.3">
      <c r="B1010" s="59" t="s">
        <v>1077</v>
      </c>
      <c r="C1010" s="59" t="s">
        <v>153</v>
      </c>
      <c r="D1010" s="62" t="str">
        <f t="shared" si="26"/>
        <v>PORSCHECayenne</v>
      </c>
      <c r="E1010" s="59" t="s">
        <v>153</v>
      </c>
      <c r="F1010" s="60">
        <v>133100000</v>
      </c>
      <c r="G1010" s="60">
        <v>2995</v>
      </c>
      <c r="H1010" s="58" t="s">
        <v>241</v>
      </c>
      <c r="I1010" s="58" t="s">
        <v>295</v>
      </c>
      <c r="J1010" s="58" t="s">
        <v>1246</v>
      </c>
      <c r="K1010" s="58" t="s">
        <v>646</v>
      </c>
      <c r="L1010" s="58"/>
      <c r="M1010" s="58" t="s">
        <v>331</v>
      </c>
      <c r="N1010" s="58" t="s">
        <v>295</v>
      </c>
      <c r="O1010" s="58"/>
      <c r="P1010" s="63"/>
      <c r="Q1010" s="63"/>
    </row>
    <row r="1011" spans="2:17" ht="20.25" customHeight="1" x14ac:dyDescent="0.3">
      <c r="B1011" s="59" t="s">
        <v>1077</v>
      </c>
      <c r="C1011" s="59" t="s">
        <v>153</v>
      </c>
      <c r="D1011" s="62" t="str">
        <f t="shared" si="26"/>
        <v>PORSCHECayenne</v>
      </c>
      <c r="E1011" s="59" t="s">
        <v>1121</v>
      </c>
      <c r="F1011" s="60">
        <v>137200000</v>
      </c>
      <c r="G1011" s="60">
        <v>2995</v>
      </c>
      <c r="H1011" s="58" t="s">
        <v>241</v>
      </c>
      <c r="I1011" s="58" t="s">
        <v>295</v>
      </c>
      <c r="J1011" s="58" t="s">
        <v>1246</v>
      </c>
      <c r="K1011" s="58" t="s">
        <v>646</v>
      </c>
      <c r="L1011" s="58"/>
      <c r="M1011" s="58" t="s">
        <v>331</v>
      </c>
      <c r="N1011" s="58" t="s">
        <v>295</v>
      </c>
      <c r="O1011" s="58"/>
      <c r="P1011" s="63"/>
      <c r="Q1011" s="63"/>
    </row>
    <row r="1012" spans="2:17" ht="20.25" customHeight="1" x14ac:dyDescent="0.3">
      <c r="B1012" s="59" t="s">
        <v>1077</v>
      </c>
      <c r="C1012" s="59" t="s">
        <v>153</v>
      </c>
      <c r="D1012" s="62" t="str">
        <f t="shared" si="26"/>
        <v>PORSCHECayenne</v>
      </c>
      <c r="E1012" s="59" t="s">
        <v>1122</v>
      </c>
      <c r="F1012" s="60">
        <v>171000000</v>
      </c>
      <c r="G1012" s="60">
        <v>3996</v>
      </c>
      <c r="H1012" s="58" t="s">
        <v>241</v>
      </c>
      <c r="I1012" s="58" t="s">
        <v>295</v>
      </c>
      <c r="J1012" s="58" t="s">
        <v>1246</v>
      </c>
      <c r="K1012" s="58" t="s">
        <v>470</v>
      </c>
      <c r="L1012" s="58"/>
      <c r="M1012" s="58" t="s">
        <v>432</v>
      </c>
      <c r="N1012" s="58" t="s">
        <v>295</v>
      </c>
      <c r="O1012" s="58"/>
      <c r="P1012" s="63"/>
      <c r="Q1012" s="63"/>
    </row>
    <row r="1013" spans="2:17" ht="20.25" customHeight="1" x14ac:dyDescent="0.3">
      <c r="B1013" s="59" t="s">
        <v>1077</v>
      </c>
      <c r="C1013" s="59" t="s">
        <v>153</v>
      </c>
      <c r="D1013" s="62" t="str">
        <f t="shared" si="26"/>
        <v>PORSCHECayenne</v>
      </c>
      <c r="E1013" s="59" t="s">
        <v>1123</v>
      </c>
      <c r="F1013" s="60">
        <v>145400000</v>
      </c>
      <c r="G1013" s="60">
        <v>2995</v>
      </c>
      <c r="H1013" s="58" t="s">
        <v>241</v>
      </c>
      <c r="I1013" s="58" t="s">
        <v>295</v>
      </c>
      <c r="J1013" s="58" t="s">
        <v>1246</v>
      </c>
      <c r="K1013" s="58" t="s">
        <v>432</v>
      </c>
      <c r="L1013" s="58"/>
      <c r="M1013" s="58" t="s">
        <v>1104</v>
      </c>
      <c r="N1013" s="58" t="s">
        <v>295</v>
      </c>
      <c r="O1013" s="58"/>
      <c r="P1013" s="63"/>
      <c r="Q1013" s="63"/>
    </row>
    <row r="1014" spans="2:17" ht="20.25" customHeight="1" x14ac:dyDescent="0.3">
      <c r="B1014" s="59" t="s">
        <v>1077</v>
      </c>
      <c r="C1014" s="59" t="s">
        <v>153</v>
      </c>
      <c r="D1014" s="62" t="str">
        <f t="shared" si="26"/>
        <v>PORSCHECayenne</v>
      </c>
      <c r="E1014" s="59" t="s">
        <v>1124</v>
      </c>
      <c r="F1014" s="60">
        <v>145400000</v>
      </c>
      <c r="G1014" s="60">
        <v>2995</v>
      </c>
      <c r="H1014" s="58" t="s">
        <v>241</v>
      </c>
      <c r="I1014" s="58" t="s">
        <v>295</v>
      </c>
      <c r="J1014" s="58" t="s">
        <v>1246</v>
      </c>
      <c r="K1014" s="58" t="s">
        <v>432</v>
      </c>
      <c r="L1014" s="58"/>
      <c r="M1014" s="58" t="s">
        <v>1104</v>
      </c>
      <c r="N1014" s="58" t="s">
        <v>295</v>
      </c>
      <c r="O1014" s="58"/>
      <c r="P1014" s="63"/>
      <c r="Q1014" s="63"/>
    </row>
    <row r="1015" spans="2:17" ht="20.25" customHeight="1" x14ac:dyDescent="0.3">
      <c r="B1015" s="59" t="s">
        <v>1077</v>
      </c>
      <c r="C1015" s="59" t="s">
        <v>153</v>
      </c>
      <c r="D1015" s="62" t="str">
        <f t="shared" si="26"/>
        <v>PORSCHECayenne</v>
      </c>
      <c r="E1015" s="59" t="s">
        <v>1513</v>
      </c>
      <c r="F1015" s="60">
        <v>142900000</v>
      </c>
      <c r="G1015" s="60">
        <v>2995</v>
      </c>
      <c r="H1015" s="58" t="s">
        <v>241</v>
      </c>
      <c r="I1015" s="58" t="s">
        <v>295</v>
      </c>
      <c r="J1015" s="58" t="s">
        <v>1246</v>
      </c>
      <c r="K1015" s="58" t="s">
        <v>432</v>
      </c>
      <c r="L1015" s="58"/>
      <c r="M1015" s="58" t="s">
        <v>1104</v>
      </c>
      <c r="N1015" s="58" t="s">
        <v>295</v>
      </c>
      <c r="O1015" s="58"/>
      <c r="P1015" s="63"/>
      <c r="Q1015" s="63"/>
    </row>
    <row r="1016" spans="2:17" ht="20.25" customHeight="1" x14ac:dyDescent="0.3">
      <c r="B1016" s="59" t="s">
        <v>1077</v>
      </c>
      <c r="C1016" s="59" t="s">
        <v>153</v>
      </c>
      <c r="D1016" s="62" t="str">
        <f t="shared" si="26"/>
        <v>PORSCHECayenne</v>
      </c>
      <c r="E1016" s="59" t="s">
        <v>1125</v>
      </c>
      <c r="F1016" s="60">
        <v>204000000</v>
      </c>
      <c r="G1016" s="60">
        <v>3996</v>
      </c>
      <c r="H1016" s="58" t="s">
        <v>241</v>
      </c>
      <c r="I1016" s="58" t="s">
        <v>295</v>
      </c>
      <c r="J1016" s="58" t="s">
        <v>1246</v>
      </c>
      <c r="K1016" s="58" t="s">
        <v>470</v>
      </c>
      <c r="L1016" s="58"/>
      <c r="M1016" s="58" t="s">
        <v>432</v>
      </c>
      <c r="N1016" s="58" t="s">
        <v>295</v>
      </c>
      <c r="O1016" s="58"/>
      <c r="P1016" s="63"/>
      <c r="Q1016" s="63"/>
    </row>
    <row r="1017" spans="2:17" ht="20.25" customHeight="1" x14ac:dyDescent="0.3">
      <c r="B1017" s="59" t="s">
        <v>1077</v>
      </c>
      <c r="C1017" s="59" t="s">
        <v>153</v>
      </c>
      <c r="D1017" s="62" t="str">
        <f t="shared" si="26"/>
        <v>PORSCHECayenne</v>
      </c>
      <c r="E1017" s="59" t="s">
        <v>1512</v>
      </c>
      <c r="F1017" s="60">
        <v>204800000</v>
      </c>
      <c r="G1017" s="60">
        <v>3996</v>
      </c>
      <c r="H1017" s="58" t="s">
        <v>241</v>
      </c>
      <c r="I1017" s="58" t="s">
        <v>295</v>
      </c>
      <c r="J1017" s="58" t="s">
        <v>1246</v>
      </c>
      <c r="K1017" s="58" t="s">
        <v>1515</v>
      </c>
      <c r="L1017" s="58"/>
      <c r="M1017" s="58" t="s">
        <v>432</v>
      </c>
      <c r="N1017" s="58" t="s">
        <v>295</v>
      </c>
      <c r="O1017" s="58"/>
      <c r="P1017" s="63"/>
      <c r="Q1017" s="63"/>
    </row>
    <row r="1018" spans="2:17" ht="20.25" customHeight="1" x14ac:dyDescent="0.3">
      <c r="B1018" s="59" t="s">
        <v>1077</v>
      </c>
      <c r="C1018" s="59" t="s">
        <v>153</v>
      </c>
      <c r="D1018" s="62" t="str">
        <f t="shared" si="26"/>
        <v>PORSCHECayenne</v>
      </c>
      <c r="E1018" s="59" t="s">
        <v>1126</v>
      </c>
      <c r="F1018" s="60">
        <v>137800000</v>
      </c>
      <c r="G1018" s="60">
        <v>2995</v>
      </c>
      <c r="H1018" s="58" t="s">
        <v>241</v>
      </c>
      <c r="I1018" s="58" t="s">
        <v>295</v>
      </c>
      <c r="J1018" s="58" t="s">
        <v>1246</v>
      </c>
      <c r="K1018" s="58" t="s">
        <v>646</v>
      </c>
      <c r="L1018" s="58"/>
      <c r="M1018" s="58" t="s">
        <v>1104</v>
      </c>
      <c r="N1018" s="58" t="s">
        <v>295</v>
      </c>
      <c r="O1018" s="58"/>
      <c r="P1018" s="63"/>
      <c r="Q1018" s="63"/>
    </row>
    <row r="1019" spans="2:17" ht="20.25" customHeight="1" x14ac:dyDescent="0.3">
      <c r="B1019" s="59" t="s">
        <v>1077</v>
      </c>
      <c r="C1019" s="59" t="s">
        <v>153</v>
      </c>
      <c r="D1019" s="62" t="str">
        <f t="shared" si="26"/>
        <v>PORSCHECayenne</v>
      </c>
      <c r="E1019" s="59" t="s">
        <v>1127</v>
      </c>
      <c r="F1019" s="60">
        <v>139600000</v>
      </c>
      <c r="G1019" s="60">
        <v>2995</v>
      </c>
      <c r="H1019" s="58" t="s">
        <v>241</v>
      </c>
      <c r="I1019" s="58" t="s">
        <v>295</v>
      </c>
      <c r="J1019" s="58" t="s">
        <v>1246</v>
      </c>
      <c r="K1019" s="58" t="s">
        <v>646</v>
      </c>
      <c r="L1019" s="58"/>
      <c r="M1019" s="58" t="s">
        <v>1104</v>
      </c>
      <c r="N1019" s="58" t="s">
        <v>295</v>
      </c>
      <c r="O1019" s="58"/>
      <c r="P1019" s="63"/>
      <c r="Q1019" s="63"/>
    </row>
    <row r="1020" spans="2:17" ht="20.25" customHeight="1" x14ac:dyDescent="0.3">
      <c r="B1020" s="59" t="s">
        <v>1077</v>
      </c>
      <c r="C1020" s="59" t="s">
        <v>153</v>
      </c>
      <c r="D1020" s="62" t="str">
        <f t="shared" si="26"/>
        <v>PORSCHECayenne</v>
      </c>
      <c r="E1020" s="59" t="s">
        <v>1128</v>
      </c>
      <c r="F1020" s="60">
        <v>184200000</v>
      </c>
      <c r="G1020" s="60">
        <v>3996</v>
      </c>
      <c r="H1020" s="58" t="s">
        <v>241</v>
      </c>
      <c r="I1020" s="58" t="s">
        <v>295</v>
      </c>
      <c r="J1020" s="58" t="s">
        <v>1246</v>
      </c>
      <c r="K1020" s="58" t="s">
        <v>470</v>
      </c>
      <c r="L1020" s="58"/>
      <c r="M1020" s="58" t="s">
        <v>432</v>
      </c>
      <c r="N1020" s="58" t="s">
        <v>295</v>
      </c>
      <c r="O1020" s="58"/>
      <c r="P1020" s="63"/>
      <c r="Q1020" s="63"/>
    </row>
    <row r="1021" spans="2:17" ht="20.25" customHeight="1" x14ac:dyDescent="0.3">
      <c r="B1021" s="59" t="s">
        <v>1077</v>
      </c>
      <c r="C1021" s="59" t="s">
        <v>153</v>
      </c>
      <c r="D1021" s="62" t="str">
        <f t="shared" si="26"/>
        <v>PORSCHECayenne</v>
      </c>
      <c r="E1021" s="59" t="s">
        <v>1129</v>
      </c>
      <c r="F1021" s="60">
        <v>148500000</v>
      </c>
      <c r="G1021" s="60">
        <v>2995</v>
      </c>
      <c r="H1021" s="58" t="s">
        <v>241</v>
      </c>
      <c r="I1021" s="58" t="s">
        <v>295</v>
      </c>
      <c r="J1021" s="58" t="s">
        <v>1246</v>
      </c>
      <c r="K1021" s="58" t="s">
        <v>432</v>
      </c>
      <c r="L1021" s="58"/>
      <c r="M1021" s="58" t="s">
        <v>1104</v>
      </c>
      <c r="N1021" s="58" t="s">
        <v>295</v>
      </c>
      <c r="O1021" s="58"/>
      <c r="P1021" s="63"/>
      <c r="Q1021" s="63"/>
    </row>
    <row r="1022" spans="2:17" ht="20.25" customHeight="1" x14ac:dyDescent="0.3">
      <c r="B1022" s="59" t="s">
        <v>1077</v>
      </c>
      <c r="C1022" s="59" t="s">
        <v>153</v>
      </c>
      <c r="D1022" s="62" t="str">
        <f t="shared" si="26"/>
        <v>PORSCHECayenne</v>
      </c>
      <c r="E1022" s="59" t="s">
        <v>1130</v>
      </c>
      <c r="F1022" s="60">
        <v>148500000</v>
      </c>
      <c r="G1022" s="60">
        <v>2995</v>
      </c>
      <c r="H1022" s="58" t="s">
        <v>241</v>
      </c>
      <c r="I1022" s="58" t="s">
        <v>295</v>
      </c>
      <c r="J1022" s="58" t="s">
        <v>1246</v>
      </c>
      <c r="K1022" s="58" t="s">
        <v>432</v>
      </c>
      <c r="L1022" s="58"/>
      <c r="M1022" s="58" t="s">
        <v>1104</v>
      </c>
      <c r="N1022" s="58" t="s">
        <v>295</v>
      </c>
      <c r="O1022" s="58"/>
      <c r="P1022" s="63"/>
      <c r="Q1022" s="63"/>
    </row>
    <row r="1023" spans="2:17" ht="20.25" customHeight="1" x14ac:dyDescent="0.3">
      <c r="B1023" s="59" t="s">
        <v>1077</v>
      </c>
      <c r="C1023" s="59" t="s">
        <v>153</v>
      </c>
      <c r="D1023" s="62" t="str">
        <f t="shared" si="26"/>
        <v>PORSCHECayenne</v>
      </c>
      <c r="E1023" s="59" t="s">
        <v>1131</v>
      </c>
      <c r="F1023" s="60">
        <v>146200000</v>
      </c>
      <c r="G1023" s="60">
        <v>2995</v>
      </c>
      <c r="H1023" s="58" t="s">
        <v>241</v>
      </c>
      <c r="I1023" s="58" t="s">
        <v>295</v>
      </c>
      <c r="J1023" s="58" t="s">
        <v>1246</v>
      </c>
      <c r="K1023" s="58" t="s">
        <v>432</v>
      </c>
      <c r="L1023" s="58"/>
      <c r="M1023" s="58" t="s">
        <v>1104</v>
      </c>
      <c r="N1023" s="58" t="s">
        <v>295</v>
      </c>
      <c r="O1023" s="58"/>
      <c r="P1023" s="63"/>
      <c r="Q1023" s="63"/>
    </row>
    <row r="1024" spans="2:17" ht="20.25" customHeight="1" x14ac:dyDescent="0.3">
      <c r="B1024" s="59" t="s">
        <v>1077</v>
      </c>
      <c r="C1024" s="59" t="s">
        <v>153</v>
      </c>
      <c r="D1024" s="62" t="str">
        <f t="shared" si="26"/>
        <v>PORSCHECayenne</v>
      </c>
      <c r="E1024" s="59" t="s">
        <v>1132</v>
      </c>
      <c r="F1024" s="60">
        <v>210000000</v>
      </c>
      <c r="G1024" s="60">
        <v>3996</v>
      </c>
      <c r="H1024" s="58" t="s">
        <v>241</v>
      </c>
      <c r="I1024" s="58" t="s">
        <v>295</v>
      </c>
      <c r="J1024" s="58" t="s">
        <v>1246</v>
      </c>
      <c r="K1024" s="58" t="s">
        <v>470</v>
      </c>
      <c r="L1024" s="58"/>
      <c r="M1024" s="58" t="s">
        <v>432</v>
      </c>
      <c r="N1024" s="58" t="s">
        <v>295</v>
      </c>
      <c r="O1024" s="58"/>
      <c r="P1024" s="63"/>
      <c r="Q1024" s="63"/>
    </row>
    <row r="1025" spans="2:17" ht="20.25" customHeight="1" x14ac:dyDescent="0.3">
      <c r="B1025" s="59" t="s">
        <v>1077</v>
      </c>
      <c r="C1025" s="59" t="s">
        <v>153</v>
      </c>
      <c r="D1025" s="62" t="str">
        <f t="shared" si="26"/>
        <v>PORSCHECayenne</v>
      </c>
      <c r="E1025" s="59" t="s">
        <v>1133</v>
      </c>
      <c r="F1025" s="60">
        <v>261900000</v>
      </c>
      <c r="G1025" s="60">
        <v>3996</v>
      </c>
      <c r="H1025" s="58" t="s">
        <v>241</v>
      </c>
      <c r="I1025" s="58" t="s">
        <v>295</v>
      </c>
      <c r="J1025" s="58" t="s">
        <v>1246</v>
      </c>
      <c r="K1025" s="58" t="s">
        <v>470</v>
      </c>
      <c r="L1025" s="58"/>
      <c r="M1025" s="58" t="s">
        <v>432</v>
      </c>
      <c r="N1025" s="58" t="s">
        <v>295</v>
      </c>
      <c r="O1025" s="58"/>
      <c r="P1025" s="63"/>
      <c r="Q1025" s="63"/>
    </row>
    <row r="1026" spans="2:17" ht="20.25" customHeight="1" x14ac:dyDescent="0.3">
      <c r="B1026" s="59" t="s">
        <v>1077</v>
      </c>
      <c r="C1026" s="59" t="s">
        <v>153</v>
      </c>
      <c r="D1026" s="62" t="str">
        <f t="shared" si="26"/>
        <v>PORSCHECayenne</v>
      </c>
      <c r="E1026" s="59" t="s">
        <v>1514</v>
      </c>
      <c r="F1026" s="60">
        <v>204800000</v>
      </c>
      <c r="G1026" s="60">
        <v>3996</v>
      </c>
      <c r="H1026" s="58" t="s">
        <v>241</v>
      </c>
      <c r="I1026" s="58" t="s">
        <v>295</v>
      </c>
      <c r="J1026" s="58" t="s">
        <v>1246</v>
      </c>
      <c r="K1026" s="58" t="s">
        <v>470</v>
      </c>
      <c r="L1026" s="58"/>
      <c r="M1026" s="58" t="s">
        <v>432</v>
      </c>
      <c r="N1026" s="58" t="s">
        <v>295</v>
      </c>
      <c r="O1026" s="58"/>
      <c r="P1026" s="63"/>
      <c r="Q1026" s="63"/>
    </row>
    <row r="1027" spans="2:17" ht="20.25" customHeight="1" x14ac:dyDescent="0.3">
      <c r="B1027" s="59"/>
      <c r="C1027" s="59"/>
      <c r="D1027" s="62"/>
      <c r="E1027" s="59"/>
      <c r="F1027" s="60"/>
      <c r="G1027" s="60"/>
      <c r="H1027" s="58"/>
      <c r="I1027" s="58"/>
      <c r="J1027" s="58"/>
      <c r="K1027" s="58"/>
      <c r="L1027" s="58"/>
      <c r="M1027" s="58"/>
      <c r="N1027" s="58"/>
      <c r="O1027" s="58"/>
      <c r="P1027" s="63"/>
      <c r="Q1027" s="63"/>
    </row>
    <row r="1028" spans="2:17" ht="20.25" customHeight="1" x14ac:dyDescent="0.3">
      <c r="B1028" s="59"/>
      <c r="C1028" s="59"/>
      <c r="D1028" s="62"/>
      <c r="E1028" s="59"/>
      <c r="F1028" s="60"/>
      <c r="G1028" s="60"/>
      <c r="H1028" s="58"/>
      <c r="I1028" s="58"/>
      <c r="J1028" s="58"/>
      <c r="K1028" s="58"/>
      <c r="L1028" s="58"/>
      <c r="M1028" s="58"/>
      <c r="N1028" s="58"/>
      <c r="O1028" s="58"/>
      <c r="P1028" s="63"/>
      <c r="Q1028" s="63"/>
    </row>
    <row r="1029" spans="2:17" ht="20.25" customHeight="1" x14ac:dyDescent="0.3">
      <c r="B1029" s="59"/>
      <c r="C1029" s="59"/>
      <c r="D1029" s="62"/>
      <c r="E1029" s="59"/>
      <c r="F1029" s="60"/>
      <c r="G1029" s="60"/>
      <c r="H1029" s="58"/>
      <c r="I1029" s="58"/>
      <c r="J1029" s="58"/>
      <c r="K1029" s="58"/>
      <c r="L1029" s="58"/>
      <c r="M1029" s="58"/>
      <c r="N1029" s="58"/>
      <c r="O1029" s="58"/>
      <c r="P1029" s="63"/>
      <c r="Q1029" s="63"/>
    </row>
    <row r="1030" spans="2:17" ht="20.25" customHeight="1" x14ac:dyDescent="0.3">
      <c r="B1030" s="59"/>
      <c r="C1030" s="59"/>
      <c r="D1030" s="62" t="str">
        <f t="shared" ref="D1030:D1093" si="28">+B1030&amp;C1030</f>
        <v/>
      </c>
      <c r="E1030" s="59"/>
      <c r="F1030" s="60"/>
      <c r="G1030" s="60"/>
      <c r="H1030" s="58"/>
      <c r="I1030" s="58"/>
      <c r="J1030" s="58"/>
      <c r="K1030" s="58"/>
      <c r="L1030" s="58"/>
      <c r="M1030" s="58"/>
      <c r="N1030" s="58"/>
      <c r="O1030" s="58"/>
      <c r="P1030" s="63"/>
      <c r="Q1030" s="63"/>
    </row>
    <row r="1031" spans="2:17" ht="20.25" customHeight="1" x14ac:dyDescent="0.3">
      <c r="B1031" s="59" t="s">
        <v>27</v>
      </c>
      <c r="C1031" s="59" t="s">
        <v>1134</v>
      </c>
      <c r="D1031" s="62" t="str">
        <f t="shared" si="28"/>
        <v>TeslaModel_3</v>
      </c>
      <c r="E1031" s="59" t="s">
        <v>1135</v>
      </c>
      <c r="F1031" s="60">
        <v>54790000</v>
      </c>
      <c r="G1031" s="60">
        <v>0</v>
      </c>
      <c r="H1031" s="58" t="s">
        <v>308</v>
      </c>
      <c r="I1031" s="58" t="s">
        <v>308</v>
      </c>
      <c r="J1031" s="58"/>
      <c r="K1031" s="58"/>
      <c r="L1031" s="58"/>
      <c r="M1031" s="58"/>
      <c r="N1031" s="58" t="s">
        <v>242</v>
      </c>
      <c r="O1031" s="58"/>
      <c r="P1031" s="63"/>
      <c r="Q1031" s="63"/>
    </row>
    <row r="1032" spans="2:17" ht="20.25" customHeight="1" x14ac:dyDescent="0.3">
      <c r="B1032" s="59" t="s">
        <v>27</v>
      </c>
      <c r="C1032" s="59" t="s">
        <v>1134</v>
      </c>
      <c r="D1032" s="62" t="str">
        <f t="shared" si="28"/>
        <v>TeslaModel_3</v>
      </c>
      <c r="E1032" s="59" t="s">
        <v>1136</v>
      </c>
      <c r="F1032" s="60">
        <v>59990000</v>
      </c>
      <c r="G1032" s="60">
        <v>0</v>
      </c>
      <c r="H1032" s="58" t="s">
        <v>308</v>
      </c>
      <c r="I1032" s="58" t="s">
        <v>308</v>
      </c>
      <c r="J1032" s="58"/>
      <c r="K1032" s="58"/>
      <c r="L1032" s="58"/>
      <c r="M1032" s="58"/>
      <c r="N1032" s="58" t="s">
        <v>242</v>
      </c>
      <c r="O1032" s="58"/>
      <c r="P1032" s="63"/>
      <c r="Q1032" s="63"/>
    </row>
    <row r="1033" spans="2:17" ht="20.25" customHeight="1" x14ac:dyDescent="0.3">
      <c r="B1033" s="59" t="s">
        <v>27</v>
      </c>
      <c r="C1033" s="59" t="s">
        <v>1134</v>
      </c>
      <c r="D1033" s="62" t="str">
        <f t="shared" si="28"/>
        <v>TeslaModel_3</v>
      </c>
      <c r="E1033" s="59" t="s">
        <v>1137</v>
      </c>
      <c r="F1033" s="60">
        <v>74790000</v>
      </c>
      <c r="G1033" s="60">
        <v>0</v>
      </c>
      <c r="H1033" s="58" t="s">
        <v>308</v>
      </c>
      <c r="I1033" s="58" t="s">
        <v>308</v>
      </c>
      <c r="J1033" s="58"/>
      <c r="K1033" s="58"/>
      <c r="L1033" s="58"/>
      <c r="M1033" s="58"/>
      <c r="N1033" s="58" t="s">
        <v>242</v>
      </c>
      <c r="O1033" s="58"/>
      <c r="P1033" s="63"/>
      <c r="Q1033" s="63"/>
    </row>
    <row r="1034" spans="2:17" ht="20.25" customHeight="1" x14ac:dyDescent="0.3">
      <c r="B1034" s="59" t="s">
        <v>27</v>
      </c>
      <c r="C1034" s="59" t="s">
        <v>154</v>
      </c>
      <c r="D1034" s="62" t="str">
        <f t="shared" si="28"/>
        <v>TeslaModel_S</v>
      </c>
      <c r="E1034" s="59" t="s">
        <v>1138</v>
      </c>
      <c r="F1034" s="60">
        <v>128060000</v>
      </c>
      <c r="G1034" s="60">
        <v>0</v>
      </c>
      <c r="H1034" s="58" t="s">
        <v>308</v>
      </c>
      <c r="I1034" s="58" t="s">
        <v>308</v>
      </c>
      <c r="J1034" s="58"/>
      <c r="K1034" s="58"/>
      <c r="L1034" s="58" t="s">
        <v>284</v>
      </c>
      <c r="M1034" s="58"/>
      <c r="N1034" s="58" t="s">
        <v>242</v>
      </c>
      <c r="O1034" s="58"/>
      <c r="P1034" s="63"/>
      <c r="Q1034" s="63"/>
    </row>
    <row r="1035" spans="2:17" ht="20.25" customHeight="1" x14ac:dyDescent="0.3">
      <c r="B1035" s="59" t="s">
        <v>27</v>
      </c>
      <c r="C1035" s="59" t="s">
        <v>154</v>
      </c>
      <c r="D1035" s="62" t="str">
        <f t="shared" si="28"/>
        <v>TeslaModel_S</v>
      </c>
      <c r="E1035" s="59" t="s">
        <v>1139</v>
      </c>
      <c r="F1035" s="60">
        <v>141060000</v>
      </c>
      <c r="G1035" s="60">
        <v>0</v>
      </c>
      <c r="H1035" s="58" t="s">
        <v>308</v>
      </c>
      <c r="I1035" s="58" t="s">
        <v>308</v>
      </c>
      <c r="J1035" s="58"/>
      <c r="K1035" s="58"/>
      <c r="L1035" s="58" t="s">
        <v>284</v>
      </c>
      <c r="M1035" s="58"/>
      <c r="N1035" s="58" t="s">
        <v>242</v>
      </c>
      <c r="O1035" s="58"/>
      <c r="P1035" s="63"/>
      <c r="Q1035" s="63"/>
    </row>
    <row r="1036" spans="2:17" ht="20.25" customHeight="1" x14ac:dyDescent="0.3">
      <c r="B1036" s="59" t="s">
        <v>27</v>
      </c>
      <c r="C1036" s="59" t="s">
        <v>155</v>
      </c>
      <c r="D1036" s="62" t="str">
        <f t="shared" si="28"/>
        <v>TeslaModel_X</v>
      </c>
      <c r="E1036" s="59" t="s">
        <v>1140</v>
      </c>
      <c r="F1036" s="60">
        <v>143060000</v>
      </c>
      <c r="G1036" s="60">
        <v>0</v>
      </c>
      <c r="H1036" s="58" t="s">
        <v>308</v>
      </c>
      <c r="I1036" s="58" t="s">
        <v>308</v>
      </c>
      <c r="J1036" s="58"/>
      <c r="K1036" s="58"/>
      <c r="L1036" s="58" t="s">
        <v>284</v>
      </c>
      <c r="M1036" s="58"/>
      <c r="N1036" s="58" t="s">
        <v>295</v>
      </c>
      <c r="O1036" s="58"/>
      <c r="P1036" s="63"/>
      <c r="Q1036" s="63"/>
    </row>
    <row r="1037" spans="2:17" ht="20.25" customHeight="1" x14ac:dyDescent="0.3">
      <c r="B1037" s="59" t="s">
        <v>27</v>
      </c>
      <c r="C1037" s="59" t="s">
        <v>155</v>
      </c>
      <c r="D1037" s="62" t="str">
        <f t="shared" si="28"/>
        <v>TeslaModel_X</v>
      </c>
      <c r="E1037" s="59" t="s">
        <v>1141</v>
      </c>
      <c r="F1037" s="60">
        <v>157060000</v>
      </c>
      <c r="G1037" s="60">
        <v>0</v>
      </c>
      <c r="H1037" s="58" t="s">
        <v>308</v>
      </c>
      <c r="I1037" s="58" t="s">
        <v>308</v>
      </c>
      <c r="J1037" s="58"/>
      <c r="K1037" s="58"/>
      <c r="L1037" s="58" t="s">
        <v>284</v>
      </c>
      <c r="M1037" s="58"/>
      <c r="N1037" s="58" t="s">
        <v>295</v>
      </c>
      <c r="O1037" s="58"/>
      <c r="P1037" s="63"/>
      <c r="Q1037" s="63"/>
    </row>
    <row r="1038" spans="2:17" ht="20.25" customHeight="1" x14ac:dyDescent="0.3">
      <c r="B1038" s="59" t="s">
        <v>27</v>
      </c>
      <c r="C1038" s="59" t="s">
        <v>1142</v>
      </c>
      <c r="D1038" s="62" t="str">
        <f t="shared" si="28"/>
        <v>TeslaModel_Y</v>
      </c>
      <c r="E1038" s="59" t="s">
        <v>1143</v>
      </c>
      <c r="F1038" s="60">
        <v>59990000</v>
      </c>
      <c r="G1038" s="60">
        <v>0</v>
      </c>
      <c r="H1038" s="58" t="s">
        <v>308</v>
      </c>
      <c r="I1038" s="58" t="s">
        <v>308</v>
      </c>
      <c r="J1038" s="58"/>
      <c r="K1038" s="58"/>
      <c r="L1038" s="58"/>
      <c r="M1038" s="58"/>
      <c r="N1038" s="58" t="s">
        <v>295</v>
      </c>
      <c r="O1038" s="58"/>
      <c r="P1038" s="63"/>
      <c r="Q1038" s="63"/>
    </row>
    <row r="1039" spans="2:17" ht="20.25" customHeight="1" x14ac:dyDescent="0.3">
      <c r="B1039" s="59" t="s">
        <v>27</v>
      </c>
      <c r="C1039" s="59" t="s">
        <v>1142</v>
      </c>
      <c r="D1039" s="62" t="str">
        <f t="shared" si="28"/>
        <v>TeslaModel_Y</v>
      </c>
      <c r="E1039" s="59" t="s">
        <v>1144</v>
      </c>
      <c r="F1039" s="60">
        <v>69990000</v>
      </c>
      <c r="G1039" s="60">
        <v>0</v>
      </c>
      <c r="H1039" s="58" t="s">
        <v>308</v>
      </c>
      <c r="I1039" s="58" t="s">
        <v>308</v>
      </c>
      <c r="J1039" s="58"/>
      <c r="K1039" s="58"/>
      <c r="L1039" s="58"/>
      <c r="M1039" s="58"/>
      <c r="N1039" s="58" t="s">
        <v>295</v>
      </c>
      <c r="O1039" s="58"/>
      <c r="P1039" s="63"/>
      <c r="Q1039" s="63"/>
    </row>
    <row r="1040" spans="2:17" ht="20.25" customHeight="1" x14ac:dyDescent="0.3">
      <c r="B1040" s="59" t="s">
        <v>27</v>
      </c>
      <c r="C1040" s="59" t="s">
        <v>1142</v>
      </c>
      <c r="D1040" s="62" t="str">
        <f t="shared" si="28"/>
        <v>TeslaModel_Y</v>
      </c>
      <c r="E1040" s="59" t="s">
        <v>1145</v>
      </c>
      <c r="F1040" s="60">
        <v>79990000</v>
      </c>
      <c r="G1040" s="60">
        <v>0</v>
      </c>
      <c r="H1040" s="58" t="s">
        <v>308</v>
      </c>
      <c r="I1040" s="58" t="s">
        <v>308</v>
      </c>
      <c r="J1040" s="58"/>
      <c r="K1040" s="58"/>
      <c r="L1040" s="58"/>
      <c r="M1040" s="58"/>
      <c r="N1040" s="58" t="s">
        <v>295</v>
      </c>
      <c r="O1040" s="58"/>
      <c r="P1040" s="63"/>
      <c r="Q1040" s="63"/>
    </row>
    <row r="1041" spans="2:17" ht="20.25" customHeight="1" x14ac:dyDescent="0.3">
      <c r="B1041" s="59"/>
      <c r="C1041" s="59"/>
      <c r="D1041" s="62"/>
      <c r="E1041" s="59"/>
      <c r="F1041" s="60"/>
      <c r="G1041" s="60"/>
      <c r="H1041" s="58"/>
      <c r="I1041" s="58"/>
      <c r="J1041" s="58"/>
      <c r="K1041" s="58"/>
      <c r="L1041" s="58"/>
      <c r="M1041" s="58"/>
      <c r="N1041" s="58"/>
      <c r="O1041" s="58"/>
      <c r="P1041" s="63"/>
      <c r="Q1041" s="63"/>
    </row>
    <row r="1042" spans="2:17" ht="20.25" customHeight="1" x14ac:dyDescent="0.3">
      <c r="B1042" s="59"/>
      <c r="C1042" s="59"/>
      <c r="D1042" s="62"/>
      <c r="E1042" s="59"/>
      <c r="F1042" s="60"/>
      <c r="G1042" s="60"/>
      <c r="H1042" s="58"/>
      <c r="I1042" s="58"/>
      <c r="J1042" s="58"/>
      <c r="K1042" s="58"/>
      <c r="L1042" s="58"/>
      <c r="M1042" s="58"/>
      <c r="N1042" s="58"/>
      <c r="O1042" s="58"/>
      <c r="P1042" s="63"/>
      <c r="Q1042" s="63"/>
    </row>
    <row r="1043" spans="2:17" ht="20.25" customHeight="1" x14ac:dyDescent="0.3">
      <c r="B1043" s="59"/>
      <c r="C1043" s="59"/>
      <c r="D1043" s="62"/>
      <c r="E1043" s="59"/>
      <c r="F1043" s="60"/>
      <c r="G1043" s="60"/>
      <c r="H1043" s="58"/>
      <c r="I1043" s="58"/>
      <c r="J1043" s="58"/>
      <c r="K1043" s="58"/>
      <c r="L1043" s="58"/>
      <c r="M1043" s="58"/>
      <c r="N1043" s="58"/>
      <c r="O1043" s="58"/>
      <c r="P1043" s="63"/>
      <c r="Q1043" s="63"/>
    </row>
    <row r="1044" spans="2:17" ht="20.25" customHeight="1" x14ac:dyDescent="0.3">
      <c r="B1044" s="59"/>
      <c r="C1044" s="59"/>
      <c r="D1044" s="62" t="str">
        <f t="shared" si="28"/>
        <v/>
      </c>
      <c r="E1044" s="59"/>
      <c r="F1044" s="60"/>
      <c r="G1044" s="60"/>
      <c r="H1044" s="58"/>
      <c r="I1044" s="58"/>
      <c r="J1044" s="58"/>
      <c r="K1044" s="58"/>
      <c r="L1044" s="58"/>
      <c r="M1044" s="58"/>
      <c r="N1044" s="58"/>
      <c r="O1044" s="58"/>
      <c r="P1044" s="63"/>
      <c r="Q1044" s="63"/>
    </row>
    <row r="1045" spans="2:17" ht="20.25" customHeight="1" x14ac:dyDescent="0.3">
      <c r="B1045" s="59" t="s">
        <v>1146</v>
      </c>
      <c r="C1045" s="65">
        <v>86</v>
      </c>
      <c r="D1045" s="62" t="str">
        <f t="shared" si="28"/>
        <v>TOYOTA86</v>
      </c>
      <c r="E1045" s="59" t="s">
        <v>1147</v>
      </c>
      <c r="F1045" s="60">
        <v>40300000</v>
      </c>
      <c r="G1045" s="60">
        <v>2387</v>
      </c>
      <c r="H1045" s="58" t="s">
        <v>241</v>
      </c>
      <c r="I1045" s="58" t="s">
        <v>242</v>
      </c>
      <c r="J1045" s="58" t="s">
        <v>1685</v>
      </c>
      <c r="K1045" s="58"/>
      <c r="L1045" s="58" t="s">
        <v>286</v>
      </c>
      <c r="M1045" s="58"/>
      <c r="N1045" s="58" t="s">
        <v>242</v>
      </c>
      <c r="O1045" s="58"/>
      <c r="P1045" s="63"/>
      <c r="Q1045" s="63"/>
    </row>
    <row r="1046" spans="2:17" ht="20.25" customHeight="1" x14ac:dyDescent="0.3">
      <c r="B1046" s="59" t="s">
        <v>1146</v>
      </c>
      <c r="C1046" s="65">
        <v>86</v>
      </c>
      <c r="D1046" s="62" t="str">
        <f t="shared" si="28"/>
        <v>TOYOTA86</v>
      </c>
      <c r="E1046" s="59" t="s">
        <v>1148</v>
      </c>
      <c r="F1046" s="60">
        <v>46300000</v>
      </c>
      <c r="G1046" s="60">
        <v>2387</v>
      </c>
      <c r="H1046" s="58" t="s">
        <v>241</v>
      </c>
      <c r="I1046" s="58" t="s">
        <v>242</v>
      </c>
      <c r="J1046" s="58" t="s">
        <v>1685</v>
      </c>
      <c r="K1046" s="58"/>
      <c r="L1046" s="58" t="s">
        <v>286</v>
      </c>
      <c r="M1046" s="58"/>
      <c r="N1046" s="58" t="s">
        <v>242</v>
      </c>
      <c r="O1046" s="58"/>
      <c r="P1046" s="63"/>
      <c r="Q1046" s="63"/>
    </row>
    <row r="1047" spans="2:17" ht="20.25" customHeight="1" x14ac:dyDescent="0.3">
      <c r="B1047" s="59" t="s">
        <v>1146</v>
      </c>
      <c r="C1047" s="59" t="s">
        <v>156</v>
      </c>
      <c r="D1047" s="62" t="str">
        <f t="shared" si="28"/>
        <v>TOYOTAAvalon</v>
      </c>
      <c r="E1047" s="59" t="s">
        <v>1149</v>
      </c>
      <c r="F1047" s="60">
        <v>47910000</v>
      </c>
      <c r="G1047" s="60">
        <v>2487</v>
      </c>
      <c r="H1047" s="58" t="s">
        <v>241</v>
      </c>
      <c r="I1047" s="58" t="s">
        <v>242</v>
      </c>
      <c r="J1047" s="58" t="s">
        <v>1685</v>
      </c>
      <c r="K1047" s="58"/>
      <c r="L1047" s="58" t="s">
        <v>599</v>
      </c>
      <c r="M1047" s="58"/>
      <c r="N1047" s="58" t="s">
        <v>242</v>
      </c>
      <c r="O1047" s="58"/>
      <c r="P1047" s="63"/>
      <c r="Q1047" s="63"/>
    </row>
    <row r="1048" spans="2:17" ht="20.25" customHeight="1" x14ac:dyDescent="0.3">
      <c r="B1048" s="59" t="s">
        <v>1146</v>
      </c>
      <c r="C1048" s="59" t="s">
        <v>157</v>
      </c>
      <c r="D1048" s="62" t="str">
        <f t="shared" si="28"/>
        <v>TOYOTACamry</v>
      </c>
      <c r="E1048" s="59" t="s">
        <v>1150</v>
      </c>
      <c r="F1048" s="60">
        <v>37680000</v>
      </c>
      <c r="G1048" s="60">
        <v>2487</v>
      </c>
      <c r="H1048" s="58" t="s">
        <v>241</v>
      </c>
      <c r="I1048" s="58" t="s">
        <v>242</v>
      </c>
      <c r="J1048" s="58" t="s">
        <v>1686</v>
      </c>
      <c r="K1048" s="58"/>
      <c r="L1048" s="58" t="s">
        <v>246</v>
      </c>
      <c r="M1048" s="58"/>
      <c r="N1048" s="58" t="s">
        <v>242</v>
      </c>
      <c r="O1048" s="58"/>
      <c r="P1048" s="63"/>
      <c r="Q1048" s="63"/>
    </row>
    <row r="1049" spans="2:17" ht="20.25" customHeight="1" x14ac:dyDescent="0.3">
      <c r="B1049" s="59" t="s">
        <v>1146</v>
      </c>
      <c r="C1049" s="59" t="s">
        <v>157</v>
      </c>
      <c r="D1049" s="62" t="str">
        <f t="shared" si="28"/>
        <v>TOYOTACamry</v>
      </c>
      <c r="E1049" s="59" t="s">
        <v>1151</v>
      </c>
      <c r="F1049" s="60">
        <v>44550000</v>
      </c>
      <c r="G1049" s="60">
        <v>2487</v>
      </c>
      <c r="H1049" s="58" t="s">
        <v>241</v>
      </c>
      <c r="I1049" s="58" t="s">
        <v>242</v>
      </c>
      <c r="J1049" s="58" t="s">
        <v>1686</v>
      </c>
      <c r="K1049" s="58"/>
      <c r="L1049" s="58" t="s">
        <v>246</v>
      </c>
      <c r="M1049" s="58"/>
      <c r="N1049" s="58" t="s">
        <v>242</v>
      </c>
      <c r="O1049" s="58"/>
      <c r="P1049" s="63"/>
      <c r="Q1049" s="63"/>
    </row>
    <row r="1050" spans="2:17" ht="20.25" customHeight="1" x14ac:dyDescent="0.3">
      <c r="B1050" s="59" t="s">
        <v>1146</v>
      </c>
      <c r="C1050" s="59" t="s">
        <v>157</v>
      </c>
      <c r="D1050" s="62" t="str">
        <f t="shared" si="28"/>
        <v>TOYOTACamry</v>
      </c>
      <c r="E1050" s="59" t="s">
        <v>1152</v>
      </c>
      <c r="F1050" s="60">
        <v>43960000</v>
      </c>
      <c r="G1050" s="60">
        <v>2487</v>
      </c>
      <c r="H1050" s="58" t="s">
        <v>241</v>
      </c>
      <c r="I1050" s="58" t="s">
        <v>242</v>
      </c>
      <c r="J1050" s="58" t="s">
        <v>1686</v>
      </c>
      <c r="K1050" s="58"/>
      <c r="L1050" s="58" t="s">
        <v>246</v>
      </c>
      <c r="M1050" s="58"/>
      <c r="N1050" s="58" t="s">
        <v>242</v>
      </c>
      <c r="O1050" s="58"/>
      <c r="P1050" s="63"/>
      <c r="Q1050" s="63"/>
    </row>
    <row r="1051" spans="2:17" ht="20.25" customHeight="1" x14ac:dyDescent="0.3">
      <c r="B1051" s="59" t="s">
        <v>1146</v>
      </c>
      <c r="C1051" s="59" t="s">
        <v>157</v>
      </c>
      <c r="D1051" s="62" t="str">
        <f t="shared" si="28"/>
        <v>TOYOTACamry</v>
      </c>
      <c r="E1051" s="59" t="s">
        <v>1153</v>
      </c>
      <c r="F1051" s="60">
        <v>37620000</v>
      </c>
      <c r="G1051" s="60">
        <v>2487</v>
      </c>
      <c r="H1051" s="58" t="s">
        <v>241</v>
      </c>
      <c r="I1051" s="58" t="s">
        <v>242</v>
      </c>
      <c r="J1051" s="58" t="s">
        <v>1686</v>
      </c>
      <c r="K1051" s="58"/>
      <c r="L1051" s="58" t="s">
        <v>599</v>
      </c>
      <c r="M1051" s="58"/>
      <c r="N1051" s="58" t="s">
        <v>242</v>
      </c>
      <c r="O1051" s="58"/>
      <c r="P1051" s="63"/>
      <c r="Q1051" s="63"/>
    </row>
    <row r="1052" spans="2:17" ht="20.25" customHeight="1" x14ac:dyDescent="0.3">
      <c r="B1052" s="59" t="s">
        <v>1146</v>
      </c>
      <c r="C1052" s="59" t="s">
        <v>157</v>
      </c>
      <c r="D1052" s="62" t="str">
        <f t="shared" si="28"/>
        <v>TOYOTACamry</v>
      </c>
      <c r="E1052" s="59" t="s">
        <v>1154</v>
      </c>
      <c r="F1052" s="60">
        <v>43570000</v>
      </c>
      <c r="G1052" s="60">
        <v>2487</v>
      </c>
      <c r="H1052" s="58" t="s">
        <v>241</v>
      </c>
      <c r="I1052" s="58" t="s">
        <v>242</v>
      </c>
      <c r="J1052" s="58" t="s">
        <v>1686</v>
      </c>
      <c r="K1052" s="58"/>
      <c r="L1052" s="58" t="s">
        <v>599</v>
      </c>
      <c r="M1052" s="58"/>
      <c r="N1052" s="58" t="s">
        <v>242</v>
      </c>
      <c r="O1052" s="58"/>
      <c r="P1052" s="63"/>
      <c r="Q1052" s="63"/>
    </row>
    <row r="1053" spans="2:17" ht="20.25" customHeight="1" x14ac:dyDescent="0.3">
      <c r="B1053" s="59" t="s">
        <v>1146</v>
      </c>
      <c r="C1053" s="59" t="s">
        <v>157</v>
      </c>
      <c r="D1053" s="62" t="str">
        <f t="shared" si="28"/>
        <v>TOYOTACamry</v>
      </c>
      <c r="E1053" s="59" t="s">
        <v>1155</v>
      </c>
      <c r="F1053" s="60">
        <v>42970000</v>
      </c>
      <c r="G1053" s="60">
        <v>2487</v>
      </c>
      <c r="H1053" s="58" t="s">
        <v>241</v>
      </c>
      <c r="I1053" s="58" t="s">
        <v>242</v>
      </c>
      <c r="J1053" s="58" t="s">
        <v>1686</v>
      </c>
      <c r="K1053" s="58"/>
      <c r="L1053" s="58" t="s">
        <v>599</v>
      </c>
      <c r="M1053" s="58"/>
      <c r="N1053" s="58" t="s">
        <v>242</v>
      </c>
      <c r="O1053" s="58"/>
      <c r="P1053" s="63"/>
      <c r="Q1053" s="63"/>
    </row>
    <row r="1054" spans="2:17" ht="20.25" customHeight="1" x14ac:dyDescent="0.3">
      <c r="B1054" s="59" t="s">
        <v>1146</v>
      </c>
      <c r="C1054" s="59" t="s">
        <v>158</v>
      </c>
      <c r="D1054" s="62" t="str">
        <f t="shared" si="28"/>
        <v>TOYOTACrown</v>
      </c>
      <c r="E1054" s="59" t="s">
        <v>1156</v>
      </c>
      <c r="F1054" s="60">
        <v>69400000</v>
      </c>
      <c r="G1054" s="60">
        <v>2393</v>
      </c>
      <c r="H1054" s="58" t="s">
        <v>241</v>
      </c>
      <c r="I1054" s="58" t="s">
        <v>242</v>
      </c>
      <c r="J1054" s="58" t="s">
        <v>1685</v>
      </c>
      <c r="K1054" s="58"/>
      <c r="L1054" s="58" t="s">
        <v>599</v>
      </c>
      <c r="M1054" s="58"/>
      <c r="N1054" s="58" t="s">
        <v>242</v>
      </c>
      <c r="O1054" s="58"/>
      <c r="P1054" s="63"/>
      <c r="Q1054" s="63"/>
    </row>
    <row r="1055" spans="2:17" ht="20.25" customHeight="1" x14ac:dyDescent="0.3">
      <c r="B1055" s="59" t="s">
        <v>1146</v>
      </c>
      <c r="C1055" s="59" t="s">
        <v>158</v>
      </c>
      <c r="D1055" s="62" t="str">
        <f t="shared" si="28"/>
        <v>TOYOTACrown</v>
      </c>
      <c r="E1055" s="59" t="s">
        <v>1157</v>
      </c>
      <c r="F1055" s="60">
        <v>59200000</v>
      </c>
      <c r="G1055" s="60">
        <v>2487</v>
      </c>
      <c r="H1055" s="58" t="s">
        <v>241</v>
      </c>
      <c r="I1055" s="58" t="s">
        <v>242</v>
      </c>
      <c r="J1055" s="58" t="s">
        <v>1685</v>
      </c>
      <c r="K1055" s="58"/>
      <c r="L1055" s="58" t="s">
        <v>599</v>
      </c>
      <c r="M1055" s="58"/>
      <c r="N1055" s="58" t="s">
        <v>242</v>
      </c>
      <c r="O1055" s="58"/>
      <c r="P1055" s="63"/>
      <c r="Q1055" s="63"/>
    </row>
    <row r="1056" spans="2:17" ht="20.25" customHeight="1" x14ac:dyDescent="0.3">
      <c r="B1056" s="59" t="s">
        <v>1146</v>
      </c>
      <c r="C1056" s="59" t="s">
        <v>159</v>
      </c>
      <c r="D1056" s="62" t="str">
        <f t="shared" si="28"/>
        <v>TOYOTAPrius</v>
      </c>
      <c r="E1056" s="59" t="s">
        <v>1158</v>
      </c>
      <c r="F1056" s="60">
        <v>24900000</v>
      </c>
      <c r="G1056" s="60">
        <v>1497</v>
      </c>
      <c r="H1056" s="58" t="s">
        <v>241</v>
      </c>
      <c r="I1056" s="58" t="s">
        <v>242</v>
      </c>
      <c r="J1056" s="58" t="s">
        <v>1687</v>
      </c>
      <c r="K1056" s="58"/>
      <c r="L1056" s="58" t="s">
        <v>599</v>
      </c>
      <c r="M1056" s="58"/>
      <c r="N1056" s="58" t="s">
        <v>242</v>
      </c>
      <c r="O1056" s="58"/>
      <c r="P1056" s="63"/>
      <c r="Q1056" s="63"/>
    </row>
    <row r="1057" spans="2:17" ht="20.25" customHeight="1" x14ac:dyDescent="0.3">
      <c r="B1057" s="59" t="s">
        <v>1146</v>
      </c>
      <c r="C1057" s="59" t="s">
        <v>159</v>
      </c>
      <c r="D1057" s="62" t="str">
        <f t="shared" si="28"/>
        <v>TOYOTAPrius</v>
      </c>
      <c r="E1057" s="59" t="s">
        <v>1159</v>
      </c>
      <c r="F1057" s="60">
        <v>25900000</v>
      </c>
      <c r="G1057" s="60">
        <v>1497</v>
      </c>
      <c r="H1057" s="58" t="s">
        <v>241</v>
      </c>
      <c r="I1057" s="58" t="s">
        <v>242</v>
      </c>
      <c r="J1057" s="58" t="s">
        <v>1687</v>
      </c>
      <c r="K1057" s="58"/>
      <c r="L1057" s="58" t="s">
        <v>599</v>
      </c>
      <c r="M1057" s="58"/>
      <c r="N1057" s="58" t="s">
        <v>242</v>
      </c>
      <c r="O1057" s="58"/>
      <c r="P1057" s="63"/>
      <c r="Q1057" s="63"/>
    </row>
    <row r="1058" spans="2:17" ht="20.25" customHeight="1" x14ac:dyDescent="0.3">
      <c r="B1058" s="59" t="s">
        <v>1146</v>
      </c>
      <c r="C1058" s="59" t="s">
        <v>159</v>
      </c>
      <c r="D1058" s="62" t="str">
        <f t="shared" si="28"/>
        <v>TOYOTAPrius</v>
      </c>
      <c r="E1058" s="59" t="s">
        <v>1160</v>
      </c>
      <c r="F1058" s="60">
        <v>33970000</v>
      </c>
      <c r="G1058" s="60">
        <v>1798</v>
      </c>
      <c r="H1058" s="58" t="s">
        <v>241</v>
      </c>
      <c r="I1058" s="58" t="s">
        <v>242</v>
      </c>
      <c r="J1058" s="58" t="s">
        <v>1687</v>
      </c>
      <c r="K1058" s="58"/>
      <c r="L1058" s="58" t="s">
        <v>599</v>
      </c>
      <c r="M1058" s="58"/>
      <c r="N1058" s="58" t="s">
        <v>242</v>
      </c>
      <c r="O1058" s="58"/>
      <c r="P1058" s="63"/>
      <c r="Q1058" s="63"/>
    </row>
    <row r="1059" spans="2:17" ht="20.25" customHeight="1" x14ac:dyDescent="0.3">
      <c r="B1059" s="59" t="s">
        <v>1146</v>
      </c>
      <c r="C1059" s="59" t="s">
        <v>159</v>
      </c>
      <c r="D1059" s="62" t="str">
        <f t="shared" si="28"/>
        <v>TOYOTAPrius</v>
      </c>
      <c r="E1059" s="59" t="s">
        <v>1161</v>
      </c>
      <c r="F1059" s="60">
        <v>37120000</v>
      </c>
      <c r="G1059" s="60">
        <v>1798</v>
      </c>
      <c r="H1059" s="58" t="s">
        <v>241</v>
      </c>
      <c r="I1059" s="58" t="s">
        <v>242</v>
      </c>
      <c r="J1059" s="58" t="s">
        <v>1687</v>
      </c>
      <c r="K1059" s="58"/>
      <c r="L1059" s="58" t="s">
        <v>599</v>
      </c>
      <c r="M1059" s="58"/>
      <c r="N1059" s="58" t="s">
        <v>242</v>
      </c>
      <c r="O1059" s="58"/>
      <c r="P1059" s="63"/>
      <c r="Q1059" s="63"/>
    </row>
    <row r="1060" spans="2:17" ht="20.25" customHeight="1" x14ac:dyDescent="0.3">
      <c r="B1060" s="59" t="s">
        <v>1146</v>
      </c>
      <c r="C1060" s="59" t="s">
        <v>159</v>
      </c>
      <c r="D1060" s="62" t="str">
        <f t="shared" si="28"/>
        <v>TOYOTAPrius</v>
      </c>
      <c r="E1060" s="59" t="s">
        <v>1162</v>
      </c>
      <c r="F1060" s="60">
        <v>49340000</v>
      </c>
      <c r="G1060" s="60">
        <v>1798</v>
      </c>
      <c r="H1060" s="58" t="s">
        <v>241</v>
      </c>
      <c r="I1060" s="58" t="s">
        <v>242</v>
      </c>
      <c r="J1060" s="58" t="s">
        <v>1687</v>
      </c>
      <c r="K1060" s="58"/>
      <c r="L1060" s="58" t="s">
        <v>599</v>
      </c>
      <c r="M1060" s="58"/>
      <c r="N1060" s="58" t="s">
        <v>242</v>
      </c>
      <c r="O1060" s="58"/>
      <c r="P1060" s="63"/>
      <c r="Q1060" s="63"/>
    </row>
    <row r="1061" spans="2:17" ht="20.25" customHeight="1" x14ac:dyDescent="0.3">
      <c r="B1061" s="59" t="s">
        <v>1146</v>
      </c>
      <c r="C1061" s="59" t="s">
        <v>160</v>
      </c>
      <c r="D1061" s="62" t="str">
        <f t="shared" si="28"/>
        <v>TOYOTAGR</v>
      </c>
      <c r="E1061" s="59" t="s">
        <v>1163</v>
      </c>
      <c r="F1061" s="60">
        <v>76400000</v>
      </c>
      <c r="G1061" s="60">
        <v>2998</v>
      </c>
      <c r="H1061" s="58" t="s">
        <v>241</v>
      </c>
      <c r="I1061" s="58" t="s">
        <v>242</v>
      </c>
      <c r="J1061" s="58" t="s">
        <v>1685</v>
      </c>
      <c r="K1061" s="58"/>
      <c r="L1061" s="58" t="s">
        <v>286</v>
      </c>
      <c r="M1061" s="58"/>
      <c r="N1061" s="58" t="s">
        <v>242</v>
      </c>
      <c r="O1061" s="58"/>
      <c r="P1061" s="63"/>
      <c r="Q1061" s="63"/>
    </row>
    <row r="1062" spans="2:17" ht="20.25" customHeight="1" x14ac:dyDescent="0.3">
      <c r="B1062" s="59" t="s">
        <v>1146</v>
      </c>
      <c r="C1062" s="59" t="s">
        <v>161</v>
      </c>
      <c r="D1062" s="62" t="str">
        <f t="shared" si="28"/>
        <v>TOYOTARAV4</v>
      </c>
      <c r="E1062" s="59" t="s">
        <v>1164</v>
      </c>
      <c r="F1062" s="60">
        <v>36000000</v>
      </c>
      <c r="G1062" s="60">
        <v>2487</v>
      </c>
      <c r="H1062" s="58" t="s">
        <v>241</v>
      </c>
      <c r="I1062" s="58" t="s">
        <v>295</v>
      </c>
      <c r="J1062" s="58" t="s">
        <v>1688</v>
      </c>
      <c r="K1062" s="58"/>
      <c r="L1062" s="58" t="s">
        <v>86</v>
      </c>
      <c r="M1062" s="58"/>
      <c r="N1062" s="58" t="s">
        <v>295</v>
      </c>
      <c r="O1062" s="58"/>
      <c r="P1062" s="63"/>
      <c r="Q1062" s="63"/>
    </row>
    <row r="1063" spans="2:17" ht="20.25" customHeight="1" x14ac:dyDescent="0.3">
      <c r="B1063" s="59" t="s">
        <v>1146</v>
      </c>
      <c r="C1063" s="59" t="s">
        <v>161</v>
      </c>
      <c r="D1063" s="62" t="str">
        <f t="shared" si="28"/>
        <v>TOYOTARAV4</v>
      </c>
      <c r="E1063" s="59" t="s">
        <v>1165</v>
      </c>
      <c r="F1063" s="60">
        <v>40590000</v>
      </c>
      <c r="G1063" s="60">
        <v>2487</v>
      </c>
      <c r="H1063" s="58" t="s">
        <v>241</v>
      </c>
      <c r="I1063" s="58" t="s">
        <v>295</v>
      </c>
      <c r="J1063" s="58" t="s">
        <v>1688</v>
      </c>
      <c r="K1063" s="58"/>
      <c r="L1063" s="58" t="s">
        <v>248</v>
      </c>
      <c r="M1063" s="58"/>
      <c r="N1063" s="58" t="s">
        <v>295</v>
      </c>
      <c r="O1063" s="58"/>
      <c r="P1063" s="63"/>
      <c r="Q1063" s="63"/>
    </row>
    <row r="1064" spans="2:17" ht="20.25" customHeight="1" x14ac:dyDescent="0.3">
      <c r="B1064" s="59" t="s">
        <v>1146</v>
      </c>
      <c r="C1064" s="59" t="s">
        <v>161</v>
      </c>
      <c r="D1064" s="62" t="str">
        <f t="shared" si="28"/>
        <v>TOYOTARAV4</v>
      </c>
      <c r="E1064" s="59" t="s">
        <v>1166</v>
      </c>
      <c r="F1064" s="60">
        <v>46270000</v>
      </c>
      <c r="G1064" s="60">
        <v>2487</v>
      </c>
      <c r="H1064" s="58" t="s">
        <v>241</v>
      </c>
      <c r="I1064" s="58" t="s">
        <v>295</v>
      </c>
      <c r="J1064" s="58" t="s">
        <v>1688</v>
      </c>
      <c r="K1064" s="58"/>
      <c r="L1064" s="58" t="s">
        <v>248</v>
      </c>
      <c r="M1064" s="58"/>
      <c r="N1064" s="58" t="s">
        <v>295</v>
      </c>
      <c r="O1064" s="58"/>
      <c r="P1064" s="63"/>
      <c r="Q1064" s="63"/>
    </row>
    <row r="1065" spans="2:17" ht="20.25" customHeight="1" x14ac:dyDescent="0.3">
      <c r="B1065" s="59" t="s">
        <v>1146</v>
      </c>
      <c r="C1065" s="59" t="s">
        <v>162</v>
      </c>
      <c r="D1065" s="62" t="str">
        <f t="shared" si="28"/>
        <v>TOYOTASienna</v>
      </c>
      <c r="E1065" s="59" t="s">
        <v>1167</v>
      </c>
      <c r="F1065" s="60">
        <v>69600000</v>
      </c>
      <c r="G1065" s="60">
        <v>2487</v>
      </c>
      <c r="H1065" s="58" t="s">
        <v>241</v>
      </c>
      <c r="I1065" s="58" t="s">
        <v>295</v>
      </c>
      <c r="J1065" s="58" t="s">
        <v>1689</v>
      </c>
      <c r="K1065" s="58"/>
      <c r="L1065" s="58" t="s">
        <v>248</v>
      </c>
      <c r="M1065" s="58"/>
      <c r="N1065" s="58" t="s">
        <v>322</v>
      </c>
      <c r="O1065" s="58"/>
      <c r="P1065" s="63"/>
      <c r="Q1065" s="63"/>
    </row>
    <row r="1066" spans="2:17" ht="20.25" customHeight="1" x14ac:dyDescent="0.3">
      <c r="B1066" s="59" t="s">
        <v>1146</v>
      </c>
      <c r="C1066" s="59" t="s">
        <v>162</v>
      </c>
      <c r="D1066" s="62" t="str">
        <f t="shared" si="28"/>
        <v>TOYOTASienna</v>
      </c>
      <c r="E1066" s="59" t="s">
        <v>1168</v>
      </c>
      <c r="F1066" s="60">
        <v>69500000</v>
      </c>
      <c r="G1066" s="60">
        <v>2487</v>
      </c>
      <c r="H1066" s="58" t="s">
        <v>241</v>
      </c>
      <c r="I1066" s="58" t="s">
        <v>295</v>
      </c>
      <c r="J1066" s="58" t="s">
        <v>1689</v>
      </c>
      <c r="K1066" s="58"/>
      <c r="L1066" s="58" t="s">
        <v>248</v>
      </c>
      <c r="M1066" s="58"/>
      <c r="N1066" s="58" t="s">
        <v>322</v>
      </c>
      <c r="O1066" s="58"/>
      <c r="P1066" s="63"/>
      <c r="Q1066" s="63"/>
    </row>
    <row r="1067" spans="2:17" ht="20.25" customHeight="1" x14ac:dyDescent="0.3">
      <c r="B1067" s="59" t="s">
        <v>1146</v>
      </c>
      <c r="C1067" s="59" t="s">
        <v>163</v>
      </c>
      <c r="D1067" s="62" t="str">
        <f t="shared" si="28"/>
        <v>TOYOTAAlphard</v>
      </c>
      <c r="E1067" s="59" t="s">
        <v>1169</v>
      </c>
      <c r="F1067" s="60">
        <v>99200000</v>
      </c>
      <c r="G1067" s="60">
        <v>2487</v>
      </c>
      <c r="H1067" s="58" t="s">
        <v>241</v>
      </c>
      <c r="I1067" s="58" t="s">
        <v>295</v>
      </c>
      <c r="J1067" s="58" t="s">
        <v>1686</v>
      </c>
      <c r="K1067" s="58"/>
      <c r="L1067" s="58" t="s">
        <v>279</v>
      </c>
      <c r="M1067" s="58"/>
      <c r="N1067" s="58" t="s">
        <v>322</v>
      </c>
      <c r="O1067" s="58"/>
      <c r="P1067" s="63"/>
      <c r="Q1067" s="63"/>
    </row>
    <row r="1068" spans="2:17" ht="20.25" customHeight="1" x14ac:dyDescent="0.3">
      <c r="B1068" s="59"/>
      <c r="C1068" s="59"/>
      <c r="D1068" s="62"/>
      <c r="E1068" s="59"/>
      <c r="F1068" s="60"/>
      <c r="G1068" s="60"/>
      <c r="H1068" s="58"/>
      <c r="I1068" s="58"/>
      <c r="J1068" s="58"/>
      <c r="K1068" s="58"/>
      <c r="L1068" s="58"/>
      <c r="M1068" s="58"/>
      <c r="N1068" s="58"/>
      <c r="O1068" s="58"/>
      <c r="P1068" s="63"/>
      <c r="Q1068" s="63"/>
    </row>
    <row r="1069" spans="2:17" ht="20.25" customHeight="1" x14ac:dyDescent="0.3">
      <c r="B1069" s="59"/>
      <c r="C1069" s="59"/>
      <c r="D1069" s="62"/>
      <c r="E1069" s="59"/>
      <c r="F1069" s="60"/>
      <c r="G1069" s="60"/>
      <c r="H1069" s="58"/>
      <c r="I1069" s="58"/>
      <c r="J1069" s="58"/>
      <c r="K1069" s="58"/>
      <c r="L1069" s="58"/>
      <c r="M1069" s="58"/>
      <c r="N1069" s="58"/>
      <c r="O1069" s="58"/>
      <c r="P1069" s="63"/>
      <c r="Q1069" s="63"/>
    </row>
    <row r="1070" spans="2:17" ht="20.25" customHeight="1" x14ac:dyDescent="0.3">
      <c r="B1070" s="59"/>
      <c r="C1070" s="59"/>
      <c r="D1070" s="62"/>
      <c r="E1070" s="59"/>
      <c r="F1070" s="60"/>
      <c r="G1070" s="60"/>
      <c r="H1070" s="58"/>
      <c r="I1070" s="58"/>
      <c r="J1070" s="58"/>
      <c r="K1070" s="58"/>
      <c r="L1070" s="58"/>
      <c r="M1070" s="58"/>
      <c r="N1070" s="58"/>
      <c r="O1070" s="58"/>
      <c r="P1070" s="63"/>
      <c r="Q1070" s="63"/>
    </row>
    <row r="1071" spans="2:17" ht="20.25" customHeight="1" x14ac:dyDescent="0.3">
      <c r="B1071" s="59" t="s">
        <v>1170</v>
      </c>
      <c r="C1071" s="59" t="s">
        <v>164</v>
      </c>
      <c r="D1071" s="62" t="str">
        <f t="shared" si="28"/>
        <v>VOLKSWAGENJetta</v>
      </c>
      <c r="E1071" s="59" t="s">
        <v>1171</v>
      </c>
      <c r="F1071" s="60">
        <v>32330000</v>
      </c>
      <c r="G1071" s="60">
        <v>1498</v>
      </c>
      <c r="H1071" s="58" t="s">
        <v>241</v>
      </c>
      <c r="I1071" s="58" t="s">
        <v>242</v>
      </c>
      <c r="J1071" s="58" t="s">
        <v>1681</v>
      </c>
      <c r="K1071" s="58"/>
      <c r="L1071" s="58" t="s">
        <v>246</v>
      </c>
      <c r="M1071" s="58"/>
      <c r="N1071" s="58" t="s">
        <v>242</v>
      </c>
      <c r="O1071" s="58"/>
      <c r="P1071" s="63"/>
      <c r="Q1071" s="63"/>
    </row>
    <row r="1072" spans="2:17" ht="20.25" customHeight="1" x14ac:dyDescent="0.3">
      <c r="B1072" s="59" t="s">
        <v>1170</v>
      </c>
      <c r="C1072" s="59" t="s">
        <v>164</v>
      </c>
      <c r="D1072" s="62" t="str">
        <f t="shared" si="28"/>
        <v>VOLKSWAGENJetta</v>
      </c>
      <c r="E1072" s="59" t="s">
        <v>1172</v>
      </c>
      <c r="F1072" s="60">
        <v>35860000</v>
      </c>
      <c r="G1072" s="60">
        <v>1498</v>
      </c>
      <c r="H1072" s="58" t="s">
        <v>241</v>
      </c>
      <c r="I1072" s="58" t="s">
        <v>242</v>
      </c>
      <c r="J1072" s="58" t="s">
        <v>1681</v>
      </c>
      <c r="K1072" s="58"/>
      <c r="L1072" s="58" t="s">
        <v>246</v>
      </c>
      <c r="M1072" s="58"/>
      <c r="N1072" s="58" t="s">
        <v>242</v>
      </c>
      <c r="O1072" s="58"/>
      <c r="P1072" s="63"/>
      <c r="Q1072" s="63"/>
    </row>
    <row r="1073" spans="2:17" ht="20.25" customHeight="1" x14ac:dyDescent="0.3">
      <c r="B1073" s="59" t="s">
        <v>1170</v>
      </c>
      <c r="C1073" s="59" t="s">
        <v>165</v>
      </c>
      <c r="D1073" s="62" t="str">
        <f t="shared" si="28"/>
        <v>VOLKSWAGENArteon</v>
      </c>
      <c r="E1073" s="59" t="s">
        <v>1173</v>
      </c>
      <c r="F1073" s="60">
        <v>53900000</v>
      </c>
      <c r="G1073" s="60">
        <v>1968</v>
      </c>
      <c r="H1073" s="58" t="s">
        <v>250</v>
      </c>
      <c r="I1073" s="58" t="s">
        <v>242</v>
      </c>
      <c r="J1073" s="58" t="s">
        <v>1681</v>
      </c>
      <c r="K1073" s="58"/>
      <c r="L1073" s="58" t="s">
        <v>86</v>
      </c>
      <c r="M1073" s="58"/>
      <c r="N1073" s="58" t="s">
        <v>242</v>
      </c>
      <c r="O1073" s="58"/>
      <c r="P1073" s="63"/>
      <c r="Q1073" s="63"/>
    </row>
    <row r="1074" spans="2:17" ht="20.25" customHeight="1" x14ac:dyDescent="0.3">
      <c r="B1074" s="59" t="s">
        <v>1170</v>
      </c>
      <c r="C1074" s="59" t="s">
        <v>165</v>
      </c>
      <c r="D1074" s="62" t="str">
        <f t="shared" si="28"/>
        <v>VOLKSWAGENArteon</v>
      </c>
      <c r="E1074" s="59" t="s">
        <v>1174</v>
      </c>
      <c r="F1074" s="60">
        <v>57670000</v>
      </c>
      <c r="G1074" s="60">
        <v>1968</v>
      </c>
      <c r="H1074" s="58" t="s">
        <v>250</v>
      </c>
      <c r="I1074" s="58" t="s">
        <v>242</v>
      </c>
      <c r="J1074" s="58" t="s">
        <v>1681</v>
      </c>
      <c r="K1074" s="58"/>
      <c r="L1074" s="58" t="s">
        <v>86</v>
      </c>
      <c r="M1074" s="58"/>
      <c r="N1074" s="58" t="s">
        <v>242</v>
      </c>
      <c r="O1074" s="58"/>
      <c r="P1074" s="63"/>
      <c r="Q1074" s="63"/>
    </row>
    <row r="1075" spans="2:17" ht="20.25" customHeight="1" x14ac:dyDescent="0.3">
      <c r="B1075" s="59" t="s">
        <v>1170</v>
      </c>
      <c r="C1075" s="59" t="s">
        <v>165</v>
      </c>
      <c r="D1075" s="62" t="str">
        <f t="shared" si="28"/>
        <v>VOLKSWAGENArteon</v>
      </c>
      <c r="E1075" s="59" t="s">
        <v>1175</v>
      </c>
      <c r="F1075" s="60">
        <v>60810000</v>
      </c>
      <c r="G1075" s="60">
        <v>1968</v>
      </c>
      <c r="H1075" s="58" t="s">
        <v>250</v>
      </c>
      <c r="I1075" s="58" t="s">
        <v>242</v>
      </c>
      <c r="J1075" s="58" t="s">
        <v>1681</v>
      </c>
      <c r="K1075" s="58"/>
      <c r="L1075" s="58" t="s">
        <v>86</v>
      </c>
      <c r="M1075" s="58"/>
      <c r="N1075" s="58" t="s">
        <v>242</v>
      </c>
      <c r="O1075" s="58"/>
      <c r="P1075" s="63"/>
      <c r="Q1075" s="63"/>
    </row>
    <row r="1076" spans="2:17" ht="20.25" customHeight="1" x14ac:dyDescent="0.3">
      <c r="B1076" s="59" t="s">
        <v>1170</v>
      </c>
      <c r="C1076" s="59" t="s">
        <v>165</v>
      </c>
      <c r="D1076" s="62" t="str">
        <f t="shared" si="28"/>
        <v>VOLKSWAGENArteon</v>
      </c>
      <c r="E1076" s="59" t="s">
        <v>1176</v>
      </c>
      <c r="F1076" s="60">
        <v>62580000</v>
      </c>
      <c r="G1076" s="60">
        <v>1968</v>
      </c>
      <c r="H1076" s="58" t="s">
        <v>250</v>
      </c>
      <c r="I1076" s="58" t="s">
        <v>242</v>
      </c>
      <c r="J1076" s="58" t="s">
        <v>1681</v>
      </c>
      <c r="K1076" s="58"/>
      <c r="L1076" s="58" t="s">
        <v>86</v>
      </c>
      <c r="M1076" s="58"/>
      <c r="N1076" s="58" t="s">
        <v>242</v>
      </c>
      <c r="O1076" s="58"/>
      <c r="P1076" s="63"/>
      <c r="Q1076" s="63"/>
    </row>
    <row r="1077" spans="2:17" ht="20.25" customHeight="1" x14ac:dyDescent="0.3">
      <c r="B1077" s="59" t="s">
        <v>1170</v>
      </c>
      <c r="C1077" s="59" t="s">
        <v>166</v>
      </c>
      <c r="D1077" s="62" t="str">
        <f t="shared" si="28"/>
        <v>VOLKSWAGENTiguan</v>
      </c>
      <c r="E1077" s="59" t="s">
        <v>1177</v>
      </c>
      <c r="F1077" s="60">
        <v>43130000</v>
      </c>
      <c r="G1077" s="60">
        <v>1968</v>
      </c>
      <c r="H1077" s="58" t="s">
        <v>250</v>
      </c>
      <c r="I1077" s="58" t="s">
        <v>295</v>
      </c>
      <c r="J1077" s="58" t="s">
        <v>1682</v>
      </c>
      <c r="K1077" s="58"/>
      <c r="L1077" s="58" t="s">
        <v>470</v>
      </c>
      <c r="M1077" s="58"/>
      <c r="N1077" s="58" t="s">
        <v>295</v>
      </c>
      <c r="O1077" s="58"/>
      <c r="P1077" s="63"/>
      <c r="Q1077" s="63"/>
    </row>
    <row r="1078" spans="2:17" ht="20.25" customHeight="1" x14ac:dyDescent="0.3">
      <c r="B1078" s="59" t="s">
        <v>1170</v>
      </c>
      <c r="C1078" s="59" t="s">
        <v>166</v>
      </c>
      <c r="D1078" s="62" t="str">
        <f t="shared" si="28"/>
        <v>VOLKSWAGENTiguan</v>
      </c>
      <c r="E1078" s="59" t="s">
        <v>1178</v>
      </c>
      <c r="F1078" s="60">
        <v>43130000</v>
      </c>
      <c r="G1078" s="60">
        <v>1968</v>
      </c>
      <c r="H1078" s="58" t="s">
        <v>250</v>
      </c>
      <c r="I1078" s="58" t="s">
        <v>295</v>
      </c>
      <c r="J1078" s="58" t="s">
        <v>1682</v>
      </c>
      <c r="K1078" s="58"/>
      <c r="L1078" s="58" t="s">
        <v>470</v>
      </c>
      <c r="M1078" s="58"/>
      <c r="N1078" s="58" t="s">
        <v>295</v>
      </c>
      <c r="O1078" s="58"/>
      <c r="P1078" s="63"/>
      <c r="Q1078" s="63"/>
    </row>
    <row r="1079" spans="2:17" ht="20.25" customHeight="1" x14ac:dyDescent="0.3">
      <c r="B1079" s="59" t="s">
        <v>1170</v>
      </c>
      <c r="C1079" s="59" t="s">
        <v>166</v>
      </c>
      <c r="D1079" s="62" t="str">
        <f t="shared" si="28"/>
        <v>VOLKSWAGENTiguan</v>
      </c>
      <c r="E1079" s="59" t="s">
        <v>1179</v>
      </c>
      <c r="F1079" s="60">
        <v>47060000</v>
      </c>
      <c r="G1079" s="60">
        <v>1968</v>
      </c>
      <c r="H1079" s="58" t="s">
        <v>250</v>
      </c>
      <c r="I1079" s="58" t="s">
        <v>295</v>
      </c>
      <c r="J1079" s="58" t="s">
        <v>1682</v>
      </c>
      <c r="K1079" s="58"/>
      <c r="L1079" s="58" t="s">
        <v>470</v>
      </c>
      <c r="M1079" s="58"/>
      <c r="N1079" s="58" t="s">
        <v>295</v>
      </c>
      <c r="O1079" s="58"/>
      <c r="P1079" s="63"/>
      <c r="Q1079" s="63"/>
    </row>
    <row r="1080" spans="2:17" ht="20.25" customHeight="1" x14ac:dyDescent="0.3">
      <c r="B1080" s="59" t="s">
        <v>1170</v>
      </c>
      <c r="C1080" s="59" t="s">
        <v>166</v>
      </c>
      <c r="D1080" s="62" t="str">
        <f t="shared" si="28"/>
        <v>VOLKSWAGENTiguan</v>
      </c>
      <c r="E1080" s="59" t="s">
        <v>1180</v>
      </c>
      <c r="F1080" s="60">
        <v>49020000</v>
      </c>
      <c r="G1080" s="60">
        <v>1968</v>
      </c>
      <c r="H1080" s="58" t="s">
        <v>250</v>
      </c>
      <c r="I1080" s="58" t="s">
        <v>295</v>
      </c>
      <c r="J1080" s="58" t="s">
        <v>1682</v>
      </c>
      <c r="K1080" s="58"/>
      <c r="L1080" s="58" t="s">
        <v>470</v>
      </c>
      <c r="M1080" s="58"/>
      <c r="N1080" s="58" t="s">
        <v>295</v>
      </c>
      <c r="O1080" s="58"/>
      <c r="P1080" s="63"/>
      <c r="Q1080" s="63"/>
    </row>
    <row r="1081" spans="2:17" ht="20.25" customHeight="1" x14ac:dyDescent="0.3">
      <c r="B1081" s="59" t="s">
        <v>1170</v>
      </c>
      <c r="C1081" s="59" t="s">
        <v>166</v>
      </c>
      <c r="D1081" s="62" t="str">
        <f t="shared" si="28"/>
        <v>VOLKSWAGENTiguan</v>
      </c>
      <c r="E1081" s="59" t="s">
        <v>1181</v>
      </c>
      <c r="F1081" s="60">
        <v>50990000</v>
      </c>
      <c r="G1081" s="60">
        <v>1984</v>
      </c>
      <c r="H1081" s="58" t="s">
        <v>241</v>
      </c>
      <c r="I1081" s="58" t="s">
        <v>295</v>
      </c>
      <c r="J1081" s="58" t="s">
        <v>1682</v>
      </c>
      <c r="K1081" s="58"/>
      <c r="L1081" s="58" t="s">
        <v>470</v>
      </c>
      <c r="M1081" s="58"/>
      <c r="N1081" s="58" t="s">
        <v>295</v>
      </c>
      <c r="O1081" s="58"/>
      <c r="P1081" s="63"/>
      <c r="Q1081" s="63"/>
    </row>
    <row r="1082" spans="2:17" ht="20.25" customHeight="1" x14ac:dyDescent="0.3">
      <c r="B1082" s="59" t="s">
        <v>1170</v>
      </c>
      <c r="C1082" s="59" t="s">
        <v>167</v>
      </c>
      <c r="D1082" s="62" t="str">
        <f t="shared" si="28"/>
        <v>VOLKSWAGENTouareg</v>
      </c>
      <c r="E1082" s="59" t="s">
        <v>1182</v>
      </c>
      <c r="F1082" s="60">
        <v>83900000</v>
      </c>
      <c r="G1082" s="60">
        <v>2967</v>
      </c>
      <c r="H1082" s="58" t="s">
        <v>250</v>
      </c>
      <c r="I1082" s="58" t="s">
        <v>295</v>
      </c>
      <c r="J1082" s="58" t="s">
        <v>1680</v>
      </c>
      <c r="K1082" s="58"/>
      <c r="L1082" s="58" t="s">
        <v>599</v>
      </c>
      <c r="M1082" s="58"/>
      <c r="N1082" s="58" t="s">
        <v>295</v>
      </c>
      <c r="O1082" s="58"/>
      <c r="P1082" s="63"/>
      <c r="Q1082" s="63"/>
    </row>
    <row r="1083" spans="2:17" ht="20.25" customHeight="1" x14ac:dyDescent="0.3">
      <c r="B1083" s="59" t="s">
        <v>1170</v>
      </c>
      <c r="C1083" s="59" t="s">
        <v>167</v>
      </c>
      <c r="D1083" s="62" t="str">
        <f t="shared" si="28"/>
        <v>VOLKSWAGENTouareg</v>
      </c>
      <c r="E1083" s="59" t="s">
        <v>1183</v>
      </c>
      <c r="F1083" s="60">
        <v>89900000</v>
      </c>
      <c r="G1083" s="60">
        <v>2967</v>
      </c>
      <c r="H1083" s="58" t="s">
        <v>250</v>
      </c>
      <c r="I1083" s="58" t="s">
        <v>295</v>
      </c>
      <c r="J1083" s="58" t="s">
        <v>1680</v>
      </c>
      <c r="K1083" s="58"/>
      <c r="L1083" s="58" t="s">
        <v>599</v>
      </c>
      <c r="M1083" s="58"/>
      <c r="N1083" s="58" t="s">
        <v>295</v>
      </c>
      <c r="O1083" s="58"/>
      <c r="P1083" s="63"/>
      <c r="Q1083" s="63"/>
    </row>
    <row r="1084" spans="2:17" ht="20.25" customHeight="1" x14ac:dyDescent="0.3">
      <c r="B1084" s="59" t="s">
        <v>1170</v>
      </c>
      <c r="C1084" s="59" t="s">
        <v>167</v>
      </c>
      <c r="D1084" s="62" t="str">
        <f t="shared" si="28"/>
        <v>VOLKSWAGENTouareg</v>
      </c>
      <c r="E1084" s="59" t="s">
        <v>1184</v>
      </c>
      <c r="F1084" s="60">
        <v>97900000</v>
      </c>
      <c r="G1084" s="60">
        <v>2967</v>
      </c>
      <c r="H1084" s="58" t="s">
        <v>250</v>
      </c>
      <c r="I1084" s="58" t="s">
        <v>295</v>
      </c>
      <c r="J1084" s="58" t="s">
        <v>1680</v>
      </c>
      <c r="K1084" s="58"/>
      <c r="L1084" s="58" t="s">
        <v>599</v>
      </c>
      <c r="M1084" s="58"/>
      <c r="N1084" s="58" t="s">
        <v>295</v>
      </c>
      <c r="O1084" s="58"/>
      <c r="P1084" s="63"/>
      <c r="Q1084" s="63"/>
    </row>
    <row r="1085" spans="2:17" ht="20.25" customHeight="1" x14ac:dyDescent="0.3">
      <c r="B1085" s="59" t="s">
        <v>1170</v>
      </c>
      <c r="C1085" s="59" t="s">
        <v>167</v>
      </c>
      <c r="D1085" s="62" t="str">
        <f t="shared" si="28"/>
        <v>VOLKSWAGENTouareg</v>
      </c>
      <c r="E1085" s="59" t="s">
        <v>1185</v>
      </c>
      <c r="F1085" s="60">
        <v>123200000</v>
      </c>
      <c r="G1085" s="60">
        <v>3956</v>
      </c>
      <c r="H1085" s="58" t="s">
        <v>250</v>
      </c>
      <c r="I1085" s="58" t="s">
        <v>295</v>
      </c>
      <c r="J1085" s="58" t="s">
        <v>1680</v>
      </c>
      <c r="K1085" s="58"/>
      <c r="L1085" s="58" t="s">
        <v>599</v>
      </c>
      <c r="M1085" s="58"/>
      <c r="N1085" s="58" t="s">
        <v>295</v>
      </c>
      <c r="O1085" s="58"/>
      <c r="P1085" s="63"/>
      <c r="Q1085" s="63"/>
    </row>
    <row r="1086" spans="2:17" ht="20.25" customHeight="1" x14ac:dyDescent="0.3">
      <c r="B1086" s="59" t="s">
        <v>1170</v>
      </c>
      <c r="C1086" s="59" t="s">
        <v>167</v>
      </c>
      <c r="D1086" s="62" t="str">
        <f t="shared" si="28"/>
        <v>VOLKSWAGENTouareg</v>
      </c>
      <c r="E1086" s="59" t="s">
        <v>1186</v>
      </c>
      <c r="F1086" s="60">
        <v>127200000</v>
      </c>
      <c r="G1086" s="60">
        <v>3956</v>
      </c>
      <c r="H1086" s="58" t="s">
        <v>250</v>
      </c>
      <c r="I1086" s="58" t="s">
        <v>295</v>
      </c>
      <c r="J1086" s="58" t="s">
        <v>1680</v>
      </c>
      <c r="K1086" s="58"/>
      <c r="L1086" s="58" t="s">
        <v>599</v>
      </c>
      <c r="M1086" s="58"/>
      <c r="N1086" s="58" t="s">
        <v>295</v>
      </c>
      <c r="O1086" s="58"/>
      <c r="P1086" s="63"/>
      <c r="Q1086" s="63"/>
    </row>
    <row r="1087" spans="2:17" ht="20.25" customHeight="1" x14ac:dyDescent="0.3">
      <c r="B1087" s="59" t="s">
        <v>1170</v>
      </c>
      <c r="C1087" s="59" t="s">
        <v>168</v>
      </c>
      <c r="D1087" s="62" t="str">
        <f t="shared" si="28"/>
        <v>VOLKSWAGENT_Roc</v>
      </c>
      <c r="E1087" s="59" t="s">
        <v>1187</v>
      </c>
      <c r="F1087" s="60">
        <v>32410000</v>
      </c>
      <c r="G1087" s="60">
        <v>1968</v>
      </c>
      <c r="H1087" s="58" t="s">
        <v>250</v>
      </c>
      <c r="I1087" s="58" t="s">
        <v>295</v>
      </c>
      <c r="J1087" s="58" t="s">
        <v>1676</v>
      </c>
      <c r="K1087" s="58"/>
      <c r="L1087" s="58" t="s">
        <v>599</v>
      </c>
      <c r="M1087" s="58"/>
      <c r="N1087" s="58" t="s">
        <v>295</v>
      </c>
      <c r="O1087" s="58"/>
      <c r="P1087" s="63"/>
      <c r="Q1087" s="63"/>
    </row>
    <row r="1088" spans="2:17" ht="20.25" customHeight="1" x14ac:dyDescent="0.3">
      <c r="B1088" s="59" t="s">
        <v>1170</v>
      </c>
      <c r="C1088" s="59" t="s">
        <v>168</v>
      </c>
      <c r="D1088" s="62" t="str">
        <f t="shared" si="28"/>
        <v>VOLKSWAGENT_Roc</v>
      </c>
      <c r="E1088" s="59" t="s">
        <v>1188</v>
      </c>
      <c r="F1088" s="60">
        <v>36340000</v>
      </c>
      <c r="G1088" s="60">
        <v>1968</v>
      </c>
      <c r="H1088" s="58" t="s">
        <v>250</v>
      </c>
      <c r="I1088" s="58" t="s">
        <v>295</v>
      </c>
      <c r="J1088" s="58" t="s">
        <v>1676</v>
      </c>
      <c r="K1088" s="58"/>
      <c r="L1088" s="58" t="s">
        <v>599</v>
      </c>
      <c r="M1088" s="58"/>
      <c r="N1088" s="58" t="s">
        <v>295</v>
      </c>
      <c r="O1088" s="58"/>
      <c r="P1088" s="63"/>
      <c r="Q1088" s="63"/>
    </row>
    <row r="1089" spans="2:17" ht="20.25" customHeight="1" x14ac:dyDescent="0.3">
      <c r="B1089" s="59" t="s">
        <v>1170</v>
      </c>
      <c r="C1089" s="59" t="s">
        <v>168</v>
      </c>
      <c r="D1089" s="62" t="str">
        <f t="shared" si="28"/>
        <v>VOLKSWAGENT_Roc</v>
      </c>
      <c r="E1089" s="59" t="s">
        <v>1189</v>
      </c>
      <c r="F1089" s="60">
        <v>38300000</v>
      </c>
      <c r="G1089" s="60">
        <v>1968</v>
      </c>
      <c r="H1089" s="58" t="s">
        <v>250</v>
      </c>
      <c r="I1089" s="58" t="s">
        <v>295</v>
      </c>
      <c r="J1089" s="58" t="s">
        <v>1676</v>
      </c>
      <c r="K1089" s="58"/>
      <c r="L1089" s="58" t="s">
        <v>599</v>
      </c>
      <c r="M1089" s="58"/>
      <c r="N1089" s="58" t="s">
        <v>295</v>
      </c>
      <c r="O1089" s="58"/>
      <c r="P1089" s="63"/>
      <c r="Q1089" s="63"/>
    </row>
    <row r="1090" spans="2:17" ht="20.25" customHeight="1" x14ac:dyDescent="0.3">
      <c r="B1090" s="59" t="s">
        <v>1170</v>
      </c>
      <c r="C1090" s="59" t="s">
        <v>169</v>
      </c>
      <c r="D1090" s="62" t="str">
        <f t="shared" si="28"/>
        <v>VOLKSWAGENPassat</v>
      </c>
      <c r="E1090" s="59" t="s">
        <v>1190</v>
      </c>
      <c r="F1090" s="60">
        <v>43130000</v>
      </c>
      <c r="G1090" s="60">
        <v>1968</v>
      </c>
      <c r="H1090" s="58" t="s">
        <v>250</v>
      </c>
      <c r="I1090" s="58" t="s">
        <v>242</v>
      </c>
      <c r="J1090" s="58" t="s">
        <v>1678</v>
      </c>
      <c r="K1090" s="58"/>
      <c r="L1090" s="58" t="s">
        <v>246</v>
      </c>
      <c r="M1090" s="58"/>
      <c r="N1090" s="58" t="s">
        <v>242</v>
      </c>
      <c r="O1090" s="58"/>
      <c r="P1090" s="63"/>
      <c r="Q1090" s="63"/>
    </row>
    <row r="1091" spans="2:17" ht="20.25" customHeight="1" x14ac:dyDescent="0.3">
      <c r="B1091" s="59" t="s">
        <v>1170</v>
      </c>
      <c r="C1091" s="59" t="s">
        <v>169</v>
      </c>
      <c r="D1091" s="62" t="str">
        <f t="shared" si="28"/>
        <v>VOLKSWAGENPassat</v>
      </c>
      <c r="E1091" s="59" t="s">
        <v>1191</v>
      </c>
      <c r="F1091" s="60">
        <v>49020000</v>
      </c>
      <c r="G1091" s="60">
        <v>1968</v>
      </c>
      <c r="H1091" s="58" t="s">
        <v>250</v>
      </c>
      <c r="I1091" s="58" t="s">
        <v>242</v>
      </c>
      <c r="J1091" s="58" t="s">
        <v>1678</v>
      </c>
      <c r="K1091" s="58"/>
      <c r="L1091" s="58" t="s">
        <v>246</v>
      </c>
      <c r="M1091" s="58"/>
      <c r="N1091" s="58" t="s">
        <v>242</v>
      </c>
      <c r="O1091" s="58"/>
      <c r="P1091" s="63"/>
      <c r="Q1091" s="63"/>
    </row>
    <row r="1092" spans="2:17" ht="20.25" customHeight="1" x14ac:dyDescent="0.3">
      <c r="B1092" s="59" t="s">
        <v>1170</v>
      </c>
      <c r="C1092" s="59" t="s">
        <v>169</v>
      </c>
      <c r="D1092" s="62" t="str">
        <f t="shared" si="28"/>
        <v>VOLKSWAGENPassat</v>
      </c>
      <c r="E1092" s="59" t="s">
        <v>1192</v>
      </c>
      <c r="F1092" s="60">
        <v>51470000</v>
      </c>
      <c r="G1092" s="60">
        <v>1968</v>
      </c>
      <c r="H1092" s="58" t="s">
        <v>250</v>
      </c>
      <c r="I1092" s="58" t="s">
        <v>242</v>
      </c>
      <c r="J1092" s="58" t="s">
        <v>1678</v>
      </c>
      <c r="K1092" s="58"/>
      <c r="L1092" s="58" t="s">
        <v>246</v>
      </c>
      <c r="M1092" s="58"/>
      <c r="N1092" s="58" t="s">
        <v>242</v>
      </c>
      <c r="O1092" s="58"/>
      <c r="P1092" s="63"/>
      <c r="Q1092" s="63"/>
    </row>
    <row r="1093" spans="2:17" ht="20.25" customHeight="1" x14ac:dyDescent="0.3">
      <c r="B1093" s="59" t="s">
        <v>1170</v>
      </c>
      <c r="C1093" s="59" t="s">
        <v>171</v>
      </c>
      <c r="D1093" s="62" t="str">
        <f t="shared" si="28"/>
        <v>VOLKSWAGENGolf</v>
      </c>
      <c r="E1093" s="59" t="s">
        <v>1193</v>
      </c>
      <c r="F1093" s="60">
        <v>37730000</v>
      </c>
      <c r="G1093" s="60">
        <v>1968</v>
      </c>
      <c r="H1093" s="58" t="s">
        <v>250</v>
      </c>
      <c r="I1093" s="58" t="s">
        <v>242</v>
      </c>
      <c r="J1093" s="58" t="s">
        <v>1678</v>
      </c>
      <c r="K1093" s="58"/>
      <c r="L1093" s="58" t="s">
        <v>470</v>
      </c>
      <c r="M1093" s="58"/>
      <c r="N1093" s="58" t="s">
        <v>242</v>
      </c>
      <c r="O1093" s="58"/>
      <c r="P1093" s="63"/>
      <c r="Q1093" s="63"/>
    </row>
    <row r="1094" spans="2:17" ht="20.25" customHeight="1" x14ac:dyDescent="0.3">
      <c r="B1094" s="59" t="s">
        <v>1170</v>
      </c>
      <c r="C1094" s="59" t="s">
        <v>171</v>
      </c>
      <c r="D1094" s="62" t="str">
        <f t="shared" ref="D1094:D1145" si="29">+B1094&amp;C1094</f>
        <v>VOLKSWAGENGolf</v>
      </c>
      <c r="E1094" s="59" t="s">
        <v>1194</v>
      </c>
      <c r="F1094" s="60">
        <v>39200000</v>
      </c>
      <c r="G1094" s="60">
        <v>1968</v>
      </c>
      <c r="H1094" s="58" t="s">
        <v>250</v>
      </c>
      <c r="I1094" s="58" t="s">
        <v>242</v>
      </c>
      <c r="J1094" s="58" t="s">
        <v>1678</v>
      </c>
      <c r="K1094" s="58"/>
      <c r="L1094" s="58" t="s">
        <v>470</v>
      </c>
      <c r="M1094" s="58"/>
      <c r="N1094" s="58" t="s">
        <v>242</v>
      </c>
      <c r="O1094" s="58"/>
      <c r="P1094" s="63"/>
      <c r="Q1094" s="63"/>
    </row>
    <row r="1095" spans="2:17" ht="20.25" customHeight="1" x14ac:dyDescent="0.3">
      <c r="B1095" s="59" t="s">
        <v>1170</v>
      </c>
      <c r="C1095" s="59" t="s">
        <v>171</v>
      </c>
      <c r="D1095" s="62" t="str">
        <f t="shared" si="29"/>
        <v>VOLKSWAGENGolf</v>
      </c>
      <c r="E1095" s="59" t="s">
        <v>1195</v>
      </c>
      <c r="F1095" s="60">
        <v>45090000</v>
      </c>
      <c r="G1095" s="60">
        <v>1984</v>
      </c>
      <c r="H1095" s="58" t="s">
        <v>241</v>
      </c>
      <c r="I1095" s="58" t="s">
        <v>242</v>
      </c>
      <c r="J1095" s="58" t="s">
        <v>1678</v>
      </c>
      <c r="K1095" s="58"/>
      <c r="L1095" s="58" t="s">
        <v>246</v>
      </c>
      <c r="M1095" s="58"/>
      <c r="N1095" s="58" t="s">
        <v>242</v>
      </c>
      <c r="O1095" s="58"/>
      <c r="P1095" s="63"/>
      <c r="Q1095" s="63"/>
    </row>
    <row r="1096" spans="2:17" ht="20.25" customHeight="1" x14ac:dyDescent="0.3">
      <c r="B1096" s="59" t="s">
        <v>1170</v>
      </c>
      <c r="C1096" s="59" t="s">
        <v>173</v>
      </c>
      <c r="D1096" s="62" t="str">
        <f t="shared" si="29"/>
        <v>VOLKSWAGENID.4</v>
      </c>
      <c r="E1096" s="59" t="s">
        <v>1196</v>
      </c>
      <c r="F1096" s="60">
        <v>54900000</v>
      </c>
      <c r="G1096" s="60">
        <v>0</v>
      </c>
      <c r="H1096" s="58" t="s">
        <v>308</v>
      </c>
      <c r="I1096" s="58" t="s">
        <v>308</v>
      </c>
      <c r="J1096" s="58" t="s">
        <v>1676</v>
      </c>
      <c r="K1096" s="58"/>
      <c r="L1096" s="58" t="s">
        <v>284</v>
      </c>
      <c r="M1096" s="58"/>
      <c r="N1096" s="58" t="s">
        <v>295</v>
      </c>
      <c r="O1096" s="58"/>
      <c r="P1096" s="63"/>
      <c r="Q1096" s="63"/>
    </row>
    <row r="1097" spans="2:17" ht="20.25" customHeight="1" x14ac:dyDescent="0.3">
      <c r="B1097" s="59" t="s">
        <v>1170</v>
      </c>
      <c r="C1097" s="59" t="s">
        <v>1749</v>
      </c>
      <c r="D1097" s="62" t="str">
        <f t="shared" si="29"/>
        <v>VOLKSWAGENID.5</v>
      </c>
      <c r="E1097" s="59" t="s">
        <v>1750</v>
      </c>
      <c r="F1097" s="60">
        <v>60990000</v>
      </c>
      <c r="G1097" s="60">
        <v>0</v>
      </c>
      <c r="H1097" s="58" t="s">
        <v>308</v>
      </c>
      <c r="I1097" s="58" t="s">
        <v>308</v>
      </c>
      <c r="J1097" s="58" t="s">
        <v>1615</v>
      </c>
      <c r="K1097" s="58"/>
      <c r="L1097" s="58" t="s">
        <v>284</v>
      </c>
      <c r="M1097" s="58"/>
      <c r="N1097" s="58" t="s">
        <v>295</v>
      </c>
      <c r="O1097" s="58"/>
      <c r="P1097" s="63"/>
      <c r="Q1097" s="63"/>
    </row>
    <row r="1098" spans="2:17" ht="20.25" customHeight="1" x14ac:dyDescent="0.3">
      <c r="B1098" s="59" t="s">
        <v>1170</v>
      </c>
      <c r="C1098" s="59" t="s">
        <v>1751</v>
      </c>
      <c r="D1098" s="62" t="str">
        <f t="shared" si="29"/>
        <v>VOLKSWAGENAtlas</v>
      </c>
      <c r="E1098" s="59" t="s">
        <v>1752</v>
      </c>
      <c r="F1098" s="60">
        <v>67700000</v>
      </c>
      <c r="G1098" s="60">
        <v>1984</v>
      </c>
      <c r="H1098" s="58" t="s">
        <v>1753</v>
      </c>
      <c r="I1098" s="58" t="s">
        <v>295</v>
      </c>
      <c r="J1098" s="58"/>
      <c r="K1098" s="58"/>
      <c r="L1098" s="58" t="s">
        <v>1615</v>
      </c>
      <c r="M1098" s="58"/>
      <c r="N1098" s="58" t="s">
        <v>295</v>
      </c>
      <c r="O1098" s="58"/>
      <c r="P1098" s="63"/>
      <c r="Q1098" s="63"/>
    </row>
    <row r="1099" spans="2:17" ht="20.25" customHeight="1" x14ac:dyDescent="0.3">
      <c r="B1099" s="59"/>
      <c r="C1099" s="59"/>
      <c r="D1099" s="62"/>
      <c r="E1099" s="59"/>
      <c r="F1099" s="60"/>
      <c r="G1099" s="60"/>
      <c r="H1099" s="58"/>
      <c r="I1099" s="58"/>
      <c r="J1099" s="58"/>
      <c r="K1099" s="58"/>
      <c r="L1099" s="58"/>
      <c r="M1099" s="58"/>
      <c r="N1099" s="58"/>
      <c r="O1099" s="58"/>
      <c r="P1099" s="63"/>
      <c r="Q1099" s="63"/>
    </row>
    <row r="1100" spans="2:17" ht="20.25" customHeight="1" x14ac:dyDescent="0.3">
      <c r="B1100" s="59" t="s">
        <v>1197</v>
      </c>
      <c r="C1100" s="59" t="s">
        <v>176</v>
      </c>
      <c r="D1100" s="62" t="str">
        <f t="shared" si="29"/>
        <v>VOLVOS60</v>
      </c>
      <c r="E1100" s="59" t="s">
        <v>1198</v>
      </c>
      <c r="F1100" s="60">
        <v>56900000</v>
      </c>
      <c r="G1100" s="60">
        <v>1969</v>
      </c>
      <c r="H1100" s="58" t="s">
        <v>241</v>
      </c>
      <c r="I1100" s="58" t="s">
        <v>242</v>
      </c>
      <c r="J1100" s="58" t="s">
        <v>1678</v>
      </c>
      <c r="K1100" s="58"/>
      <c r="L1100" s="58" t="s">
        <v>1515</v>
      </c>
      <c r="M1100" s="58"/>
      <c r="N1100" s="58" t="s">
        <v>242</v>
      </c>
      <c r="O1100" s="58"/>
      <c r="P1100" s="63"/>
      <c r="Q1100" s="63"/>
    </row>
    <row r="1101" spans="2:17" ht="20.25" customHeight="1" x14ac:dyDescent="0.3">
      <c r="B1101" s="59" t="s">
        <v>1197</v>
      </c>
      <c r="C1101" s="59" t="s">
        <v>176</v>
      </c>
      <c r="D1101" s="62" t="str">
        <f t="shared" si="29"/>
        <v>VOLVOS60</v>
      </c>
      <c r="E1101" s="59" t="s">
        <v>1199</v>
      </c>
      <c r="F1101" s="60">
        <v>56400000</v>
      </c>
      <c r="G1101" s="60">
        <v>1969</v>
      </c>
      <c r="H1101" s="58" t="s">
        <v>241</v>
      </c>
      <c r="I1101" s="58" t="s">
        <v>242</v>
      </c>
      <c r="J1101" s="58" t="s">
        <v>1678</v>
      </c>
      <c r="K1101" s="58"/>
      <c r="L1101" s="58" t="s">
        <v>1515</v>
      </c>
      <c r="M1101" s="58"/>
      <c r="N1101" s="58" t="s">
        <v>242</v>
      </c>
      <c r="O1101" s="58"/>
      <c r="P1101" s="63"/>
      <c r="Q1101" s="63"/>
    </row>
    <row r="1102" spans="2:17" ht="20.25" customHeight="1" x14ac:dyDescent="0.3">
      <c r="B1102" s="59" t="s">
        <v>1197</v>
      </c>
      <c r="C1102" s="59" t="s">
        <v>176</v>
      </c>
      <c r="D1102" s="62" t="str">
        <f t="shared" si="29"/>
        <v>VOLVOS60</v>
      </c>
      <c r="E1102" s="59" t="s">
        <v>1200</v>
      </c>
      <c r="F1102" s="60">
        <v>56400000</v>
      </c>
      <c r="G1102" s="60">
        <v>1969</v>
      </c>
      <c r="H1102" s="58" t="s">
        <v>241</v>
      </c>
      <c r="I1102" s="58" t="s">
        <v>242</v>
      </c>
      <c r="J1102" s="58" t="s">
        <v>1678</v>
      </c>
      <c r="K1102" s="58"/>
      <c r="L1102" s="58" t="s">
        <v>1515</v>
      </c>
      <c r="M1102" s="58"/>
      <c r="N1102" s="58" t="s">
        <v>242</v>
      </c>
      <c r="O1102" s="58"/>
      <c r="P1102" s="63"/>
      <c r="Q1102" s="63"/>
    </row>
    <row r="1103" spans="2:17" ht="20.25" customHeight="1" x14ac:dyDescent="0.3">
      <c r="B1103" s="59" t="s">
        <v>1197</v>
      </c>
      <c r="C1103" s="59" t="s">
        <v>177</v>
      </c>
      <c r="D1103" s="62" t="str">
        <f t="shared" si="29"/>
        <v>VOLVOS90</v>
      </c>
      <c r="E1103" s="59" t="s">
        <v>1201</v>
      </c>
      <c r="F1103" s="60">
        <v>64000000</v>
      </c>
      <c r="G1103" s="60">
        <v>1969</v>
      </c>
      <c r="H1103" s="58" t="s">
        <v>241</v>
      </c>
      <c r="I1103" s="58" t="s">
        <v>242</v>
      </c>
      <c r="J1103" s="58" t="s">
        <v>1675</v>
      </c>
      <c r="K1103" s="58"/>
      <c r="L1103" s="58" t="s">
        <v>1515</v>
      </c>
      <c r="M1103" s="58"/>
      <c r="N1103" s="58" t="s">
        <v>242</v>
      </c>
      <c r="O1103" s="58"/>
      <c r="P1103" s="63"/>
      <c r="Q1103" s="63"/>
    </row>
    <row r="1104" spans="2:17" ht="20.25" customHeight="1" x14ac:dyDescent="0.3">
      <c r="B1104" s="59" t="s">
        <v>1197</v>
      </c>
      <c r="C1104" s="59" t="s">
        <v>177</v>
      </c>
      <c r="D1104" s="62" t="str">
        <f t="shared" si="29"/>
        <v>VOLVOS90</v>
      </c>
      <c r="E1104" s="59" t="s">
        <v>1202</v>
      </c>
      <c r="F1104" s="60">
        <v>70000000</v>
      </c>
      <c r="G1104" s="60">
        <v>1969</v>
      </c>
      <c r="H1104" s="58" t="s">
        <v>241</v>
      </c>
      <c r="I1104" s="58" t="s">
        <v>242</v>
      </c>
      <c r="J1104" s="58" t="s">
        <v>1675</v>
      </c>
      <c r="K1104" s="58"/>
      <c r="L1104" s="58" t="s">
        <v>1515</v>
      </c>
      <c r="M1104" s="58"/>
      <c r="N1104" s="58" t="s">
        <v>242</v>
      </c>
      <c r="O1104" s="58"/>
      <c r="P1104" s="63"/>
      <c r="Q1104" s="63"/>
    </row>
    <row r="1105" spans="2:17" ht="20.25" customHeight="1" x14ac:dyDescent="0.3">
      <c r="B1105" s="59" t="s">
        <v>1197</v>
      </c>
      <c r="C1105" s="59" t="s">
        <v>177</v>
      </c>
      <c r="D1105" s="62" t="str">
        <f t="shared" si="29"/>
        <v>VOLVOS90</v>
      </c>
      <c r="E1105" s="59" t="s">
        <v>1203</v>
      </c>
      <c r="F1105" s="60">
        <v>74000000</v>
      </c>
      <c r="G1105" s="60">
        <v>1969</v>
      </c>
      <c r="H1105" s="58" t="s">
        <v>241</v>
      </c>
      <c r="I1105" s="58" t="s">
        <v>242</v>
      </c>
      <c r="J1105" s="58" t="s">
        <v>1675</v>
      </c>
      <c r="K1105" s="58"/>
      <c r="L1105" s="58" t="s">
        <v>1515</v>
      </c>
      <c r="M1105" s="58"/>
      <c r="N1105" s="58" t="s">
        <v>242</v>
      </c>
      <c r="O1105" s="58"/>
      <c r="P1105" s="63"/>
      <c r="Q1105" s="63"/>
    </row>
    <row r="1106" spans="2:17" ht="20.25" customHeight="1" x14ac:dyDescent="0.3">
      <c r="B1106" s="59" t="s">
        <v>1197</v>
      </c>
      <c r="C1106" s="59" t="s">
        <v>177</v>
      </c>
      <c r="D1106" s="62" t="str">
        <f t="shared" si="29"/>
        <v>VOLVOS90</v>
      </c>
      <c r="E1106" s="59" t="s">
        <v>1204</v>
      </c>
      <c r="F1106" s="60">
        <v>70000000</v>
      </c>
      <c r="G1106" s="60">
        <v>1969</v>
      </c>
      <c r="H1106" s="58" t="s">
        <v>241</v>
      </c>
      <c r="I1106" s="58" t="s">
        <v>242</v>
      </c>
      <c r="J1106" s="58" t="s">
        <v>1675</v>
      </c>
      <c r="K1106" s="58"/>
      <c r="L1106" s="58" t="s">
        <v>1515</v>
      </c>
      <c r="M1106" s="58"/>
      <c r="N1106" s="58" t="s">
        <v>242</v>
      </c>
      <c r="O1106" s="58"/>
      <c r="P1106" s="63"/>
      <c r="Q1106" s="63"/>
    </row>
    <row r="1107" spans="2:17" ht="20.25" customHeight="1" x14ac:dyDescent="0.3">
      <c r="B1107" s="59" t="s">
        <v>1197</v>
      </c>
      <c r="C1107" s="59" t="s">
        <v>177</v>
      </c>
      <c r="D1107" s="62" t="str">
        <f t="shared" si="29"/>
        <v>VOLVOS90</v>
      </c>
      <c r="E1107" s="59" t="s">
        <v>1205</v>
      </c>
      <c r="F1107" s="60">
        <v>74000000</v>
      </c>
      <c r="G1107" s="60">
        <v>1969</v>
      </c>
      <c r="H1107" s="58" t="s">
        <v>241</v>
      </c>
      <c r="I1107" s="58" t="s">
        <v>242</v>
      </c>
      <c r="J1107" s="58" t="s">
        <v>1675</v>
      </c>
      <c r="K1107" s="58"/>
      <c r="L1107" s="58" t="s">
        <v>1515</v>
      </c>
      <c r="M1107" s="58"/>
      <c r="N1107" s="58" t="s">
        <v>242</v>
      </c>
      <c r="O1107" s="58"/>
      <c r="P1107" s="63"/>
      <c r="Q1107" s="63"/>
    </row>
    <row r="1108" spans="2:17" ht="20.25" customHeight="1" x14ac:dyDescent="0.3">
      <c r="B1108" s="59" t="s">
        <v>1197</v>
      </c>
      <c r="C1108" s="59" t="s">
        <v>177</v>
      </c>
      <c r="D1108" s="62" t="str">
        <f t="shared" si="29"/>
        <v>VOLVOS90</v>
      </c>
      <c r="E1108" s="59" t="s">
        <v>1206</v>
      </c>
      <c r="F1108" s="60">
        <v>86470000</v>
      </c>
      <c r="G1108" s="60">
        <v>1969</v>
      </c>
      <c r="H1108" s="58" t="s">
        <v>241</v>
      </c>
      <c r="I1108" s="58" t="s">
        <v>242</v>
      </c>
      <c r="J1108" s="58" t="s">
        <v>1675</v>
      </c>
      <c r="K1108" s="58"/>
      <c r="L1108" s="58" t="s">
        <v>1515</v>
      </c>
      <c r="M1108" s="58"/>
      <c r="N1108" s="58" t="s">
        <v>242</v>
      </c>
      <c r="O1108" s="58"/>
      <c r="P1108" s="63"/>
      <c r="Q1108" s="63"/>
    </row>
    <row r="1109" spans="2:17" ht="20.25" customHeight="1" x14ac:dyDescent="0.3">
      <c r="B1109" s="59" t="s">
        <v>1197</v>
      </c>
      <c r="C1109" s="59" t="s">
        <v>177</v>
      </c>
      <c r="D1109" s="62" t="str">
        <f t="shared" si="29"/>
        <v>VOLVOS90</v>
      </c>
      <c r="E1109" s="59" t="s">
        <v>1207</v>
      </c>
      <c r="F1109" s="60">
        <v>86130000</v>
      </c>
      <c r="G1109" s="60">
        <v>1969</v>
      </c>
      <c r="H1109" s="58" t="s">
        <v>241</v>
      </c>
      <c r="I1109" s="58" t="s">
        <v>242</v>
      </c>
      <c r="J1109" s="58" t="s">
        <v>1675</v>
      </c>
      <c r="K1109" s="58"/>
      <c r="L1109" s="58" t="s">
        <v>1515</v>
      </c>
      <c r="M1109" s="58"/>
      <c r="N1109" s="58" t="s">
        <v>242</v>
      </c>
      <c r="O1109" s="58"/>
      <c r="P1109" s="63"/>
      <c r="Q1109" s="63"/>
    </row>
    <row r="1110" spans="2:17" ht="20.25" customHeight="1" x14ac:dyDescent="0.3">
      <c r="B1110" s="59" t="s">
        <v>1197</v>
      </c>
      <c r="C1110" s="59" t="s">
        <v>178</v>
      </c>
      <c r="D1110" s="62" t="str">
        <f t="shared" si="29"/>
        <v>VOLVOV40</v>
      </c>
      <c r="E1110" s="59" t="s">
        <v>1208</v>
      </c>
      <c r="F1110" s="60">
        <v>37800000</v>
      </c>
      <c r="G1110" s="60">
        <v>1969</v>
      </c>
      <c r="H1110" s="58" t="s">
        <v>250</v>
      </c>
      <c r="I1110" s="58" t="s">
        <v>295</v>
      </c>
      <c r="J1110" s="58" t="s">
        <v>1679</v>
      </c>
      <c r="K1110" s="58"/>
      <c r="L1110" s="58" t="s">
        <v>284</v>
      </c>
      <c r="M1110" s="58"/>
      <c r="N1110" s="58" t="s">
        <v>295</v>
      </c>
      <c r="O1110" s="58"/>
      <c r="P1110" s="63"/>
      <c r="Q1110" s="63"/>
    </row>
    <row r="1111" spans="2:17" ht="20.25" customHeight="1" x14ac:dyDescent="0.3">
      <c r="B1111" s="59" t="s">
        <v>1197</v>
      </c>
      <c r="C1111" s="59" t="s">
        <v>179</v>
      </c>
      <c r="D1111" s="62" t="str">
        <f t="shared" si="29"/>
        <v>VOLVOV60</v>
      </c>
      <c r="E1111" s="59" t="s">
        <v>1209</v>
      </c>
      <c r="F1111" s="60">
        <v>54570000</v>
      </c>
      <c r="G1111" s="60">
        <v>1969</v>
      </c>
      <c r="H1111" s="58" t="s">
        <v>241</v>
      </c>
      <c r="I1111" s="58" t="s">
        <v>295</v>
      </c>
      <c r="J1111" s="58" t="s">
        <v>1678</v>
      </c>
      <c r="K1111" s="58"/>
      <c r="L1111" s="58" t="s">
        <v>284</v>
      </c>
      <c r="M1111" s="58"/>
      <c r="N1111" s="58" t="s">
        <v>295</v>
      </c>
      <c r="O1111" s="58"/>
      <c r="P1111" s="63"/>
      <c r="Q1111" s="63"/>
    </row>
    <row r="1112" spans="2:17" ht="20.25" customHeight="1" x14ac:dyDescent="0.3">
      <c r="B1112" s="59" t="s">
        <v>1197</v>
      </c>
      <c r="C1112" s="59" t="s">
        <v>179</v>
      </c>
      <c r="D1112" s="62" t="str">
        <f t="shared" si="29"/>
        <v>VOLVOV60</v>
      </c>
      <c r="E1112" s="59" t="s">
        <v>1210</v>
      </c>
      <c r="F1112" s="60">
        <v>62600000</v>
      </c>
      <c r="G1112" s="60">
        <v>1969</v>
      </c>
      <c r="H1112" s="58" t="s">
        <v>241</v>
      </c>
      <c r="I1112" s="58" t="s">
        <v>295</v>
      </c>
      <c r="J1112" s="58" t="s">
        <v>1678</v>
      </c>
      <c r="K1112" s="58"/>
      <c r="L1112" s="58" t="s">
        <v>284</v>
      </c>
      <c r="M1112" s="58"/>
      <c r="N1112" s="58" t="s">
        <v>295</v>
      </c>
      <c r="O1112" s="58"/>
      <c r="P1112" s="63"/>
      <c r="Q1112" s="63"/>
    </row>
    <row r="1113" spans="2:17" ht="20.25" customHeight="1" x14ac:dyDescent="0.3">
      <c r="B1113" s="59" t="s">
        <v>1197</v>
      </c>
      <c r="C1113" s="59" t="s">
        <v>179</v>
      </c>
      <c r="D1113" s="62" t="str">
        <f t="shared" si="29"/>
        <v>VOLVOV60</v>
      </c>
      <c r="E1113" s="59" t="s">
        <v>1211</v>
      </c>
      <c r="F1113" s="60">
        <v>62600000</v>
      </c>
      <c r="G1113" s="60">
        <v>1969</v>
      </c>
      <c r="H1113" s="58" t="s">
        <v>241</v>
      </c>
      <c r="I1113" s="58" t="s">
        <v>295</v>
      </c>
      <c r="J1113" s="58" t="s">
        <v>1678</v>
      </c>
      <c r="K1113" s="58"/>
      <c r="L1113" s="58" t="s">
        <v>284</v>
      </c>
      <c r="M1113" s="58"/>
      <c r="N1113" s="58" t="s">
        <v>295</v>
      </c>
      <c r="O1113" s="58"/>
      <c r="P1113" s="63"/>
      <c r="Q1113" s="63"/>
    </row>
    <row r="1114" spans="2:17" ht="20.25" customHeight="1" x14ac:dyDescent="0.3">
      <c r="B1114" s="59" t="s">
        <v>1197</v>
      </c>
      <c r="C1114" s="59" t="s">
        <v>180</v>
      </c>
      <c r="D1114" s="62" t="str">
        <f t="shared" si="29"/>
        <v>VOLVOV90</v>
      </c>
      <c r="E1114" s="59" t="s">
        <v>1212</v>
      </c>
      <c r="F1114" s="60">
        <v>72500000</v>
      </c>
      <c r="G1114" s="60">
        <v>1969</v>
      </c>
      <c r="H1114" s="58" t="s">
        <v>241</v>
      </c>
      <c r="I1114" s="58" t="s">
        <v>295</v>
      </c>
      <c r="J1114" s="58" t="s">
        <v>1678</v>
      </c>
      <c r="K1114" s="58"/>
      <c r="L1114" s="58" t="s">
        <v>284</v>
      </c>
      <c r="M1114" s="58"/>
      <c r="N1114" s="58" t="s">
        <v>295</v>
      </c>
      <c r="O1114" s="58"/>
      <c r="P1114" s="63"/>
      <c r="Q1114" s="63"/>
    </row>
    <row r="1115" spans="2:17" ht="20.25" customHeight="1" x14ac:dyDescent="0.3">
      <c r="B1115" s="59" t="s">
        <v>1197</v>
      </c>
      <c r="C1115" s="59" t="s">
        <v>180</v>
      </c>
      <c r="D1115" s="62" t="str">
        <f t="shared" si="29"/>
        <v>VOLVOV90</v>
      </c>
      <c r="E1115" s="59" t="s">
        <v>1213</v>
      </c>
      <c r="F1115" s="60">
        <v>78200000</v>
      </c>
      <c r="G1115" s="60">
        <v>1969</v>
      </c>
      <c r="H1115" s="58" t="s">
        <v>241</v>
      </c>
      <c r="I1115" s="58" t="s">
        <v>295</v>
      </c>
      <c r="J1115" s="58" t="s">
        <v>1678</v>
      </c>
      <c r="K1115" s="58"/>
      <c r="L1115" s="58" t="s">
        <v>284</v>
      </c>
      <c r="M1115" s="58"/>
      <c r="N1115" s="58" t="s">
        <v>295</v>
      </c>
      <c r="O1115" s="58"/>
      <c r="P1115" s="63"/>
      <c r="Q1115" s="63"/>
    </row>
    <row r="1116" spans="2:17" ht="20.25" customHeight="1" x14ac:dyDescent="0.3">
      <c r="B1116" s="59" t="s">
        <v>1197</v>
      </c>
      <c r="C1116" s="59" t="s">
        <v>180</v>
      </c>
      <c r="D1116" s="62" t="str">
        <f t="shared" si="29"/>
        <v>VOLVOV90</v>
      </c>
      <c r="E1116" s="59" t="s">
        <v>1214</v>
      </c>
      <c r="F1116" s="60">
        <v>78200000</v>
      </c>
      <c r="G1116" s="60">
        <v>1969</v>
      </c>
      <c r="H1116" s="58" t="s">
        <v>241</v>
      </c>
      <c r="I1116" s="58" t="s">
        <v>295</v>
      </c>
      <c r="J1116" s="58" t="s">
        <v>1678</v>
      </c>
      <c r="K1116" s="58"/>
      <c r="L1116" s="58" t="s">
        <v>284</v>
      </c>
      <c r="M1116" s="58"/>
      <c r="N1116" s="58" t="s">
        <v>295</v>
      </c>
      <c r="O1116" s="58"/>
      <c r="P1116" s="63"/>
      <c r="Q1116" s="63"/>
    </row>
    <row r="1117" spans="2:17" ht="20.25" customHeight="1" x14ac:dyDescent="0.3">
      <c r="B1117" s="59" t="s">
        <v>1197</v>
      </c>
      <c r="C1117" s="59" t="s">
        <v>181</v>
      </c>
      <c r="D1117" s="62" t="str">
        <f t="shared" si="29"/>
        <v>VOLVOXC40</v>
      </c>
      <c r="E1117" s="59" t="s">
        <v>1215</v>
      </c>
      <c r="F1117" s="60">
        <v>47760000</v>
      </c>
      <c r="G1117" s="60">
        <v>1969</v>
      </c>
      <c r="H1117" s="58" t="s">
        <v>241</v>
      </c>
      <c r="I1117" s="58" t="s">
        <v>295</v>
      </c>
      <c r="J1117" s="58" t="s">
        <v>1680</v>
      </c>
      <c r="K1117" s="58" t="s">
        <v>1729</v>
      </c>
      <c r="L1117" s="58" t="s">
        <v>1515</v>
      </c>
      <c r="M1117" s="58"/>
      <c r="N1117" s="58" t="s">
        <v>295</v>
      </c>
      <c r="O1117" s="58"/>
      <c r="P1117" s="63"/>
      <c r="Q1117" s="63"/>
    </row>
    <row r="1118" spans="2:17" ht="20.25" customHeight="1" x14ac:dyDescent="0.3">
      <c r="B1118" s="59" t="s">
        <v>1197</v>
      </c>
      <c r="C1118" s="59" t="s">
        <v>181</v>
      </c>
      <c r="D1118" s="62" t="str">
        <f t="shared" si="29"/>
        <v>VOLVOXC40</v>
      </c>
      <c r="E1118" s="59" t="s">
        <v>1216</v>
      </c>
      <c r="F1118" s="60">
        <v>52100000</v>
      </c>
      <c r="G1118" s="60">
        <v>1969</v>
      </c>
      <c r="H1118" s="58" t="s">
        <v>241</v>
      </c>
      <c r="I1118" s="58" t="s">
        <v>295</v>
      </c>
      <c r="J1118" s="58" t="s">
        <v>1680</v>
      </c>
      <c r="K1118" s="58" t="s">
        <v>1729</v>
      </c>
      <c r="L1118" s="58" t="s">
        <v>1515</v>
      </c>
      <c r="M1118" s="58"/>
      <c r="N1118" s="58" t="s">
        <v>295</v>
      </c>
      <c r="O1118" s="58"/>
      <c r="P1118" s="63"/>
      <c r="Q1118" s="63"/>
    </row>
    <row r="1119" spans="2:17" ht="20.25" customHeight="1" x14ac:dyDescent="0.3">
      <c r="B1119" s="59" t="s">
        <v>1197</v>
      </c>
      <c r="C1119" s="59" t="s">
        <v>181</v>
      </c>
      <c r="D1119" s="62" t="str">
        <f t="shared" si="29"/>
        <v>VOLVOXC40</v>
      </c>
      <c r="E1119" s="59" t="s">
        <v>1217</v>
      </c>
      <c r="F1119" s="60">
        <v>54600000</v>
      </c>
      <c r="G1119" s="60">
        <v>1969</v>
      </c>
      <c r="H1119" s="58" t="s">
        <v>241</v>
      </c>
      <c r="I1119" s="58" t="s">
        <v>295</v>
      </c>
      <c r="J1119" s="58" t="s">
        <v>1680</v>
      </c>
      <c r="K1119" s="58" t="s">
        <v>1729</v>
      </c>
      <c r="L1119" s="58" t="s">
        <v>1515</v>
      </c>
      <c r="M1119" s="58"/>
      <c r="N1119" s="58" t="s">
        <v>295</v>
      </c>
      <c r="O1119" s="58"/>
      <c r="P1119" s="63"/>
      <c r="Q1119" s="63"/>
    </row>
    <row r="1120" spans="2:17" ht="20.25" customHeight="1" x14ac:dyDescent="0.3">
      <c r="B1120" s="59" t="s">
        <v>1197</v>
      </c>
      <c r="C1120" s="59" t="s">
        <v>181</v>
      </c>
      <c r="D1120" s="62" t="str">
        <f t="shared" si="29"/>
        <v>VOLVOXC40</v>
      </c>
      <c r="E1120" s="59" t="s">
        <v>1218</v>
      </c>
      <c r="F1120" s="60">
        <v>54300000</v>
      </c>
      <c r="G1120" s="60">
        <v>1969</v>
      </c>
      <c r="H1120" s="58" t="s">
        <v>241</v>
      </c>
      <c r="I1120" s="58" t="s">
        <v>295</v>
      </c>
      <c r="J1120" s="58" t="s">
        <v>1680</v>
      </c>
      <c r="K1120" s="58" t="s">
        <v>1729</v>
      </c>
      <c r="L1120" s="58" t="s">
        <v>1515</v>
      </c>
      <c r="M1120" s="58"/>
      <c r="N1120" s="58" t="s">
        <v>295</v>
      </c>
      <c r="O1120" s="58"/>
      <c r="P1120" s="63"/>
      <c r="Q1120" s="63"/>
    </row>
    <row r="1121" spans="2:17" ht="20.25" customHeight="1" x14ac:dyDescent="0.3">
      <c r="B1121" s="59" t="s">
        <v>1197</v>
      </c>
      <c r="C1121" s="59" t="s">
        <v>181</v>
      </c>
      <c r="D1121" s="62" t="str">
        <f t="shared" si="29"/>
        <v>VOLVOXC40</v>
      </c>
      <c r="E1121" s="59" t="s">
        <v>1219</v>
      </c>
      <c r="F1121" s="60">
        <v>67690000</v>
      </c>
      <c r="G1121" s="60">
        <v>0</v>
      </c>
      <c r="H1121" s="58" t="s">
        <v>308</v>
      </c>
      <c r="I1121" s="58" t="s">
        <v>308</v>
      </c>
      <c r="J1121" s="58" t="s">
        <v>1679</v>
      </c>
      <c r="K1121" s="58"/>
      <c r="L1121" s="58" t="s">
        <v>284</v>
      </c>
      <c r="M1121" s="58"/>
      <c r="N1121" s="58" t="s">
        <v>295</v>
      </c>
      <c r="O1121" s="58"/>
      <c r="P1121" s="63"/>
      <c r="Q1121" s="63"/>
    </row>
    <row r="1122" spans="2:17" ht="20.25" customHeight="1" x14ac:dyDescent="0.3">
      <c r="B1122" s="59" t="s">
        <v>1197</v>
      </c>
      <c r="C1122" s="59" t="s">
        <v>182</v>
      </c>
      <c r="D1122" s="62" t="str">
        <f t="shared" si="29"/>
        <v>VOLVOXC60</v>
      </c>
      <c r="E1122" s="59" t="s">
        <v>1220</v>
      </c>
      <c r="F1122" s="60">
        <v>62060000</v>
      </c>
      <c r="G1122" s="60">
        <v>1969</v>
      </c>
      <c r="H1122" s="58" t="s">
        <v>241</v>
      </c>
      <c r="I1122" s="58" t="s">
        <v>295</v>
      </c>
      <c r="J1122" s="58" t="s">
        <v>1680</v>
      </c>
      <c r="K1122" s="58" t="s">
        <v>1729</v>
      </c>
      <c r="L1122" s="58" t="s">
        <v>1515</v>
      </c>
      <c r="M1122" s="58"/>
      <c r="N1122" s="58" t="s">
        <v>295</v>
      </c>
      <c r="O1122" s="58"/>
      <c r="P1122" s="63"/>
      <c r="Q1122" s="63"/>
    </row>
    <row r="1123" spans="2:17" ht="20.25" customHeight="1" x14ac:dyDescent="0.3">
      <c r="B1123" s="59" t="s">
        <v>1197</v>
      </c>
      <c r="C1123" s="59" t="s">
        <v>182</v>
      </c>
      <c r="D1123" s="62" t="str">
        <f t="shared" si="29"/>
        <v>VOLVOXC60</v>
      </c>
      <c r="E1123" s="59" t="s">
        <v>1221</v>
      </c>
      <c r="F1123" s="60">
        <v>68080000</v>
      </c>
      <c r="G1123" s="60">
        <v>1969</v>
      </c>
      <c r="H1123" s="58" t="s">
        <v>241</v>
      </c>
      <c r="I1123" s="58" t="s">
        <v>295</v>
      </c>
      <c r="J1123" s="58" t="s">
        <v>1680</v>
      </c>
      <c r="K1123" s="58" t="s">
        <v>1729</v>
      </c>
      <c r="L1123" s="58" t="s">
        <v>1515</v>
      </c>
      <c r="M1123" s="58"/>
      <c r="N1123" s="58" t="s">
        <v>295</v>
      </c>
      <c r="O1123" s="58"/>
      <c r="P1123" s="63"/>
      <c r="Q1123" s="63"/>
    </row>
    <row r="1124" spans="2:17" ht="20.25" customHeight="1" x14ac:dyDescent="0.3">
      <c r="B1124" s="59" t="s">
        <v>1197</v>
      </c>
      <c r="C1124" s="59" t="s">
        <v>182</v>
      </c>
      <c r="D1124" s="62" t="str">
        <f t="shared" si="29"/>
        <v>VOLVOXC60</v>
      </c>
      <c r="E1124" s="59" t="s">
        <v>1222</v>
      </c>
      <c r="F1124" s="60">
        <v>72030000</v>
      </c>
      <c r="G1124" s="60">
        <v>1969</v>
      </c>
      <c r="H1124" s="58" t="s">
        <v>241</v>
      </c>
      <c r="I1124" s="58" t="s">
        <v>295</v>
      </c>
      <c r="J1124" s="58" t="s">
        <v>1680</v>
      </c>
      <c r="K1124" s="58" t="s">
        <v>1729</v>
      </c>
      <c r="L1124" s="58" t="s">
        <v>1515</v>
      </c>
      <c r="M1124" s="58"/>
      <c r="N1124" s="58" t="s">
        <v>295</v>
      </c>
      <c r="O1124" s="58"/>
      <c r="P1124" s="63"/>
      <c r="Q1124" s="63"/>
    </row>
    <row r="1125" spans="2:17" ht="20.25" customHeight="1" x14ac:dyDescent="0.3">
      <c r="B1125" s="59" t="s">
        <v>1197</v>
      </c>
      <c r="C1125" s="59" t="s">
        <v>182</v>
      </c>
      <c r="D1125" s="62" t="str">
        <f t="shared" si="29"/>
        <v>VOLVOXC60</v>
      </c>
      <c r="E1125" s="59" t="s">
        <v>1223</v>
      </c>
      <c r="F1125" s="60">
        <v>68080000</v>
      </c>
      <c r="G1125" s="60">
        <v>1969</v>
      </c>
      <c r="H1125" s="58" t="s">
        <v>241</v>
      </c>
      <c r="I1125" s="58" t="s">
        <v>295</v>
      </c>
      <c r="J1125" s="58" t="s">
        <v>1680</v>
      </c>
      <c r="K1125" s="58" t="s">
        <v>1729</v>
      </c>
      <c r="L1125" s="58" t="s">
        <v>1515</v>
      </c>
      <c r="M1125" s="58"/>
      <c r="N1125" s="58" t="s">
        <v>295</v>
      </c>
      <c r="O1125" s="58"/>
      <c r="P1125" s="63"/>
      <c r="Q1125" s="63"/>
    </row>
    <row r="1126" spans="2:17" ht="20.25" customHeight="1" x14ac:dyDescent="0.3">
      <c r="B1126" s="59" t="s">
        <v>1197</v>
      </c>
      <c r="C1126" s="59" t="s">
        <v>182</v>
      </c>
      <c r="D1126" s="62" t="str">
        <f t="shared" si="29"/>
        <v>VOLVOXC60</v>
      </c>
      <c r="E1126" s="59" t="s">
        <v>1224</v>
      </c>
      <c r="F1126" s="60">
        <v>72030000</v>
      </c>
      <c r="G1126" s="60">
        <v>1969</v>
      </c>
      <c r="H1126" s="58" t="s">
        <v>241</v>
      </c>
      <c r="I1126" s="58" t="s">
        <v>295</v>
      </c>
      <c r="J1126" s="58" t="s">
        <v>1680</v>
      </c>
      <c r="K1126" s="58" t="s">
        <v>1729</v>
      </c>
      <c r="L1126" s="58" t="s">
        <v>1515</v>
      </c>
      <c r="M1126" s="58"/>
      <c r="N1126" s="58" t="s">
        <v>295</v>
      </c>
      <c r="O1126" s="58"/>
      <c r="P1126" s="63"/>
      <c r="Q1126" s="63"/>
    </row>
    <row r="1127" spans="2:17" ht="20.25" customHeight="1" x14ac:dyDescent="0.3">
      <c r="B1127" s="59" t="s">
        <v>1197</v>
      </c>
      <c r="C1127" s="59" t="s">
        <v>182</v>
      </c>
      <c r="D1127" s="62" t="str">
        <f t="shared" si="29"/>
        <v>VOLVOXC60</v>
      </c>
      <c r="E1127" s="59" t="s">
        <v>1225</v>
      </c>
      <c r="F1127" s="60">
        <v>84640000</v>
      </c>
      <c r="G1127" s="60">
        <v>1969</v>
      </c>
      <c r="H1127" s="58" t="s">
        <v>241</v>
      </c>
      <c r="I1127" s="58" t="s">
        <v>295</v>
      </c>
      <c r="J1127" s="58" t="s">
        <v>1680</v>
      </c>
      <c r="K1127" s="58" t="s">
        <v>1729</v>
      </c>
      <c r="L1127" s="58" t="s">
        <v>1515</v>
      </c>
      <c r="M1127" s="58"/>
      <c r="N1127" s="58" t="s">
        <v>295</v>
      </c>
      <c r="O1127" s="58"/>
      <c r="P1127" s="63"/>
      <c r="Q1127" s="63"/>
    </row>
    <row r="1128" spans="2:17" ht="20.25" customHeight="1" x14ac:dyDescent="0.3">
      <c r="B1128" s="59" t="s">
        <v>1197</v>
      </c>
      <c r="C1128" s="59" t="s">
        <v>182</v>
      </c>
      <c r="D1128" s="62" t="str">
        <f t="shared" si="29"/>
        <v>VOLVOXC60</v>
      </c>
      <c r="E1128" s="59" t="s">
        <v>1226</v>
      </c>
      <c r="F1128" s="60">
        <v>84640000</v>
      </c>
      <c r="G1128" s="60">
        <v>1969</v>
      </c>
      <c r="H1128" s="58" t="s">
        <v>241</v>
      </c>
      <c r="I1128" s="58" t="s">
        <v>295</v>
      </c>
      <c r="J1128" s="58" t="s">
        <v>1680</v>
      </c>
      <c r="K1128" s="58" t="s">
        <v>1729</v>
      </c>
      <c r="L1128" s="58" t="s">
        <v>1515</v>
      </c>
      <c r="M1128" s="58"/>
      <c r="N1128" s="58" t="s">
        <v>295</v>
      </c>
      <c r="O1128" s="58"/>
      <c r="P1128" s="63"/>
      <c r="Q1128" s="63"/>
    </row>
    <row r="1129" spans="2:17" ht="20.25" customHeight="1" x14ac:dyDescent="0.3">
      <c r="B1129" s="59" t="s">
        <v>1197</v>
      </c>
      <c r="C1129" s="59" t="s">
        <v>183</v>
      </c>
      <c r="D1129" s="62" t="str">
        <f t="shared" si="29"/>
        <v>VOLVOXC90</v>
      </c>
      <c r="E1129" s="59" t="s">
        <v>1227</v>
      </c>
      <c r="F1129" s="60">
        <v>84670000</v>
      </c>
      <c r="G1129" s="60">
        <v>1969</v>
      </c>
      <c r="H1129" s="58" t="s">
        <v>241</v>
      </c>
      <c r="I1129" s="58" t="s">
        <v>322</v>
      </c>
      <c r="J1129" s="58" t="s">
        <v>1681</v>
      </c>
      <c r="K1129" s="58" t="s">
        <v>1729</v>
      </c>
      <c r="L1129" s="58" t="s">
        <v>1515</v>
      </c>
      <c r="M1129" s="58"/>
      <c r="N1129" s="58" t="s">
        <v>322</v>
      </c>
      <c r="O1129" s="58"/>
      <c r="P1129" s="63"/>
      <c r="Q1129" s="63"/>
    </row>
    <row r="1130" spans="2:17" ht="20.25" customHeight="1" x14ac:dyDescent="0.3">
      <c r="B1130" s="59" t="s">
        <v>1197</v>
      </c>
      <c r="C1130" s="59" t="s">
        <v>183</v>
      </c>
      <c r="D1130" s="62" t="str">
        <f t="shared" si="29"/>
        <v>VOLVOXC90</v>
      </c>
      <c r="E1130" s="59" t="s">
        <v>1228</v>
      </c>
      <c r="F1130" s="60">
        <v>96500000</v>
      </c>
      <c r="G1130" s="60">
        <v>1969</v>
      </c>
      <c r="H1130" s="58" t="s">
        <v>241</v>
      </c>
      <c r="I1130" s="58" t="s">
        <v>322</v>
      </c>
      <c r="J1130" s="58" t="s">
        <v>1681</v>
      </c>
      <c r="K1130" s="58" t="s">
        <v>1729</v>
      </c>
      <c r="L1130" s="58" t="s">
        <v>1515</v>
      </c>
      <c r="M1130" s="58"/>
      <c r="N1130" s="58" t="s">
        <v>322</v>
      </c>
      <c r="O1130" s="58"/>
      <c r="P1130" s="63"/>
      <c r="Q1130" s="63"/>
    </row>
    <row r="1131" spans="2:17" ht="20.25" customHeight="1" x14ac:dyDescent="0.3">
      <c r="B1131" s="59" t="s">
        <v>1197</v>
      </c>
      <c r="C1131" s="59" t="s">
        <v>183</v>
      </c>
      <c r="D1131" s="62" t="str">
        <f t="shared" si="29"/>
        <v>VOLVOXC90</v>
      </c>
      <c r="E1131" s="59" t="s">
        <v>1229</v>
      </c>
      <c r="F1131" s="60">
        <v>96500000</v>
      </c>
      <c r="G1131" s="60">
        <v>1969</v>
      </c>
      <c r="H1131" s="58" t="s">
        <v>241</v>
      </c>
      <c r="I1131" s="58" t="s">
        <v>322</v>
      </c>
      <c r="J1131" s="58" t="s">
        <v>1681</v>
      </c>
      <c r="K1131" s="58" t="s">
        <v>1729</v>
      </c>
      <c r="L1131" s="58" t="s">
        <v>1515</v>
      </c>
      <c r="M1131" s="58"/>
      <c r="N1131" s="58" t="s">
        <v>322</v>
      </c>
      <c r="O1131" s="58"/>
      <c r="P1131" s="63"/>
      <c r="Q1131" s="63"/>
    </row>
    <row r="1132" spans="2:17" ht="20.25" customHeight="1" x14ac:dyDescent="0.3">
      <c r="B1132" s="59" t="s">
        <v>1197</v>
      </c>
      <c r="C1132" s="59" t="s">
        <v>183</v>
      </c>
      <c r="D1132" s="62" t="str">
        <f t="shared" si="29"/>
        <v>VOLVOXC90</v>
      </c>
      <c r="E1132" s="59" t="s">
        <v>1230</v>
      </c>
      <c r="F1132" s="60">
        <v>115200000</v>
      </c>
      <c r="G1132" s="60">
        <v>1969</v>
      </c>
      <c r="H1132" s="58" t="s">
        <v>241</v>
      </c>
      <c r="I1132" s="58" t="s">
        <v>322</v>
      </c>
      <c r="J1132" s="58" t="s">
        <v>1681</v>
      </c>
      <c r="K1132" s="58" t="s">
        <v>1729</v>
      </c>
      <c r="L1132" s="58" t="s">
        <v>1515</v>
      </c>
      <c r="M1132" s="58"/>
      <c r="N1132" s="58" t="s">
        <v>295</v>
      </c>
      <c r="O1132" s="58"/>
      <c r="P1132" s="63"/>
      <c r="Q1132" s="63"/>
    </row>
    <row r="1133" spans="2:17" ht="20.25" customHeight="1" x14ac:dyDescent="0.3">
      <c r="B1133" s="59" t="s">
        <v>1197</v>
      </c>
      <c r="C1133" s="59" t="s">
        <v>183</v>
      </c>
      <c r="D1133" s="62" t="str">
        <f t="shared" si="29"/>
        <v>VOLVOXC90</v>
      </c>
      <c r="E1133" s="59" t="s">
        <v>1231</v>
      </c>
      <c r="F1133" s="60">
        <v>113270000</v>
      </c>
      <c r="G1133" s="60">
        <v>1969</v>
      </c>
      <c r="H1133" s="58" t="s">
        <v>241</v>
      </c>
      <c r="I1133" s="58" t="s">
        <v>322</v>
      </c>
      <c r="J1133" s="58" t="s">
        <v>1681</v>
      </c>
      <c r="K1133" s="58" t="s">
        <v>1729</v>
      </c>
      <c r="L1133" s="58" t="s">
        <v>1515</v>
      </c>
      <c r="M1133" s="58"/>
      <c r="N1133" s="58" t="s">
        <v>295</v>
      </c>
      <c r="O1133" s="58"/>
      <c r="P1133" s="63"/>
      <c r="Q1133" s="63"/>
    </row>
    <row r="1134" spans="2:17" ht="20.25" customHeight="1" x14ac:dyDescent="0.3">
      <c r="B1134" s="59" t="s">
        <v>1197</v>
      </c>
      <c r="C1134" s="59" t="s">
        <v>184</v>
      </c>
      <c r="D1134" s="62" t="str">
        <f t="shared" si="29"/>
        <v>VOLVOC40</v>
      </c>
      <c r="E1134" s="59" t="s">
        <v>1232</v>
      </c>
      <c r="F1134" s="60">
        <v>64830000</v>
      </c>
      <c r="G1134" s="60">
        <v>0</v>
      </c>
      <c r="H1134" s="58" t="s">
        <v>308</v>
      </c>
      <c r="I1134" s="58" t="s">
        <v>308</v>
      </c>
      <c r="J1134" s="58" t="s">
        <v>1679</v>
      </c>
      <c r="K1134" s="58"/>
      <c r="L1134" s="58" t="s">
        <v>284</v>
      </c>
      <c r="M1134" s="58"/>
      <c r="N1134" s="58" t="s">
        <v>295</v>
      </c>
      <c r="O1134" s="58"/>
      <c r="P1134" s="63"/>
      <c r="Q1134" s="63"/>
    </row>
    <row r="1135" spans="2:17" ht="20.25" customHeight="1" x14ac:dyDescent="0.3">
      <c r="B1135" s="59" t="s">
        <v>1197</v>
      </c>
      <c r="C1135" s="59" t="s">
        <v>185</v>
      </c>
      <c r="D1135" s="62" t="str">
        <f t="shared" si="29"/>
        <v>VOLVOEX30</v>
      </c>
      <c r="E1135" s="59" t="s">
        <v>1233</v>
      </c>
      <c r="F1135" s="60">
        <v>49450000</v>
      </c>
      <c r="G1135" s="60">
        <v>0</v>
      </c>
      <c r="H1135" s="58" t="s">
        <v>308</v>
      </c>
      <c r="I1135" s="58" t="s">
        <v>308</v>
      </c>
      <c r="J1135" s="58" t="s">
        <v>1679</v>
      </c>
      <c r="K1135" s="58"/>
      <c r="L1135" s="58" t="s">
        <v>86</v>
      </c>
      <c r="M1135" s="58"/>
      <c r="N1135" s="58" t="s">
        <v>295</v>
      </c>
      <c r="O1135" s="58"/>
      <c r="P1135" s="63"/>
      <c r="Q1135" s="63"/>
    </row>
    <row r="1136" spans="2:17" ht="20.25" customHeight="1" x14ac:dyDescent="0.3">
      <c r="B1136" s="59" t="s">
        <v>1197</v>
      </c>
      <c r="C1136" s="59" t="s">
        <v>185</v>
      </c>
      <c r="D1136" s="62" t="str">
        <f t="shared" si="29"/>
        <v>VOLVOEX30</v>
      </c>
      <c r="E1136" s="59" t="s">
        <v>1234</v>
      </c>
      <c r="F1136" s="60">
        <v>55160000</v>
      </c>
      <c r="G1136" s="60">
        <v>0</v>
      </c>
      <c r="H1136" s="58" t="s">
        <v>308</v>
      </c>
      <c r="I1136" s="58" t="s">
        <v>308</v>
      </c>
      <c r="J1136" s="58" t="s">
        <v>1679</v>
      </c>
      <c r="K1136" s="58"/>
      <c r="L1136" s="58" t="s">
        <v>86</v>
      </c>
      <c r="M1136" s="58"/>
      <c r="N1136" s="58" t="s">
        <v>295</v>
      </c>
      <c r="O1136" s="58"/>
      <c r="P1136" s="63"/>
      <c r="Q1136" s="63"/>
    </row>
    <row r="1137" spans="2:17" ht="20.25" customHeight="1" x14ac:dyDescent="0.3">
      <c r="B1137" s="59" t="s">
        <v>1197</v>
      </c>
      <c r="C1137" s="59" t="s">
        <v>1754</v>
      </c>
      <c r="D1137" s="62" t="str">
        <f t="shared" si="29"/>
        <v>VOLVOEX40</v>
      </c>
      <c r="E1137" s="59" t="s">
        <v>1755</v>
      </c>
      <c r="F1137" s="60">
        <v>66740000</v>
      </c>
      <c r="G1137" s="60">
        <v>0</v>
      </c>
      <c r="H1137" s="58" t="s">
        <v>308</v>
      </c>
      <c r="I1137" s="58" t="s">
        <v>308</v>
      </c>
      <c r="J1137" s="58" t="s">
        <v>1614</v>
      </c>
      <c r="K1137" s="58"/>
      <c r="L1137" s="58" t="s">
        <v>86</v>
      </c>
      <c r="M1137" s="58"/>
      <c r="N1137" s="58" t="s">
        <v>295</v>
      </c>
      <c r="O1137" s="58"/>
      <c r="P1137" s="63"/>
      <c r="Q1137" s="63"/>
    </row>
    <row r="1138" spans="2:17" ht="20.25" customHeight="1" x14ac:dyDescent="0.3">
      <c r="B1138" s="59"/>
      <c r="C1138" s="59"/>
      <c r="D1138" s="62"/>
      <c r="E1138" s="59"/>
      <c r="F1138" s="60"/>
      <c r="G1138" s="60"/>
      <c r="H1138" s="58"/>
      <c r="I1138" s="58"/>
      <c r="J1138" s="58"/>
      <c r="K1138" s="58"/>
      <c r="L1138" s="58"/>
      <c r="M1138" s="58"/>
      <c r="N1138" s="58"/>
      <c r="O1138" s="58"/>
      <c r="P1138" s="63"/>
      <c r="Q1138" s="63"/>
    </row>
    <row r="1139" spans="2:17" ht="20.25" customHeight="1" x14ac:dyDescent="0.3">
      <c r="B1139" s="59"/>
      <c r="C1139" s="59"/>
      <c r="D1139" s="62"/>
      <c r="E1139" s="59"/>
      <c r="F1139" s="60"/>
      <c r="G1139" s="60"/>
      <c r="H1139" s="58"/>
      <c r="I1139" s="58"/>
      <c r="J1139" s="58"/>
      <c r="K1139" s="58"/>
      <c r="L1139" s="58"/>
      <c r="M1139" s="58"/>
      <c r="N1139" s="58"/>
      <c r="O1139" s="58"/>
      <c r="P1139" s="63"/>
      <c r="Q1139" s="63"/>
    </row>
    <row r="1140" spans="2:17" ht="20.25" customHeight="1" x14ac:dyDescent="0.3">
      <c r="B1140" s="59" t="s">
        <v>1617</v>
      </c>
      <c r="C1140" s="59" t="s">
        <v>1617</v>
      </c>
      <c r="D1140" s="62" t="str">
        <f t="shared" si="29"/>
        <v>BYDBYD</v>
      </c>
      <c r="E1140" s="59" t="s">
        <v>1618</v>
      </c>
      <c r="F1140" s="60">
        <v>31500000</v>
      </c>
      <c r="G1140" s="60"/>
      <c r="H1140" s="58" t="s">
        <v>308</v>
      </c>
      <c r="I1140" s="58" t="s">
        <v>308</v>
      </c>
      <c r="J1140" s="58"/>
      <c r="K1140" s="58"/>
      <c r="L1140" s="58"/>
      <c r="M1140" s="58"/>
      <c r="N1140" s="58" t="s">
        <v>295</v>
      </c>
      <c r="O1140" s="58" t="s">
        <v>1044</v>
      </c>
      <c r="P1140" s="63"/>
      <c r="Q1140" s="63"/>
    </row>
    <row r="1141" spans="2:17" ht="20.25" customHeight="1" x14ac:dyDescent="0.3">
      <c r="B1141" s="59" t="s">
        <v>1617</v>
      </c>
      <c r="C1141" s="59" t="s">
        <v>1617</v>
      </c>
      <c r="D1141" s="62" t="str">
        <f t="shared" si="29"/>
        <v>BYDBYD</v>
      </c>
      <c r="E1141" s="59" t="s">
        <v>1619</v>
      </c>
      <c r="F1141" s="60">
        <v>33300000</v>
      </c>
      <c r="G1141" s="60"/>
      <c r="H1141" s="58" t="s">
        <v>308</v>
      </c>
      <c r="I1141" s="58" t="s">
        <v>308</v>
      </c>
      <c r="J1141" s="58"/>
      <c r="K1141" s="58"/>
      <c r="L1141" s="58"/>
      <c r="M1141" s="58"/>
      <c r="N1141" s="58" t="s">
        <v>295</v>
      </c>
      <c r="O1141" s="58" t="s">
        <v>1044</v>
      </c>
      <c r="P1141" s="63"/>
      <c r="Q1141" s="63"/>
    </row>
    <row r="1142" spans="2:17" ht="20.25" customHeight="1" x14ac:dyDescent="0.3">
      <c r="B1142" s="59"/>
      <c r="C1142" s="59"/>
      <c r="D1142" s="62" t="str">
        <f t="shared" si="29"/>
        <v/>
      </c>
      <c r="E1142" s="59"/>
      <c r="F1142" s="60"/>
      <c r="G1142" s="60"/>
      <c r="H1142" s="58"/>
      <c r="I1142" s="58"/>
      <c r="J1142" s="58"/>
      <c r="K1142" s="58"/>
      <c r="L1142" s="58"/>
      <c r="M1142" s="58"/>
      <c r="N1142" s="58"/>
      <c r="O1142" s="58"/>
      <c r="P1142" s="63"/>
      <c r="Q1142" s="63"/>
    </row>
    <row r="1143" spans="2:17" ht="20.25" customHeight="1" x14ac:dyDescent="0.3">
      <c r="B1143" s="59" t="s">
        <v>1588</v>
      </c>
      <c r="C1143" s="59">
        <v>2</v>
      </c>
      <c r="D1143" s="62" t="str">
        <f t="shared" ref="D1143" si="30">+B1143&amp;C1143</f>
        <v>Polestar2</v>
      </c>
      <c r="E1143" s="59" t="s">
        <v>1746</v>
      </c>
      <c r="F1143" s="60">
        <v>66900000</v>
      </c>
      <c r="G1143" s="60">
        <v>0</v>
      </c>
      <c r="H1143" s="58" t="s">
        <v>1486</v>
      </c>
      <c r="I1143" s="58" t="s">
        <v>1486</v>
      </c>
      <c r="J1143" s="58"/>
      <c r="K1143" s="58"/>
      <c r="L1143" s="58" t="s">
        <v>1615</v>
      </c>
      <c r="M1143" s="58"/>
      <c r="N1143" s="58" t="s">
        <v>295</v>
      </c>
      <c r="O1143" s="58"/>
      <c r="P1143" s="63"/>
      <c r="Q1143" s="63"/>
    </row>
    <row r="1144" spans="2:17" ht="20.25" customHeight="1" x14ac:dyDescent="0.3">
      <c r="B1144" s="59" t="s">
        <v>1588</v>
      </c>
      <c r="C1144" s="59">
        <v>4</v>
      </c>
      <c r="D1144" s="62" t="str">
        <f t="shared" si="29"/>
        <v>Polestar4</v>
      </c>
      <c r="E1144" s="59" t="s">
        <v>1747</v>
      </c>
      <c r="F1144" s="60">
        <v>66900000</v>
      </c>
      <c r="G1144" s="60">
        <v>0</v>
      </c>
      <c r="H1144" s="58" t="s">
        <v>1486</v>
      </c>
      <c r="I1144" s="58" t="s">
        <v>1486</v>
      </c>
      <c r="J1144" s="58"/>
      <c r="K1144" s="58"/>
      <c r="L1144" s="58" t="s">
        <v>1615</v>
      </c>
      <c r="M1144" s="58"/>
      <c r="N1144" s="58" t="s">
        <v>295</v>
      </c>
      <c r="O1144" s="58"/>
      <c r="P1144" s="63"/>
      <c r="Q1144" s="63"/>
    </row>
    <row r="1145" spans="2:17" ht="20.25" customHeight="1" x14ac:dyDescent="0.3">
      <c r="B1145" s="59" t="s">
        <v>1588</v>
      </c>
      <c r="C1145" s="59">
        <v>4</v>
      </c>
      <c r="D1145" s="62" t="str">
        <f t="shared" si="29"/>
        <v>Polestar4</v>
      </c>
      <c r="E1145" s="59" t="s">
        <v>1748</v>
      </c>
      <c r="F1145" s="60">
        <v>71900000</v>
      </c>
      <c r="G1145" s="60">
        <v>0</v>
      </c>
      <c r="H1145" s="58" t="s">
        <v>1486</v>
      </c>
      <c r="I1145" s="58" t="s">
        <v>1486</v>
      </c>
      <c r="J1145" s="58"/>
      <c r="K1145" s="58"/>
      <c r="L1145" s="58" t="s">
        <v>1615</v>
      </c>
      <c r="M1145" s="58"/>
      <c r="N1145" s="58" t="s">
        <v>295</v>
      </c>
      <c r="O1145" s="58"/>
      <c r="P1145" s="63"/>
      <c r="Q1145" s="63"/>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2:Q30"/>
  <sheetViews>
    <sheetView workbookViewId="0">
      <selection activeCell="T8" sqref="T8"/>
    </sheetView>
  </sheetViews>
  <sheetFormatPr defaultRowHeight="13.5" x14ac:dyDescent="0.3"/>
  <cols>
    <col min="1" max="1" width="9" style="1"/>
    <col min="2" max="2" width="12.5" style="1" bestFit="1" customWidth="1"/>
    <col min="3" max="3" width="9" style="1"/>
    <col min="4" max="4" width="13.125" style="1" bestFit="1" customWidth="1"/>
    <col min="5" max="5" width="11" style="1" bestFit="1" customWidth="1"/>
    <col min="6" max="6" width="8" style="1" bestFit="1" customWidth="1"/>
    <col min="7" max="7" width="11.375" style="2" bestFit="1" customWidth="1"/>
    <col min="8" max="9" width="9" style="1"/>
    <col min="10" max="10" width="11.375" style="1" bestFit="1" customWidth="1"/>
    <col min="11" max="14" width="9" style="1"/>
    <col min="15" max="15" width="11.375" style="1" bestFit="1" customWidth="1"/>
    <col min="16" max="16384" width="9" style="1"/>
  </cols>
  <sheetData>
    <row r="2" spans="2:17" x14ac:dyDescent="0.3">
      <c r="D2" s="1" t="s">
        <v>1340</v>
      </c>
      <c r="E2" s="1" t="str">
        <f>'운용리스 입력'!D5</f>
        <v>Audi</v>
      </c>
      <c r="I2" s="1" t="s">
        <v>1340</v>
      </c>
      <c r="J2" s="1" t="str">
        <f>'금융리스 입력'!D4</f>
        <v>BYD</v>
      </c>
      <c r="L2" s="2"/>
      <c r="N2" s="1" t="s">
        <v>1340</v>
      </c>
      <c r="O2" s="1" t="str">
        <f>'할부 입력'!D4</f>
        <v>BYD</v>
      </c>
      <c r="Q2" s="2"/>
    </row>
    <row r="3" spans="2:17" x14ac:dyDescent="0.3">
      <c r="D3" s="1" t="s">
        <v>1367</v>
      </c>
      <c r="E3" s="1" t="str">
        <f>E2&amp;"_"</f>
        <v>Audi_</v>
      </c>
      <c r="I3" s="1" t="s">
        <v>1</v>
      </c>
      <c r="J3" s="1" t="str">
        <f>J2&amp;"_"</f>
        <v>BYD_</v>
      </c>
      <c r="L3" s="2"/>
      <c r="N3" s="1" t="s">
        <v>1</v>
      </c>
      <c r="O3" s="1" t="str">
        <f>O2&amp;"_"</f>
        <v>BYD_</v>
      </c>
      <c r="Q3" s="2"/>
    </row>
    <row r="4" spans="2:17" x14ac:dyDescent="0.3">
      <c r="D4" s="1" t="s">
        <v>0</v>
      </c>
      <c r="G4" s="1"/>
      <c r="H4" s="2"/>
      <c r="I4" s="1" t="s">
        <v>0</v>
      </c>
      <c r="N4" s="1" t="s">
        <v>0</v>
      </c>
    </row>
    <row r="5" spans="2:17" x14ac:dyDescent="0.3">
      <c r="B5" s="1" t="s">
        <v>1341</v>
      </c>
      <c r="D5" s="1" t="s">
        <v>1341</v>
      </c>
      <c r="E5" s="1" t="s">
        <v>1366</v>
      </c>
      <c r="G5" s="1"/>
      <c r="H5" s="2"/>
      <c r="I5" s="1" t="s">
        <v>1341</v>
      </c>
      <c r="J5" s="1" t="s">
        <v>1366</v>
      </c>
      <c r="N5" s="1" t="s">
        <v>1341</v>
      </c>
      <c r="O5" s="1" t="s">
        <v>1366</v>
      </c>
    </row>
    <row r="6" spans="2:17" x14ac:dyDescent="0.3">
      <c r="B6" s="1" t="s">
        <v>1342</v>
      </c>
      <c r="D6" s="1" t="s">
        <v>1341</v>
      </c>
      <c r="E6" s="1" t="s">
        <v>1328</v>
      </c>
      <c r="F6" s="1" t="s">
        <v>1329</v>
      </c>
      <c r="G6" s="2">
        <v>1.0999999999999999E-2</v>
      </c>
      <c r="H6" s="2"/>
      <c r="I6" s="1" t="s">
        <v>1341</v>
      </c>
      <c r="J6" s="1" t="s">
        <v>1328</v>
      </c>
      <c r="K6" s="1" t="s">
        <v>1452</v>
      </c>
      <c r="L6" s="2">
        <v>3.3E-3</v>
      </c>
      <c r="N6" s="1" t="s">
        <v>1341</v>
      </c>
      <c r="O6" s="1" t="s">
        <v>1328</v>
      </c>
      <c r="P6" s="1" t="s">
        <v>1452</v>
      </c>
      <c r="Q6" s="2">
        <v>3.3E-3</v>
      </c>
    </row>
    <row r="7" spans="2:17" x14ac:dyDescent="0.3">
      <c r="B7" s="1" t="s">
        <v>1343</v>
      </c>
      <c r="D7" s="1" t="s">
        <v>1342</v>
      </c>
      <c r="E7" s="1" t="s">
        <v>1366</v>
      </c>
      <c r="G7" s="1"/>
      <c r="H7" s="2"/>
      <c r="I7" s="1" t="s">
        <v>1342</v>
      </c>
      <c r="J7" s="1" t="s">
        <v>1366</v>
      </c>
      <c r="N7" s="1" t="s">
        <v>1342</v>
      </c>
      <c r="O7" s="1" t="s">
        <v>1366</v>
      </c>
    </row>
    <row r="8" spans="2:17" x14ac:dyDescent="0.3">
      <c r="B8" s="1" t="s">
        <v>1344</v>
      </c>
      <c r="D8" s="1" t="s">
        <v>1342</v>
      </c>
      <c r="E8" s="1" t="s">
        <v>1330</v>
      </c>
      <c r="F8" s="1" t="s">
        <v>1329</v>
      </c>
      <c r="G8" s="2">
        <v>1.0999999999999999E-2</v>
      </c>
      <c r="H8" s="2"/>
      <c r="I8" s="1" t="s">
        <v>1342</v>
      </c>
      <c r="J8" s="1" t="s">
        <v>1330</v>
      </c>
      <c r="K8" s="1" t="s">
        <v>1452</v>
      </c>
      <c r="L8" s="2">
        <v>5.4999999999999997E-3</v>
      </c>
      <c r="N8" s="1" t="s">
        <v>1342</v>
      </c>
      <c r="O8" s="1" t="s">
        <v>1330</v>
      </c>
      <c r="P8" s="1" t="s">
        <v>1452</v>
      </c>
      <c r="Q8" s="2">
        <v>5.4999999999999997E-3</v>
      </c>
    </row>
    <row r="9" spans="2:17" x14ac:dyDescent="0.3">
      <c r="B9" s="1" t="s">
        <v>1345</v>
      </c>
      <c r="D9" s="1" t="s">
        <v>1342</v>
      </c>
      <c r="E9" s="1" t="s">
        <v>1691</v>
      </c>
      <c r="F9" s="1" t="s">
        <v>1329</v>
      </c>
      <c r="G9" s="2">
        <v>1.0999999999999999E-2</v>
      </c>
      <c r="I9" s="1" t="s">
        <v>1342</v>
      </c>
      <c r="J9" s="1" t="s">
        <v>1691</v>
      </c>
      <c r="K9" s="1" t="s">
        <v>1329</v>
      </c>
      <c r="L9" s="2">
        <v>5.4999999999999997E-3</v>
      </c>
      <c r="N9" s="1" t="s">
        <v>1342</v>
      </c>
      <c r="O9" s="1" t="s">
        <v>1691</v>
      </c>
      <c r="P9" s="1" t="s">
        <v>1329</v>
      </c>
      <c r="Q9" s="2">
        <v>5.4999999999999997E-3</v>
      </c>
    </row>
    <row r="10" spans="2:17" x14ac:dyDescent="0.3">
      <c r="B10" s="1" t="s">
        <v>1346</v>
      </c>
      <c r="D10" s="1" t="s">
        <v>1342</v>
      </c>
      <c r="E10" s="1" t="s">
        <v>1331</v>
      </c>
      <c r="F10" s="1" t="s">
        <v>1329</v>
      </c>
      <c r="G10" s="2">
        <v>1.0999999999999999E-2</v>
      </c>
      <c r="H10" s="2"/>
      <c r="I10" s="1" t="s">
        <v>1342</v>
      </c>
      <c r="J10" s="1" t="s">
        <v>1331</v>
      </c>
      <c r="K10" s="1" t="s">
        <v>1452</v>
      </c>
      <c r="L10" s="2">
        <v>5.4999999999999997E-3</v>
      </c>
      <c r="N10" s="1" t="s">
        <v>1342</v>
      </c>
      <c r="O10" s="1" t="s">
        <v>1331</v>
      </c>
      <c r="P10" s="1" t="s">
        <v>1452</v>
      </c>
      <c r="Q10" s="2">
        <v>5.4999999999999997E-3</v>
      </c>
    </row>
    <row r="11" spans="2:17" x14ac:dyDescent="0.3">
      <c r="B11" s="1" t="s">
        <v>1347</v>
      </c>
      <c r="D11" s="1" t="s">
        <v>1342</v>
      </c>
      <c r="E11" s="1" t="s">
        <v>1332</v>
      </c>
      <c r="F11" s="1" t="s">
        <v>1329</v>
      </c>
      <c r="G11" s="2">
        <v>1.0999999999999999E-2</v>
      </c>
      <c r="H11" s="2"/>
      <c r="I11" s="1" t="s">
        <v>1342</v>
      </c>
      <c r="J11" s="1" t="s">
        <v>1332</v>
      </c>
      <c r="K11" s="1" t="s">
        <v>1452</v>
      </c>
      <c r="L11" s="2">
        <v>5.4999999999999997E-3</v>
      </c>
      <c r="N11" s="1" t="s">
        <v>1342</v>
      </c>
      <c r="O11" s="1" t="s">
        <v>1332</v>
      </c>
      <c r="P11" s="1" t="s">
        <v>1452</v>
      </c>
      <c r="Q11" s="2">
        <v>5.4999999999999997E-3</v>
      </c>
    </row>
    <row r="12" spans="2:17" x14ac:dyDescent="0.3">
      <c r="B12" s="1" t="s">
        <v>1348</v>
      </c>
      <c r="D12" s="1" t="s">
        <v>1342</v>
      </c>
      <c r="E12" s="1" t="s">
        <v>1804</v>
      </c>
      <c r="F12" s="1" t="s">
        <v>1329</v>
      </c>
      <c r="G12" s="2">
        <v>1.0999999999999999E-2</v>
      </c>
      <c r="H12" s="2"/>
      <c r="I12" s="1" t="s">
        <v>1342</v>
      </c>
      <c r="J12" s="1" t="s">
        <v>1804</v>
      </c>
      <c r="K12" s="1" t="s">
        <v>1452</v>
      </c>
      <c r="L12" s="2">
        <v>5.4999999999999997E-3</v>
      </c>
      <c r="N12" s="1" t="s">
        <v>1342</v>
      </c>
      <c r="O12" s="1" t="s">
        <v>1804</v>
      </c>
      <c r="P12" s="1" t="s">
        <v>1452</v>
      </c>
      <c r="Q12" s="2">
        <v>5.4999999999999997E-3</v>
      </c>
    </row>
    <row r="13" spans="2:17" x14ac:dyDescent="0.3">
      <c r="B13" s="1" t="s">
        <v>1349</v>
      </c>
      <c r="D13" s="1" t="s">
        <v>1342</v>
      </c>
      <c r="E13" s="1" t="s">
        <v>1333</v>
      </c>
      <c r="F13" s="1" t="s">
        <v>1329</v>
      </c>
      <c r="G13" s="2">
        <v>0.01</v>
      </c>
      <c r="H13" s="2"/>
      <c r="I13" s="1" t="s">
        <v>1342</v>
      </c>
      <c r="J13" s="1" t="s">
        <v>1333</v>
      </c>
      <c r="K13" s="1" t="s">
        <v>1452</v>
      </c>
      <c r="L13" s="2">
        <v>5.0000000000000001E-3</v>
      </c>
      <c r="N13" s="1" t="s">
        <v>1342</v>
      </c>
      <c r="O13" s="1" t="s">
        <v>1333</v>
      </c>
      <c r="P13" s="1" t="s">
        <v>1452</v>
      </c>
      <c r="Q13" s="2">
        <v>5.0000000000000001E-3</v>
      </c>
    </row>
    <row r="14" spans="2:17" x14ac:dyDescent="0.3">
      <c r="B14" s="1" t="s">
        <v>1350</v>
      </c>
      <c r="D14" s="1" t="s">
        <v>1342</v>
      </c>
      <c r="E14" s="1" t="s">
        <v>1334</v>
      </c>
      <c r="F14" s="1" t="s">
        <v>1329</v>
      </c>
      <c r="G14" s="2">
        <v>1.0999999999999999E-2</v>
      </c>
      <c r="H14" s="2"/>
      <c r="I14" s="1" t="s">
        <v>1342</v>
      </c>
      <c r="J14" s="1" t="s">
        <v>1334</v>
      </c>
      <c r="K14" s="1" t="s">
        <v>1452</v>
      </c>
      <c r="L14" s="2">
        <v>5.4999999999999997E-3</v>
      </c>
      <c r="N14" s="1" t="s">
        <v>1342</v>
      </c>
      <c r="O14" s="1" t="s">
        <v>1334</v>
      </c>
      <c r="P14" s="1" t="s">
        <v>1452</v>
      </c>
      <c r="Q14" s="2">
        <v>5.4999999999999997E-3</v>
      </c>
    </row>
    <row r="15" spans="2:17" x14ac:dyDescent="0.3">
      <c r="B15" s="1" t="s">
        <v>1351</v>
      </c>
      <c r="D15" s="1" t="s">
        <v>1350</v>
      </c>
    </row>
    <row r="16" spans="2:17" x14ac:dyDescent="0.3">
      <c r="B16" s="1" t="s">
        <v>1352</v>
      </c>
      <c r="D16" s="1" t="s">
        <v>1350</v>
      </c>
      <c r="E16" s="1" t="s">
        <v>1366</v>
      </c>
      <c r="G16" s="1"/>
      <c r="H16" s="2"/>
      <c r="I16" s="1" t="s">
        <v>1350</v>
      </c>
      <c r="J16" s="1" t="s">
        <v>1366</v>
      </c>
      <c r="N16" s="1" t="s">
        <v>1350</v>
      </c>
      <c r="O16" s="1" t="s">
        <v>1366</v>
      </c>
    </row>
    <row r="17" spans="2:17" x14ac:dyDescent="0.3">
      <c r="B17" s="1" t="s">
        <v>1353</v>
      </c>
      <c r="D17" s="1" t="s">
        <v>1350</v>
      </c>
      <c r="E17" s="1" t="s">
        <v>1335</v>
      </c>
      <c r="F17" s="1" t="s">
        <v>1329</v>
      </c>
      <c r="G17" s="2">
        <v>1.0999999999999999E-2</v>
      </c>
      <c r="H17" s="2"/>
      <c r="I17" s="1" t="s">
        <v>1350</v>
      </c>
      <c r="J17" s="1" t="s">
        <v>1335</v>
      </c>
      <c r="K17" s="1" t="s">
        <v>1452</v>
      </c>
      <c r="L17" s="2">
        <v>5.4999999999999997E-3</v>
      </c>
      <c r="N17" s="1" t="s">
        <v>1350</v>
      </c>
      <c r="O17" s="1" t="s">
        <v>1335</v>
      </c>
      <c r="P17" s="1" t="s">
        <v>1452</v>
      </c>
      <c r="Q17" s="2">
        <v>5.4999999999999997E-3</v>
      </c>
    </row>
    <row r="18" spans="2:17" x14ac:dyDescent="0.3">
      <c r="B18" s="1" t="s">
        <v>1354</v>
      </c>
      <c r="D18" s="1" t="s">
        <v>1348</v>
      </c>
      <c r="E18" s="1" t="s">
        <v>1336</v>
      </c>
      <c r="F18" s="1" t="s">
        <v>1329</v>
      </c>
      <c r="G18" s="2">
        <v>0.01</v>
      </c>
      <c r="H18" s="2"/>
      <c r="I18" s="1" t="s">
        <v>1350</v>
      </c>
      <c r="J18" s="1" t="s">
        <v>1336</v>
      </c>
      <c r="K18" s="1" t="s">
        <v>1452</v>
      </c>
      <c r="L18" s="2">
        <v>4.0000000000000001E-3</v>
      </c>
      <c r="N18" s="1" t="s">
        <v>1350</v>
      </c>
      <c r="O18" s="1" t="s">
        <v>1336</v>
      </c>
      <c r="P18" s="1" t="s">
        <v>1452</v>
      </c>
      <c r="Q18" s="2">
        <v>4.0000000000000001E-3</v>
      </c>
    </row>
    <row r="19" spans="2:17" x14ac:dyDescent="0.3">
      <c r="B19" s="1" t="s">
        <v>1355</v>
      </c>
      <c r="D19" s="1" t="s">
        <v>1348</v>
      </c>
      <c r="E19" s="1" t="s">
        <v>1366</v>
      </c>
      <c r="G19" s="1"/>
      <c r="I19" s="1" t="s">
        <v>1348</v>
      </c>
      <c r="J19" s="1" t="s">
        <v>1366</v>
      </c>
      <c r="N19" s="1" t="s">
        <v>1348</v>
      </c>
      <c r="O19" s="1" t="s">
        <v>1366</v>
      </c>
    </row>
    <row r="20" spans="2:17" x14ac:dyDescent="0.3">
      <c r="B20" s="1" t="s">
        <v>1356</v>
      </c>
      <c r="D20" s="1" t="s">
        <v>1348</v>
      </c>
      <c r="E20" s="1" t="s">
        <v>1335</v>
      </c>
      <c r="F20" s="1" t="s">
        <v>1329</v>
      </c>
      <c r="G20" s="2">
        <v>1.0999999999999999E-2</v>
      </c>
      <c r="I20" s="1" t="s">
        <v>1348</v>
      </c>
      <c r="J20" s="1" t="s">
        <v>1335</v>
      </c>
      <c r="K20" s="1" t="s">
        <v>1452</v>
      </c>
      <c r="L20" s="2">
        <v>5.4999999999999997E-3</v>
      </c>
      <c r="N20" s="1" t="s">
        <v>1348</v>
      </c>
      <c r="O20" s="1" t="s">
        <v>1335</v>
      </c>
      <c r="P20" s="1" t="s">
        <v>1452</v>
      </c>
      <c r="Q20" s="2">
        <v>5.4999999999999997E-3</v>
      </c>
    </row>
    <row r="21" spans="2:17" x14ac:dyDescent="0.3">
      <c r="B21" s="1" t="s">
        <v>1357</v>
      </c>
      <c r="D21" s="1" t="s">
        <v>1355</v>
      </c>
      <c r="E21" s="1" t="s">
        <v>1336</v>
      </c>
      <c r="F21" s="1" t="s">
        <v>1329</v>
      </c>
      <c r="G21" s="2">
        <v>0.01</v>
      </c>
      <c r="H21" s="2"/>
      <c r="I21" s="1" t="s">
        <v>1348</v>
      </c>
      <c r="J21" s="1" t="s">
        <v>1336</v>
      </c>
      <c r="K21" s="1" t="s">
        <v>1452</v>
      </c>
      <c r="L21" s="2">
        <v>4.0000000000000001E-3</v>
      </c>
      <c r="N21" s="1" t="s">
        <v>1348</v>
      </c>
      <c r="O21" s="1" t="s">
        <v>1336</v>
      </c>
      <c r="P21" s="1" t="s">
        <v>1452</v>
      </c>
      <c r="Q21" s="2">
        <v>4.0000000000000001E-3</v>
      </c>
    </row>
    <row r="22" spans="2:17" x14ac:dyDescent="0.3">
      <c r="B22" s="1" t="s">
        <v>1358</v>
      </c>
      <c r="D22" s="1" t="s">
        <v>1355</v>
      </c>
      <c r="E22" s="1" t="s">
        <v>1366</v>
      </c>
      <c r="G22" s="1"/>
      <c r="H22" s="2"/>
      <c r="I22" s="1" t="s">
        <v>1355</v>
      </c>
      <c r="J22" s="1" t="s">
        <v>1366</v>
      </c>
      <c r="N22" s="1" t="s">
        <v>1355</v>
      </c>
      <c r="O22" s="1" t="s">
        <v>1366</v>
      </c>
    </row>
    <row r="23" spans="2:17" x14ac:dyDescent="0.3">
      <c r="B23" s="1" t="s">
        <v>1359</v>
      </c>
      <c r="D23" s="1" t="s">
        <v>1355</v>
      </c>
      <c r="E23" s="1" t="s">
        <v>1337</v>
      </c>
      <c r="F23" s="1" t="s">
        <v>1329</v>
      </c>
      <c r="G23" s="2">
        <v>0.01</v>
      </c>
      <c r="H23" s="2"/>
      <c r="I23" s="1" t="s">
        <v>1355</v>
      </c>
      <c r="J23" s="1" t="s">
        <v>1337</v>
      </c>
      <c r="K23" s="1" t="s">
        <v>1452</v>
      </c>
      <c r="L23" s="2">
        <v>7.0000000000000001E-3</v>
      </c>
      <c r="N23" s="1" t="s">
        <v>1355</v>
      </c>
      <c r="O23" s="1" t="s">
        <v>1337</v>
      </c>
      <c r="P23" s="1" t="s">
        <v>1452</v>
      </c>
      <c r="Q23" s="2">
        <v>7.0000000000000001E-3</v>
      </c>
    </row>
    <row r="24" spans="2:17" x14ac:dyDescent="0.3">
      <c r="B24" s="1" t="s">
        <v>1360</v>
      </c>
      <c r="D24" s="1" t="s">
        <v>1355</v>
      </c>
      <c r="E24" s="1" t="s">
        <v>1338</v>
      </c>
      <c r="F24" s="1" t="s">
        <v>1329</v>
      </c>
      <c r="G24" s="2">
        <v>0.01</v>
      </c>
      <c r="H24" s="2"/>
      <c r="I24" s="1" t="s">
        <v>1355</v>
      </c>
      <c r="J24" s="1" t="s">
        <v>1338</v>
      </c>
      <c r="K24" s="1" t="s">
        <v>1452</v>
      </c>
      <c r="L24" s="2">
        <v>5.0000000000000001E-3</v>
      </c>
      <c r="N24" s="1" t="s">
        <v>1355</v>
      </c>
      <c r="O24" s="1" t="s">
        <v>1338</v>
      </c>
      <c r="P24" s="1" t="s">
        <v>1452</v>
      </c>
      <c r="Q24" s="2">
        <v>5.0000000000000001E-3</v>
      </c>
    </row>
    <row r="25" spans="2:17" x14ac:dyDescent="0.3">
      <c r="B25" s="1" t="s">
        <v>1361</v>
      </c>
      <c r="E25" s="1" t="s">
        <v>1339</v>
      </c>
      <c r="F25" s="1" t="s">
        <v>1329</v>
      </c>
      <c r="G25" s="2">
        <v>1.2999999999999999E-2</v>
      </c>
      <c r="I25" s="1" t="s">
        <v>1355</v>
      </c>
      <c r="J25" s="1" t="s">
        <v>1339</v>
      </c>
      <c r="K25" s="1" t="s">
        <v>1452</v>
      </c>
      <c r="L25" s="2">
        <v>7.0000000000000001E-3</v>
      </c>
      <c r="N25" s="1" t="s">
        <v>1355</v>
      </c>
      <c r="O25" s="1" t="s">
        <v>1339</v>
      </c>
      <c r="P25" s="1" t="s">
        <v>1452</v>
      </c>
      <c r="Q25" s="2">
        <v>7.0000000000000001E-3</v>
      </c>
    </row>
    <row r="26" spans="2:17" x14ac:dyDescent="0.3">
      <c r="B26" s="1" t="s">
        <v>1362</v>
      </c>
      <c r="L26" s="2"/>
      <c r="Q26" s="2"/>
    </row>
    <row r="27" spans="2:17" x14ac:dyDescent="0.3">
      <c r="B27" s="1" t="s">
        <v>1363</v>
      </c>
      <c r="E27" s="1" t="s">
        <v>1366</v>
      </c>
      <c r="J27" s="1" t="s">
        <v>1366</v>
      </c>
      <c r="L27" s="2"/>
      <c r="O27" s="1" t="s">
        <v>1366</v>
      </c>
      <c r="Q27" s="2"/>
    </row>
    <row r="28" spans="2:17" x14ac:dyDescent="0.3">
      <c r="B28" s="1" t="s">
        <v>1364</v>
      </c>
      <c r="D28" s="981" t="s">
        <v>1624</v>
      </c>
      <c r="E28" s="345">
        <f>IF(AND('운용리스 내부'!D3="세영모빌리티",'운용리스 내부'!D5="MacanEV"),1.3%,0%)</f>
        <v>0</v>
      </c>
      <c r="F28" s="345">
        <f>IF(AND('금융리스 내부'!D4="세영모빌리티",'금융리스 내부'!D6="MacanEV"),0.7%,0%)</f>
        <v>0</v>
      </c>
      <c r="G28" s="345">
        <f>IF(AND('할부 내부'!D4="세영모빌리티",'할부 내부'!D6="MacanEV"),0.7%,0%)</f>
        <v>0</v>
      </c>
    </row>
    <row r="29" spans="2:17" x14ac:dyDescent="0.3">
      <c r="B29" s="1" t="s">
        <v>1365</v>
      </c>
      <c r="D29" s="981"/>
      <c r="E29" s="345">
        <f>IF(AND('운용리스 내부'!D3="세영모빌리티",'운용리스 내부'!D5="Taycan"),1.3%,0%)</f>
        <v>0</v>
      </c>
      <c r="F29" s="345">
        <f>IF(AND('금융리스 내부'!D4="세영모빌리티",'금융리스 내부'!D6="Taycan"),0.7%,0%)</f>
        <v>0</v>
      </c>
      <c r="G29" s="345">
        <f>IF(AND('할부 내부'!D4="세영모빌리티",'할부 내부'!D6="Taycan"),0.7%,0%)</f>
        <v>0</v>
      </c>
    </row>
    <row r="30" spans="2:17" x14ac:dyDescent="0.3">
      <c r="D30" s="981"/>
      <c r="E30" s="16">
        <v>550000</v>
      </c>
    </row>
  </sheetData>
  <mergeCells count="1">
    <mergeCell ref="D28:D30"/>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B2:W77"/>
  <sheetViews>
    <sheetView zoomScale="70" zoomScaleNormal="70" workbookViewId="0">
      <selection activeCell="S10" sqref="S10"/>
    </sheetView>
  </sheetViews>
  <sheetFormatPr defaultRowHeight="13.5" x14ac:dyDescent="0.3"/>
  <cols>
    <col min="1" max="1" width="4" style="4" customWidth="1"/>
    <col min="2" max="2" width="20.375" style="25" customWidth="1"/>
    <col min="3" max="17" width="13.375" style="4" customWidth="1"/>
    <col min="18" max="19" width="14.125" style="4" customWidth="1"/>
    <col min="20" max="20" width="13.125" style="4" bestFit="1" customWidth="1"/>
    <col min="21" max="21" width="9" style="4"/>
    <col min="22" max="22" width="11.375" style="4" bestFit="1" customWidth="1"/>
    <col min="23" max="25" width="10.5" style="4" bestFit="1" customWidth="1"/>
    <col min="26" max="16384" width="9" style="4"/>
  </cols>
  <sheetData>
    <row r="2" spans="2:23" ht="14.25" thickBot="1" x14ac:dyDescent="0.35"/>
    <row r="3" spans="2:23" x14ac:dyDescent="0.3">
      <c r="B3" s="281" t="s">
        <v>1262</v>
      </c>
      <c r="C3" s="993" t="str">
        <f>'운용리스 입력'!D5</f>
        <v>Audi</v>
      </c>
      <c r="D3" s="994"/>
      <c r="E3" s="995"/>
    </row>
    <row r="4" spans="2:23" x14ac:dyDescent="0.3">
      <c r="B4" s="282" t="s">
        <v>1263</v>
      </c>
      <c r="C4" s="986" t="str">
        <f>'운용리스 입력'!D7</f>
        <v>A6 e-tron Performance Advanced</v>
      </c>
      <c r="D4" s="987"/>
      <c r="E4" s="988"/>
    </row>
    <row r="5" spans="2:23" ht="14.25" thickBot="1" x14ac:dyDescent="0.35">
      <c r="B5" s="284" t="s">
        <v>1264</v>
      </c>
      <c r="C5" s="996">
        <f>'운용리스 입력'!D14</f>
        <v>65800000</v>
      </c>
      <c r="D5" s="997"/>
      <c r="E5" s="998"/>
      <c r="I5" s="6"/>
      <c r="J5" s="6"/>
      <c r="K5" s="6"/>
      <c r="O5" s="6"/>
      <c r="P5" s="6"/>
      <c r="Q5" s="6"/>
    </row>
    <row r="6" spans="2:23" ht="14.25" thickBot="1" x14ac:dyDescent="0.35">
      <c r="B6" s="372" t="s">
        <v>1673</v>
      </c>
      <c r="C6" s="999" t="str">
        <f>'운용리스 입력'!D8</f>
        <v>25MY</v>
      </c>
      <c r="D6" s="999"/>
      <c r="E6" s="1000"/>
      <c r="I6" s="6"/>
      <c r="J6" s="6"/>
      <c r="K6" s="6"/>
      <c r="O6" s="6"/>
      <c r="P6" s="6"/>
      <c r="Q6" s="6"/>
    </row>
    <row r="7" spans="2:23" ht="14.25" thickBot="1" x14ac:dyDescent="0.35">
      <c r="I7" s="7"/>
      <c r="J7" s="6"/>
      <c r="K7" s="6"/>
      <c r="O7" s="7"/>
      <c r="P7" s="6"/>
      <c r="Q7" s="6"/>
    </row>
    <row r="8" spans="2:23" ht="27.75" thickBot="1" x14ac:dyDescent="0.35">
      <c r="B8" s="281" t="s">
        <v>1265</v>
      </c>
      <c r="C8" s="993">
        <f>'운용리스 입력'!J4</f>
        <v>36</v>
      </c>
      <c r="D8" s="994"/>
      <c r="E8" s="995"/>
      <c r="F8" s="320" t="s">
        <v>1288</v>
      </c>
      <c r="G8" s="321" t="s">
        <v>1289</v>
      </c>
      <c r="H8" s="322" t="s">
        <v>1290</v>
      </c>
      <c r="I8" s="322" t="s">
        <v>1291</v>
      </c>
      <c r="J8" s="322" t="s">
        <v>6</v>
      </c>
      <c r="K8" s="322" t="s">
        <v>1306</v>
      </c>
      <c r="L8" s="322" t="s">
        <v>1292</v>
      </c>
      <c r="M8" s="322" t="s">
        <v>1305</v>
      </c>
      <c r="N8" s="322" t="s">
        <v>1293</v>
      </c>
      <c r="O8" s="322" t="s">
        <v>1294</v>
      </c>
      <c r="P8" s="322" t="s">
        <v>1260</v>
      </c>
      <c r="Q8" s="322" t="s">
        <v>1794</v>
      </c>
      <c r="R8" s="322" t="s">
        <v>1795</v>
      </c>
      <c r="S8" s="322" t="s">
        <v>1796</v>
      </c>
      <c r="T8" s="322" t="s">
        <v>1295</v>
      </c>
      <c r="U8" s="322" t="s">
        <v>1287</v>
      </c>
      <c r="V8" s="322" t="s">
        <v>1296</v>
      </c>
      <c r="W8" s="323" t="s">
        <v>1297</v>
      </c>
    </row>
    <row r="9" spans="2:23" x14ac:dyDescent="0.3">
      <c r="B9" s="282" t="s">
        <v>1266</v>
      </c>
      <c r="C9" s="986">
        <f>'운용리스 입력'!J5</f>
        <v>20000</v>
      </c>
      <c r="D9" s="987"/>
      <c r="E9" s="988"/>
      <c r="F9" s="318">
        <f>IF(OR(C6="23MY",C6="24MY"),1,RANK(W9,$W$9:$W$12,1))</f>
        <v>2</v>
      </c>
      <c r="G9" s="324" t="s">
        <v>1368</v>
      </c>
      <c r="H9" s="324" t="str">
        <f>VLOOKUP($C$4,차종!$E$7:$P$1145,6,0)</f>
        <v>H</v>
      </c>
      <c r="I9" s="325">
        <f>IF($H$9=0,0%,INDEX($C$49:$W$54,MATCH($C$8,$B$49:$B$54,0),MATCH(H9,$C$48:$W$48,0)))</f>
        <v>0.38</v>
      </c>
      <c r="J9" s="325">
        <f>VLOOKUP($C$9,$I$36:$M$39,2,0)</f>
        <v>0</v>
      </c>
      <c r="K9" s="326">
        <f>IF('운용리스 입력'!$BB$12=TRUE,I9+J9-잔가!$C$14,I9+J9)</f>
        <v>0.38</v>
      </c>
      <c r="L9" s="325">
        <f>IF(AND($C$9=20000,$C$8=12),8%,IF(AND($C$9=20000,$C$8=24),8%,IF(AND($C$9=20000,$C$8=36),8%,IF(AND($C$9=20000,$C$8=48),8%,IF(AND($C$9=20000,$C$8=60),8%,IF(AND($C$9=15000,$C$8=12),8%,IF(AND($C$9=15000,$C$8=24),8%,IF(AND($C$9=15000,$C$8=36),8%,IF(AND($C$9=15000,$C$8=48),8%,IF(AND($C$9=15000,$C$8=60),8%,IF(AND($C$9=10000,$C$8=12),8%,IF(AND($C$9=10000,$C$8=24),8%,IF(AND($C$9=10000,$C$8=36),8%,IF(AND($C$9=10000,$C$8=48),8%,IF(AND($C$9=10000,$C$8=60),8%,0)))))))))))))))</f>
        <v>0.08</v>
      </c>
      <c r="M9" s="326">
        <f>IF(Q9="고잔가불가",0,L9)+K9-T9</f>
        <v>0.46</v>
      </c>
      <c r="N9" s="326">
        <f>$E$10-K9</f>
        <v>0.25</v>
      </c>
      <c r="O9" s="324" t="str">
        <f>IF(N9&gt;7.01%,"8구간",IF(N9&gt;6.01%,"7구간",IF(N9&gt;5.01%,"6구간",IF(N9&gt;4.01%,"5구간",IF(N9&gt;3.01%,"4구간",IF(N9&gt;2.01%,"3구간",IF(N9&gt;1.01%,"2구간",IF(N9&gt;=0.01%,"1구간",IF(N9&lt;0.01%,"0구간","해당없음")))))))))</f>
        <v>8구간</v>
      </c>
      <c r="P9" s="327">
        <f>VLOOKUP(O9,$C$36:$G$45,2,0)</f>
        <v>723800</v>
      </c>
      <c r="Q9" s="324">
        <f>VLOOKUP($C$4,차종!E:P,11,0)</f>
        <v>0</v>
      </c>
      <c r="R9" s="324"/>
      <c r="S9" s="324"/>
      <c r="T9" s="325"/>
      <c r="U9" s="324">
        <f>IF(I9=0%,10,RANK(M9,$M$9:$M$12,0))</f>
        <v>2</v>
      </c>
      <c r="V9" s="324">
        <f>IF(I9=0%,10,RANK(P9,$P$9:$P$12,1))+IF(U9&gt;1,2,0)</f>
        <v>4</v>
      </c>
      <c r="W9" s="328">
        <f>U9+V9</f>
        <v>6</v>
      </c>
    </row>
    <row r="10" spans="2:23" x14ac:dyDescent="0.3">
      <c r="B10" s="282" t="s">
        <v>1267</v>
      </c>
      <c r="C10" s="989">
        <f>'운용리스 내부'!I8</f>
        <v>41454000</v>
      </c>
      <c r="D10" s="990"/>
      <c r="E10" s="288">
        <f>'운용리스 내부'!H8</f>
        <v>0.63</v>
      </c>
      <c r="F10" s="300">
        <f>IF(OR(C6="23MY",C6="24MY"),10,RANK(W10,$W$9:$W$12,1))</f>
        <v>3</v>
      </c>
      <c r="G10" s="329" t="s">
        <v>1369</v>
      </c>
      <c r="H10" s="329">
        <f>VLOOKUP($C$4,차종!$E$7:$P$1145,7,0)</f>
        <v>0</v>
      </c>
      <c r="I10" s="330">
        <f>IF($H$10=0,0%,INDEX($C$58:$W$63,MATCH($C$8,$B$58:$B$63,0),MATCH(H10,$C$57:$W$57,0)))</f>
        <v>0</v>
      </c>
      <c r="J10" s="330">
        <f>VLOOKUP($C$9,$I$36:$M$39,3,0)</f>
        <v>0</v>
      </c>
      <c r="K10" s="331">
        <f>IF('운용리스 입력'!$BB$12=TRUE,I10+J10-잔가!$C$14,I10+J10)</f>
        <v>0</v>
      </c>
      <c r="L10" s="330">
        <f>IF(AND($C$9=20000,$C$8=12),8%,IF(AND($C$9=20000,$C$8=24),8%,IF(AND($C$9=20000,$C$8=36),8%,IF(AND($C$9=20000,$C$8=48),8%,IF(AND($C$9=20000,$C$8=60),8%,IF(AND($C$9=15000,$C$8=12),8%,IF(AND($C$9=15000,$C$8=24),8%,IF(AND($C$9=15000,$C$8=36),8%,IF(AND($C$9=15000,$C$8=48),8%,IF(AND($C$9=15000,$C$8=60),8%,IF(AND($C$9=10000,$C$8=12),8%,IF(AND($C$9=10000,$C$8=24),8%,IF(AND($C$9=10000,$C$8=36),8%,IF(AND($C$9=10000,$C$8=48),8%,IF(AND($C$9=10000,$C$8=60),8%,0)))))))))))))))</f>
        <v>0.08</v>
      </c>
      <c r="M10" s="331">
        <f>IF(Q10="고잔가불가",0,L10)+K10-T10+R10+S10</f>
        <v>0.08</v>
      </c>
      <c r="N10" s="331">
        <f>$E$10-K10</f>
        <v>0.63</v>
      </c>
      <c r="O10" s="329" t="str">
        <f>IF(N10&gt;7.01%,"8구간",IF(N10&gt;6.01%,"7구간",IF(N10&gt;5.01%,"6구간",IF(N10&gt;4.01%,"5구간",IF(N10&gt;3.01%,"4구간",IF(N10&gt;2.01%,"3구간",IF(N10&gt;1.01%,"2구간",IF(N10&gt;=0.01%,"1구간",IF(N10&lt;0.01%,"0구간","해당없음")))))))))</f>
        <v>8구간</v>
      </c>
      <c r="P10" s="332">
        <f>VLOOKUP(O10,$C$36:$G$45,3,0)</f>
        <v>723800</v>
      </c>
      <c r="Q10" s="329">
        <f>VLOOKUP($C$4,차종!E:P,11,0)</f>
        <v>0</v>
      </c>
      <c r="R10" s="330">
        <f>IF(C9&lt;20000,VLOOKUP($C$4,차종!E:P,12,0),0)</f>
        <v>0</v>
      </c>
      <c r="S10" s="330">
        <f>IF(C9&lt;15000,VLOOKUP($C$4,차종!E:Q,13,0),0)</f>
        <v>0</v>
      </c>
      <c r="T10" s="330"/>
      <c r="U10" s="329">
        <f>IF(I10=0%,10,RANK(M10,$M$9:$M$12,0))</f>
        <v>10</v>
      </c>
      <c r="V10" s="329">
        <f>IF(I10=0%,10,RANK(P10,$P$9:$P$12,1))+IF(U10&gt;1,2,0)</f>
        <v>12</v>
      </c>
      <c r="W10" s="333">
        <f>U10+V10</f>
        <v>22</v>
      </c>
    </row>
    <row r="11" spans="2:23" x14ac:dyDescent="0.3">
      <c r="B11" s="984" t="s">
        <v>1268</v>
      </c>
      <c r="C11" s="991" t="str">
        <f>VLOOKUP(1,$F$9:$G$12,2,0)</f>
        <v>APS</v>
      </c>
      <c r="D11" s="371" t="s">
        <v>1269</v>
      </c>
      <c r="E11" s="288">
        <f>VLOOKUP(C11,$G$9:$K$12,5,0)</f>
        <v>0.54999999999999993</v>
      </c>
      <c r="F11" s="300">
        <f>IF(OR(C6="23MY",C6="24MY"),10,RANK(W11,$W$9:$W$12,1))</f>
        <v>1</v>
      </c>
      <c r="G11" s="329" t="s">
        <v>1572</v>
      </c>
      <c r="H11" s="329" t="str">
        <f>VLOOKUP($C$4,차종!$E$7:$P$1145,8,0)</f>
        <v>H</v>
      </c>
      <c r="I11" s="330">
        <f>IF($H$11=0,0%,INDEX($C$66:$W$70,MATCH($C$8,$B$66:$B$70,0),MATCH(H11,$C$65:$W$65,0)))</f>
        <v>0.54999999999999993</v>
      </c>
      <c r="J11" s="330">
        <f>VLOOKUP($C$9,$I$36:$M$39,4,0)</f>
        <v>0</v>
      </c>
      <c r="K11" s="331">
        <f>IF('운용리스 입력'!$BB$12=TRUE,I11+J11-잔가!$C$14,I11+J11)</f>
        <v>0.54999999999999993</v>
      </c>
      <c r="L11" s="330">
        <f>IF(AND($C$9=20000,$C$8=12),8%,IF(AND($C$9=20000,$C$8=24),8%,IF(AND($C$9=20000,$C$8=36),8%,IF(AND($C$9=20000,$C$8=48),8%,IF(AND($C$9=20000,$C$8=60),8%,IF(AND($C$9=15000,$C$8=12),8%,IF(AND($C$9=15000,$C$8=24),8%,IF(AND($C$9=15000,$C$8=36),8%,IF(AND($C$9=15000,$C$8=48),8%,IF(AND($C$9=15000,$C$8=60),8%,IF(AND($C$9=10000,$C$8=12),8%,IF(AND($C$9=10000,$C$8=24),8%,IF(AND($C$9=10000,$C$8=36),8%,IF(AND($C$9=10000,$C$8=48),8%,IF(AND($C$9=10000,$C$8=60),8%,0)))))))))))))))</f>
        <v>0.08</v>
      </c>
      <c r="M11" s="331">
        <f>IF(Q11="고잔가불가",0,L11)+K11-T11</f>
        <v>0.62999999999999989</v>
      </c>
      <c r="N11" s="331">
        <f>$E$10-K11</f>
        <v>8.0000000000000071E-2</v>
      </c>
      <c r="O11" s="329" t="str">
        <f>IF(N11&gt;7.01%,"8구간",IF(N11&gt;6.01%,"7구간",IF(N11&gt;5.01%,"6구간",IF(N11&gt;4.01%,"5구간",IF(N11&gt;3.01%,"4구간",IF(N11&gt;2.01%,"3구간",IF(N11&gt;1.01%,"2구간",IF(N11&gt;=0.01%,"1구간",IF(N11&lt;0.01%,"0구간","해당없음")))))))))</f>
        <v>8구간</v>
      </c>
      <c r="P11" s="332">
        <f>VLOOKUP(O11,$C$36:$G$45,4,0)</f>
        <v>855400</v>
      </c>
      <c r="Q11" s="329">
        <f>VLOOKUP($C$4,차종!E:P,11,0)</f>
        <v>0</v>
      </c>
      <c r="R11" s="329"/>
      <c r="S11" s="329"/>
      <c r="T11" s="330"/>
      <c r="U11" s="329">
        <f>IF(I11=0%,10,RANK(M11,$M$9:$M$12,0))</f>
        <v>1</v>
      </c>
      <c r="V11" s="329">
        <f>IF(I11=0%,10,RANK(P11,$P$9:$P$12,1))+IF(U11&gt;1,2,0)</f>
        <v>4</v>
      </c>
      <c r="W11" s="333">
        <f>U11+V11</f>
        <v>5</v>
      </c>
    </row>
    <row r="12" spans="2:23" ht="14.25" thickBot="1" x14ac:dyDescent="0.35">
      <c r="B12" s="985"/>
      <c r="C12" s="992"/>
      <c r="D12" s="371" t="s">
        <v>1270</v>
      </c>
      <c r="E12" s="288">
        <f>VLOOKUP(C11,$G$9:$M$12,7,0)</f>
        <v>0.62999999999999989</v>
      </c>
      <c r="F12" s="303">
        <f>IF(OR(C6="23MY",C6="24MY"),10,RANK(W12,$W$9:$W$12,1))</f>
        <v>3</v>
      </c>
      <c r="G12" s="334" t="s">
        <v>1573</v>
      </c>
      <c r="H12" s="334">
        <f>VLOOKUP($C$4,차종!$E$7:$P$1145,9,0)</f>
        <v>0</v>
      </c>
      <c r="I12" s="335">
        <f>IF($H$12=0,0%,INDEX($C$74:$W$77,MATCH($C$8,$B$74:$B$77,0),MATCH(H12,$C$73:$W$73,0)))</f>
        <v>0</v>
      </c>
      <c r="J12" s="335">
        <f>VLOOKUP($C$9,$I$36:$M$39,5,0)</f>
        <v>0</v>
      </c>
      <c r="K12" s="336">
        <f>IF('운용리스 입력'!$BB$12=TRUE,I12+J12-잔가!$C$14,I12+J12)</f>
        <v>0</v>
      </c>
      <c r="L12" s="335">
        <f>IF(AND($C$9=20000,$C$8=12),6%,IF(AND($C$9=20000,$C$8=24),6%,IF(AND($C$9=20000,$C$8=36),6%,IF(AND($C$9=20000,$C$8=48),6%,IF(AND($C$9=20000,$C$8=60),6%,IF(AND($C$9=15000,$C$8=12),6%,IF(AND($C$9=15000,$C$8=24),6%,IF(AND($C$9=15000,$C$8=36),6%,IF(AND($C$9=15000,$C$8=48),6%,IF(AND($C$9=15000,$C$8=60),6%,IF(AND($C$9=10000,$C$8=12),6%,IF(AND($C$9=10000,$C$8=24),6%,IF(AND($C$9=10000,$C$8=36),6%,IF(AND($C$9=10000,$C$8=48),6%,IF(AND($C$9=10000,$C$8=60),6%,0)))))))))))))))</f>
        <v>0.06</v>
      </c>
      <c r="M12" s="336">
        <f>IF(Q12="고잔가불가",0,L12)+K12-T12</f>
        <v>0.06</v>
      </c>
      <c r="N12" s="336">
        <f>$E$10-K12</f>
        <v>0.63</v>
      </c>
      <c r="O12" s="334" t="str">
        <f>IF(N12&gt;5.01%,"6구간",IF(N12&gt;4.01%,"5구간",IF(N12&gt;3.01%,"4구간",IF(N12&gt;2.01%,"3구간",IF(N12&gt;1.01%,"2구간",IF(N12&gt;=0.01%,"1구간",IF(N12&lt;0.01%,"0구간","해당없음")))))))</f>
        <v>6구간</v>
      </c>
      <c r="P12" s="337">
        <f>VLOOKUP(O12,$C$36:$G$45,5,0)</f>
        <v>658000</v>
      </c>
      <c r="Q12" s="334">
        <f>VLOOKUP($C$4,차종!E:P,11,0)</f>
        <v>0</v>
      </c>
      <c r="R12" s="334"/>
      <c r="S12" s="334"/>
      <c r="T12" s="335">
        <f>VLOOKUP($C$4,차종!E:P,12,0)</f>
        <v>0</v>
      </c>
      <c r="U12" s="334">
        <f>IF(I12=0%,10,RANK(M12,$M$9:$M$12,0))</f>
        <v>10</v>
      </c>
      <c r="V12" s="334">
        <f>IF(I12=0%,10,RANK(P12,$P$9:$P$12,1))+IF(U12&gt;1,2,0)</f>
        <v>12</v>
      </c>
      <c r="W12" s="338">
        <f>U12+V12</f>
        <v>22</v>
      </c>
    </row>
    <row r="13" spans="2:23" x14ac:dyDescent="0.3">
      <c r="B13" s="282" t="s">
        <v>1249</v>
      </c>
      <c r="C13" s="371" t="str">
        <f>VLOOKUP(C11,$G$9:$O$12,9,0)</f>
        <v>8구간</v>
      </c>
      <c r="D13" s="982">
        <f>VLOOKUP(C11,$G$9:$P$12,10,0)</f>
        <v>855400</v>
      </c>
      <c r="E13" s="983"/>
      <c r="F13" s="9"/>
      <c r="G13" s="8"/>
      <c r="H13" s="8"/>
      <c r="I13" s="8"/>
      <c r="J13" s="8"/>
      <c r="W13" s="283"/>
    </row>
    <row r="14" spans="2:23" ht="14.25" thickBot="1" x14ac:dyDescent="0.35">
      <c r="B14" s="284" t="s">
        <v>1374</v>
      </c>
      <c r="C14" s="285">
        <f>'운용리스 입력'!J13</f>
        <v>0</v>
      </c>
      <c r="D14" s="286"/>
      <c r="E14" s="287"/>
      <c r="F14" s="286"/>
      <c r="G14" s="286"/>
      <c r="H14" s="286"/>
      <c r="I14" s="286"/>
      <c r="J14" s="286"/>
      <c r="K14" s="286"/>
      <c r="L14" s="286"/>
      <c r="M14" s="286"/>
      <c r="N14" s="286"/>
      <c r="O14" s="286"/>
      <c r="P14" s="286"/>
      <c r="Q14" s="286"/>
      <c r="R14" s="286"/>
      <c r="S14" s="286"/>
      <c r="T14" s="286"/>
      <c r="U14" s="286"/>
      <c r="V14" s="286"/>
      <c r="W14" s="287"/>
    </row>
    <row r="16" spans="2:23" ht="14.25" thickBot="1" x14ac:dyDescent="0.35"/>
    <row r="17" spans="2:23" ht="27.75" thickBot="1" x14ac:dyDescent="0.35">
      <c r="B17" s="281" t="s">
        <v>1265</v>
      </c>
      <c r="C17" s="993">
        <f>'운용리스 내부'!M3</f>
        <v>48</v>
      </c>
      <c r="D17" s="994"/>
      <c r="E17" s="995"/>
      <c r="F17" s="320" t="s">
        <v>1288</v>
      </c>
      <c r="G17" s="321" t="s">
        <v>1289</v>
      </c>
      <c r="H17" s="322" t="s">
        <v>1290</v>
      </c>
      <c r="I17" s="322" t="s">
        <v>1291</v>
      </c>
      <c r="J17" s="322" t="s">
        <v>6</v>
      </c>
      <c r="K17" s="322" t="s">
        <v>1306</v>
      </c>
      <c r="L17" s="322" t="s">
        <v>1292</v>
      </c>
      <c r="M17" s="322" t="s">
        <v>1305</v>
      </c>
      <c r="N17" s="322" t="s">
        <v>1293</v>
      </c>
      <c r="O17" s="322" t="s">
        <v>1294</v>
      </c>
      <c r="P17" s="322" t="s">
        <v>1260</v>
      </c>
      <c r="Q17" s="322" t="s">
        <v>1298</v>
      </c>
      <c r="R17" s="322" t="s">
        <v>1298</v>
      </c>
      <c r="S17" s="322" t="s">
        <v>1298</v>
      </c>
      <c r="T17" s="322" t="s">
        <v>1295</v>
      </c>
      <c r="U17" s="322" t="s">
        <v>1287</v>
      </c>
      <c r="V17" s="322" t="s">
        <v>1296</v>
      </c>
      <c r="W17" s="323" t="s">
        <v>1297</v>
      </c>
    </row>
    <row r="18" spans="2:23" x14ac:dyDescent="0.3">
      <c r="B18" s="282" t="s">
        <v>1266</v>
      </c>
      <c r="C18" s="986">
        <f>'운용리스 내부'!M4</f>
        <v>20000</v>
      </c>
      <c r="D18" s="987"/>
      <c r="E18" s="988"/>
      <c r="F18" s="318">
        <f>IF(OR(C6="23MY",C6="24MY"),1,RANK(W18,$W$18:$W$21,1))</f>
        <v>2</v>
      </c>
      <c r="G18" s="324" t="s">
        <v>1368</v>
      </c>
      <c r="H18" s="324" t="str">
        <f>VLOOKUP($C$4,차종!$E$7:$P$1145,6,0)</f>
        <v>H</v>
      </c>
      <c r="I18" s="325">
        <f>IF($H$18=0,0%,INDEX($C$49:$W$54,MATCH($C$17,$B$49:$B$54,0),MATCH(H18,$C$48:$W$48,0)))</f>
        <v>0.3</v>
      </c>
      <c r="J18" s="325">
        <f>VLOOKUP($C$18,$I$36:$M$39,2,0)</f>
        <v>0</v>
      </c>
      <c r="K18" s="326">
        <f>IF('운용리스 입력'!$BB$19=TRUE,I18+J18-잔가!$C$23,I18+J18)</f>
        <v>0.3</v>
      </c>
      <c r="L18" s="325">
        <f>IF(AND($C$18=20000,$C$17=12),8%,IF(AND($C$18=20000,$C$17=24),8%,IF(AND($C$18=20000,$C$17=36),8%,IF(AND($C$18=20000,$C$17=48),8%,IF(AND($C$18=20000,$C$17=60),8%,IF(AND($C$18=15000,$C$17=12),8%,IF(AND($C$18=15000,$C$17=24),8%,IF(AND($C$18=15000,$C$17=36),8%,IF(AND($C$18=15000,$C$17=48),8%,IF(AND($C$18=15000,$C$17=60),8%,IF(AND($C$18=10000,$C$17=12),8%,IF(AND($C$18=10000,$C$17=24),8%,IF(AND($C$18=10000,$C$17=36),8%,IF(AND($C$18=10000,$C$17=48),8%,IF(AND($C$18=10000,$C$17=60),8%,0)))))))))))))))</f>
        <v>0.08</v>
      </c>
      <c r="M18" s="326">
        <f>IF(Q18="고잔가불가",0,L18)+K18-T18</f>
        <v>0.38</v>
      </c>
      <c r="N18" s="326">
        <f>$E$19-K18</f>
        <v>0.25000000000000006</v>
      </c>
      <c r="O18" s="324" t="str">
        <f>IF(N18&gt;7.01%,"8구간",IF(N18&gt;6.01%,"7구간",IF(N18&gt;5.01%,"6구간",IF(N18&gt;4.01%,"5구간",IF(N18&gt;3.01%,"4구간",IF(N18&gt;2.01%,"3구간",IF(N18&gt;1.01%,"2구간",IF(N18&gt;=0.01%,"1구간",IF(N18&lt;0.01%,"0구간","해당없음")))))))))</f>
        <v>8구간</v>
      </c>
      <c r="P18" s="327">
        <f>VLOOKUP(O18,$C$36:$G$45,2,0)</f>
        <v>723800</v>
      </c>
      <c r="Q18" s="324">
        <f>VLOOKUP($C$4,차종!E:P,11,0)</f>
        <v>0</v>
      </c>
      <c r="R18" s="324"/>
      <c r="S18" s="324"/>
      <c r="T18" s="325"/>
      <c r="U18" s="324">
        <f>IF(I18=0%,10,RANK(M18,$M$18:$M$21,0))</f>
        <v>2</v>
      </c>
      <c r="V18" s="324">
        <f>IF(I18=0%,10,RANK(P18,$P$18:$P$21,1))+IF(U18&gt;1,2,0)</f>
        <v>4</v>
      </c>
      <c r="W18" s="328">
        <f>U18+V18</f>
        <v>6</v>
      </c>
    </row>
    <row r="19" spans="2:23" x14ac:dyDescent="0.3">
      <c r="B19" s="282" t="s">
        <v>1267</v>
      </c>
      <c r="C19" s="989">
        <f>'운용리스 내부'!N8</f>
        <v>36190000</v>
      </c>
      <c r="D19" s="990"/>
      <c r="E19" s="288">
        <f>'운용리스 내부'!M8</f>
        <v>0.55000000000000004</v>
      </c>
      <c r="F19" s="300">
        <f>IF(OR(C6="23MY",C6="24MY"),10,RANK(W19,$W$18:$W$21,1))</f>
        <v>3</v>
      </c>
      <c r="G19" s="329" t="s">
        <v>1369</v>
      </c>
      <c r="H19" s="329">
        <f>VLOOKUP($C$4,차종!$E$7:$P$1145,7,0)</f>
        <v>0</v>
      </c>
      <c r="I19" s="330">
        <f>IF($H$19=0,0%,INDEX($C$58:$W$63,MATCH($C$17,$B$58:$B$63,0),MATCH(H19,$C$57:$W$57,0)))</f>
        <v>0</v>
      </c>
      <c r="J19" s="330">
        <f>VLOOKUP($C$18,$I$36:$M$39,3,0)</f>
        <v>0</v>
      </c>
      <c r="K19" s="331">
        <f>IF('운용리스 입력'!$BB$19=TRUE,I19+J19-잔가!$C$23,I19+J19)</f>
        <v>0</v>
      </c>
      <c r="L19" s="330">
        <f>IF(AND($C$18=20000,$C$17=12),8%,IF(AND($C$18=20000,$C$17=24),8%,IF(AND($C$18=20000,$C$17=36),8%,IF(AND($C$18=20000,$C$17=48),8%,IF(AND($C$18=20000,$C$17=60),8%,IF(AND($C$18=15000,$C$17=12),8%,IF(AND($C$18=15000,$C$17=24),8%,IF(AND($C$18=15000,$C$17=36),8%,IF(AND($C$18=15000,$C$17=48),8%,IF(AND($C$18=15000,$C$17=60),8%,IF(AND($C$18=10000,$C$17=12),8%,IF(AND($C$18=10000,$C$17=24),8%,IF(AND($C$18=10000,$C$17=36),8%,IF(AND($C$18=10000,$C$17=48),8%,IF(AND($C$18=10000,$C$17=60),8%,0)))))))))))))))</f>
        <v>0.08</v>
      </c>
      <c r="M19" s="331">
        <f>IF(Q19="고잔가불가",0,L19)+K19-T19+R19+S19</f>
        <v>0.08</v>
      </c>
      <c r="N19" s="331">
        <f>$E$19-K19</f>
        <v>0.55000000000000004</v>
      </c>
      <c r="O19" s="329" t="str">
        <f>IF(N19&gt;7.01%,"8구간",IF(N19&gt;6.01%,"7구간",IF(N19&gt;5.01%,"6구간",IF(N19&gt;4.01%,"5구간",IF(N19&gt;3.01%,"4구간",IF(N19&gt;2.01%,"3구간",IF(N19&gt;1.01%,"2구간",IF(N19&gt;=0.01%,"1구간",IF(N19&lt;0.01%,"0구간","해당없음")))))))))</f>
        <v>8구간</v>
      </c>
      <c r="P19" s="332">
        <f>VLOOKUP(O19,$C$36:$G$45,3,0)</f>
        <v>723800</v>
      </c>
      <c r="Q19" s="329">
        <f>VLOOKUP($C$4,차종!E:P,11,0)</f>
        <v>0</v>
      </c>
      <c r="R19" s="330">
        <f>IF(C18&lt;20000,VLOOKUP($C$4,차종!E:P,12,0),0)</f>
        <v>0</v>
      </c>
      <c r="S19" s="330">
        <f>IF(C18&lt;15000,VLOOKUP($C$4,차종!E:Q,13,0),0)</f>
        <v>0</v>
      </c>
      <c r="T19" s="330"/>
      <c r="U19" s="329">
        <f>IF(I19=0%,10,RANK(M19,$M$18:$M$21,0))</f>
        <v>10</v>
      </c>
      <c r="V19" s="329">
        <f>IF(I19=0%,10,RANK(P19,$P$18:$P$21,1))+IF(U19&gt;1,2,0)</f>
        <v>12</v>
      </c>
      <c r="W19" s="333">
        <f>U19+V19</f>
        <v>22</v>
      </c>
    </row>
    <row r="20" spans="2:23" x14ac:dyDescent="0.3">
      <c r="B20" s="984" t="s">
        <v>1268</v>
      </c>
      <c r="C20" s="991" t="str">
        <f>VLOOKUP(1,$F$18:$G$21,2,0)</f>
        <v>APS</v>
      </c>
      <c r="D20" s="371" t="s">
        <v>1269</v>
      </c>
      <c r="E20" s="288">
        <f>VLOOKUP(C20,$G$18:$K$21,5,0)</f>
        <v>0.47000000000000003</v>
      </c>
      <c r="F20" s="300">
        <f>IF(OR(C6="23MY",C6="24MY"),10,RANK(W20,$W$18:$W$21,1))</f>
        <v>1</v>
      </c>
      <c r="G20" s="329" t="s">
        <v>1572</v>
      </c>
      <c r="H20" s="329" t="str">
        <f>VLOOKUP($C$4,차종!$E$7:$P$1145,8,0)</f>
        <v>H</v>
      </c>
      <c r="I20" s="330">
        <f>IF($H$20=0,0%,INDEX($C$66:$W$70,MATCH($C$17,$B$66:$B$70,0),MATCH(H20,$C$65:$W$65,0)))</f>
        <v>0.47000000000000003</v>
      </c>
      <c r="J20" s="330">
        <f>VLOOKUP($C$18,$I$36:$M$39,4,0)</f>
        <v>0</v>
      </c>
      <c r="K20" s="331">
        <f>IF('운용리스 입력'!$BB$19=TRUE,I20+J20-잔가!$C$23,I20+J20)</f>
        <v>0.47000000000000003</v>
      </c>
      <c r="L20" s="330">
        <f>IF(AND($C$18=20000,$C$17=12),8%,IF(AND($C$18=20000,$C$17=24),8%,IF(AND($C$18=20000,$C$17=36),8%,IF(AND($C$18=20000,$C$17=48),8%,IF(AND($C$18=20000,$C$17=60),8%,IF(AND($C$18=15000,$C$17=12),8%,IF(AND($C$18=15000,$C$17=24),8%,IF(AND($C$18=15000,$C$17=36),8%,IF(AND($C$18=15000,$C$17=48),8%,IF(AND($C$18=15000,$C$17=60),8%,IF(AND($C$18=10000,$C$17=12),8%,IF(AND($C$18=10000,$C$17=24),8%,IF(AND($C$18=10000,$C$17=36),8%,IF(AND($C$18=10000,$C$17=48),8%,IF(AND($C$18=10000,$C$17=60),8%,0)))))))))))))))</f>
        <v>0.08</v>
      </c>
      <c r="M20" s="331">
        <f>IF(Q20="고잔가불가",0,L20)+K20-T20</f>
        <v>0.55000000000000004</v>
      </c>
      <c r="N20" s="331">
        <f>$E$19-K20</f>
        <v>8.0000000000000016E-2</v>
      </c>
      <c r="O20" s="329" t="str">
        <f>IF(N20&gt;7.01%,"8구간",IF(N20&gt;6.01%,"7구간",IF(N20&gt;5.01%,"6구간",IF(N20&gt;4.01%,"5구간",IF(N20&gt;3.01%,"4구간",IF(N20&gt;2.01%,"3구간",IF(N20&gt;1.01%,"2구간",IF(N20&gt;=0.01%,"1구간",IF(N20&lt;0.01%,"0구간","해당없음")))))))))</f>
        <v>8구간</v>
      </c>
      <c r="P20" s="332">
        <f>VLOOKUP(O20,$C$36:$G$45,4,0)</f>
        <v>855400</v>
      </c>
      <c r="Q20" s="329">
        <f>VLOOKUP($C$4,차종!E:P,11,0)</f>
        <v>0</v>
      </c>
      <c r="R20" s="329"/>
      <c r="S20" s="329"/>
      <c r="T20" s="330"/>
      <c r="U20" s="329">
        <f>IF(I20=0%,10,RANK(M20,$M$18:$M$21,0))</f>
        <v>1</v>
      </c>
      <c r="V20" s="329">
        <f>IF(I20=0%,10,RANK(P20,$P$18:$P$21,1))+IF(U20&gt;1,2,0)</f>
        <v>4</v>
      </c>
      <c r="W20" s="333">
        <f>U20+V20</f>
        <v>5</v>
      </c>
    </row>
    <row r="21" spans="2:23" ht="14.25" thickBot="1" x14ac:dyDescent="0.35">
      <c r="B21" s="985"/>
      <c r="C21" s="992"/>
      <c r="D21" s="371" t="s">
        <v>1270</v>
      </c>
      <c r="E21" s="288">
        <f>VLOOKUP(C20,$G$18:$M$21,7,0)</f>
        <v>0.55000000000000004</v>
      </c>
      <c r="F21" s="303">
        <f>IF(OR(C6="23MY",C6="24MY"),10,RANK(W21,$W$18:$W$21,1))</f>
        <v>3</v>
      </c>
      <c r="G21" s="334" t="s">
        <v>1573</v>
      </c>
      <c r="H21" s="334">
        <f>VLOOKUP($C$4,차종!$E$7:$P$1145,9,0)</f>
        <v>0</v>
      </c>
      <c r="I21" s="335">
        <f>IF($H$21=0,0%,INDEX($C$74:$W$77,MATCH($C$17,$B$74:$B$77,0),MATCH(H21,$C$73:$W$73,0)))</f>
        <v>0</v>
      </c>
      <c r="J21" s="335">
        <f>VLOOKUP($C$18,$I$36:$M$39,5,0)</f>
        <v>0</v>
      </c>
      <c r="K21" s="336">
        <f>IF('운용리스 입력'!$BB$19=TRUE,I21+J21-잔가!$C$23,I21+J21)</f>
        <v>0</v>
      </c>
      <c r="L21" s="335">
        <f>IF(AND($C$18=20000,$C$17=12),6%,IF(AND($C$18=20000,$C$17=24),6%,IF(AND($C$18=20000,$C$17=36),6%,IF(AND($C$18=20000,$C$17=48),6%,IF(AND($C$18=20000,$C$17=60),6%,IF(AND($C$18=15000,$C$17=12),6%,IF(AND($C$18=15000,$C$17=24),6%,IF(AND($C$18=15000,$C$17=36),6%,IF(AND($C$18=15000,$C$17=48),6%,IF(AND($C$18=15000,$C$17=60),6%,IF(AND($C$18=10000,$C$17=12),6%,IF(AND($C$18=10000,$C$17=24),6%,IF(AND($C$18=10000,$C$17=36),6%,IF(AND($C$18=10000,$C$17=48),6%,IF(AND($C$18=10000,$C$17=60),6%,0)))))))))))))))</f>
        <v>0.06</v>
      </c>
      <c r="M21" s="336">
        <f>IF(Q21="고잔가불가",0,L21)+K21-T21</f>
        <v>0.06</v>
      </c>
      <c r="N21" s="336">
        <f>$E$19-K21</f>
        <v>0.55000000000000004</v>
      </c>
      <c r="O21" s="334" t="str">
        <f>IF(N21&gt;5.01%,"6구간",IF(N21&gt;4.01%,"5구간",IF(N21&gt;3.01%,"4구간",IF(N21&gt;2.01%,"3구간",IF(N21&gt;1.01%,"2구간",IF(N21&gt;=0.01%,"1구간",IF(N21&lt;0.01%,"0구간","해당없음")))))))</f>
        <v>6구간</v>
      </c>
      <c r="P21" s="337">
        <f>VLOOKUP(O21,$C$36:$G$45,5,0)</f>
        <v>658000</v>
      </c>
      <c r="Q21" s="334">
        <f>VLOOKUP($C$4,차종!E:P,11,0)</f>
        <v>0</v>
      </c>
      <c r="R21" s="334"/>
      <c r="S21" s="334"/>
      <c r="T21" s="335">
        <f>VLOOKUP($C$4,차종!E:P,12,0)</f>
        <v>0</v>
      </c>
      <c r="U21" s="334">
        <f>IF(I21=0%,10,RANK(M21,$M$18:$M$21,0))</f>
        <v>10</v>
      </c>
      <c r="V21" s="334">
        <f>IF(I21=0%,10,RANK(P21,$P$18:$P$21,1))+IF(U21&gt;1,2,0)</f>
        <v>12</v>
      </c>
      <c r="W21" s="338">
        <f>U21+V21</f>
        <v>22</v>
      </c>
    </row>
    <row r="22" spans="2:23" x14ac:dyDescent="0.3">
      <c r="B22" s="282" t="s">
        <v>1249</v>
      </c>
      <c r="C22" s="371" t="str">
        <f>VLOOKUP(C20,$G$18:$O$21,9,0)</f>
        <v>8구간</v>
      </c>
      <c r="D22" s="982">
        <f>VLOOKUP(C20,$G$18:$P$21,10,0)</f>
        <v>855400</v>
      </c>
      <c r="E22" s="983"/>
      <c r="F22" s="9"/>
      <c r="G22" s="25"/>
      <c r="H22" s="25"/>
      <c r="I22" s="25"/>
      <c r="J22" s="25"/>
      <c r="W22" s="283"/>
    </row>
    <row r="23" spans="2:23" ht="14.25" thickBot="1" x14ac:dyDescent="0.35">
      <c r="B23" s="284" t="s">
        <v>1374</v>
      </c>
      <c r="C23" s="285">
        <f>'운용리스 입력'!Q13</f>
        <v>0</v>
      </c>
      <c r="D23" s="286"/>
      <c r="E23" s="287"/>
      <c r="F23" s="286"/>
      <c r="G23" s="286"/>
      <c r="H23" s="286"/>
      <c r="I23" s="286"/>
      <c r="J23" s="286"/>
      <c r="K23" s="286"/>
      <c r="L23" s="286"/>
      <c r="M23" s="286"/>
      <c r="N23" s="286"/>
      <c r="O23" s="286"/>
      <c r="P23" s="286"/>
      <c r="Q23" s="286"/>
      <c r="R23" s="286"/>
      <c r="S23" s="286"/>
      <c r="T23" s="286"/>
      <c r="U23" s="286"/>
      <c r="V23" s="286"/>
      <c r="W23" s="287"/>
    </row>
    <row r="24" spans="2:23" x14ac:dyDescent="0.3">
      <c r="B24" s="4"/>
    </row>
    <row r="25" spans="2:23" ht="14.25" thickBot="1" x14ac:dyDescent="0.35"/>
    <row r="26" spans="2:23" ht="27.75" thickBot="1" x14ac:dyDescent="0.35">
      <c r="B26" s="281" t="s">
        <v>1265</v>
      </c>
      <c r="C26" s="993">
        <f>'운용리스 내부'!R3</f>
        <v>60</v>
      </c>
      <c r="D26" s="994"/>
      <c r="E26" s="995"/>
      <c r="F26" s="320" t="s">
        <v>1288</v>
      </c>
      <c r="G26" s="321" t="s">
        <v>1289</v>
      </c>
      <c r="H26" s="322" t="s">
        <v>1290</v>
      </c>
      <c r="I26" s="322" t="s">
        <v>1291</v>
      </c>
      <c r="J26" s="322" t="s">
        <v>6</v>
      </c>
      <c r="K26" s="322" t="s">
        <v>1306</v>
      </c>
      <c r="L26" s="322" t="s">
        <v>1292</v>
      </c>
      <c r="M26" s="322" t="s">
        <v>1305</v>
      </c>
      <c r="N26" s="322" t="s">
        <v>1293</v>
      </c>
      <c r="O26" s="322" t="s">
        <v>1294</v>
      </c>
      <c r="P26" s="322" t="s">
        <v>1260</v>
      </c>
      <c r="Q26" s="322" t="s">
        <v>1298</v>
      </c>
      <c r="R26" s="322" t="s">
        <v>1298</v>
      </c>
      <c r="S26" s="322" t="s">
        <v>1298</v>
      </c>
      <c r="T26" s="322" t="s">
        <v>1295</v>
      </c>
      <c r="U26" s="322" t="s">
        <v>1287</v>
      </c>
      <c r="V26" s="322" t="s">
        <v>1296</v>
      </c>
      <c r="W26" s="323" t="s">
        <v>1297</v>
      </c>
    </row>
    <row r="27" spans="2:23" x14ac:dyDescent="0.3">
      <c r="B27" s="282" t="s">
        <v>1266</v>
      </c>
      <c r="C27" s="986">
        <f>'운용리스 내부'!R4</f>
        <v>20000</v>
      </c>
      <c r="D27" s="987"/>
      <c r="E27" s="988"/>
      <c r="F27" s="318">
        <f>IF(OR(C6="23MY",C6="24MY"),1,RANK(W27,$W$27:$W$30,1))</f>
        <v>2</v>
      </c>
      <c r="G27" s="324" t="s">
        <v>1368</v>
      </c>
      <c r="H27" s="324" t="str">
        <f>VLOOKUP($C$4,차종!$E$7:$P$1145,6,0)</f>
        <v>H</v>
      </c>
      <c r="I27" s="325">
        <f>IF($H$27=0,0%,INDEX($C$49:$W$54,MATCH($C$26,$B$49:$B$54,0),MATCH(H27,$C$48:$W$48,0)))</f>
        <v>0.24</v>
      </c>
      <c r="J27" s="325">
        <f>VLOOKUP($C$27,$I$36:$M$39,2,0)</f>
        <v>0</v>
      </c>
      <c r="K27" s="326">
        <f>IF('운용리스 입력'!$BB$26=TRUE,I27+J27-잔가!$C$32,I27+J27)</f>
        <v>0.24</v>
      </c>
      <c r="L27" s="325">
        <f>IF(AND($C$27=20000,$C$26=12),8%,IF(AND($C$27=20000,$C$26=24),8%,IF(AND($C$27=20000,$C$26=36),8%,IF(AND($C$27=20000,$C$26=48),8%,IF(AND($C$27=20000,$C$26=60),8%,IF(AND($C$27=15000,$C$26=12),8%,IF(AND($C$27=15000,$C$26=24),8%,IF(AND($C$27=15000,$C$26=36),8%,IF(AND($C$27=15000,$C$26=48),8%,IF(AND($C$27=15000,$C$26=60),8%,IF(AND($C$27=10000,$C$26=12),8%,IF(AND($C$27=10000,$C$26=24),8%,IF(AND($C$27=10000,$C$26=36),8%,IF(AND($C$27=10000,$C$26=48),8%,IF(AND($C$27=10000,$C$26=60),8%,0)))))))))))))))</f>
        <v>0.08</v>
      </c>
      <c r="M27" s="326">
        <f>IF(Q27="고잔가불가",0,L27)+K27-T27</f>
        <v>0.32</v>
      </c>
      <c r="N27" s="326">
        <f>$E$28-K27</f>
        <v>0.25</v>
      </c>
      <c r="O27" s="324" t="str">
        <f>IF(N27&gt;7.01%,"8구간",IF(N27&gt;6.01%,"7구간",IF(N27&gt;5.01%,"6구간",IF(N27&gt;4.01%,"5구간",IF(N27&gt;3.01%,"4구간",IF(N27&gt;2.01%,"3구간",IF(N27&gt;1.01%,"2구간",IF(N27&gt;=0.01%,"1구간",IF(N27&lt;0.01%,"0구간","해당없음")))))))))</f>
        <v>8구간</v>
      </c>
      <c r="P27" s="327">
        <f>VLOOKUP(O27,$C$36:$G$45,2,0)</f>
        <v>723800</v>
      </c>
      <c r="Q27" s="324">
        <f>VLOOKUP($C$4,차종!E:P,11,0)</f>
        <v>0</v>
      </c>
      <c r="R27" s="324"/>
      <c r="S27" s="324"/>
      <c r="T27" s="325"/>
      <c r="U27" s="324">
        <f>IF(I27=0%,10,RANK(M27,$M$27:$M$30,0))</f>
        <v>2</v>
      </c>
      <c r="V27" s="324">
        <f>IF(I27=0%,10,RANK(P27,$P$27:$P$30,1))+IF(U27&gt;1,2,0)</f>
        <v>4</v>
      </c>
      <c r="W27" s="328">
        <f>U27+V27</f>
        <v>6</v>
      </c>
    </row>
    <row r="28" spans="2:23" x14ac:dyDescent="0.3">
      <c r="B28" s="282" t="s">
        <v>1267</v>
      </c>
      <c r="C28" s="989">
        <f>'운용리스 내부'!S8</f>
        <v>32242000</v>
      </c>
      <c r="D28" s="990"/>
      <c r="E28" s="288">
        <f>'운용리스 내부'!R8</f>
        <v>0.49</v>
      </c>
      <c r="F28" s="300">
        <f>IF(OR(C6="23MY",C6="24MY"),10,RANK(W28,$W$27:$W$30,1))</f>
        <v>3</v>
      </c>
      <c r="G28" s="329" t="s">
        <v>1369</v>
      </c>
      <c r="H28" s="329">
        <f>VLOOKUP($C$4,차종!$E$7:$P$1145,7,0)</f>
        <v>0</v>
      </c>
      <c r="I28" s="330">
        <f>IF($H$28=0,0%,INDEX($C$58:$W$63,MATCH($C$26,$B$58:$B$63,0),MATCH(H28,$C$57:$W$57,0)))</f>
        <v>0</v>
      </c>
      <c r="J28" s="330">
        <f>VLOOKUP($C$27,$I$36:$M$39,3,0)</f>
        <v>0</v>
      </c>
      <c r="K28" s="331">
        <f>IF('운용리스 입력'!$BB$26=TRUE,I28+J28-잔가!$C$32,I28+J28)</f>
        <v>0</v>
      </c>
      <c r="L28" s="330">
        <f>IF(AND($C$27=20000,$C$26=12),8%,IF(AND($C$27=20000,$C$26=24),8%,IF(AND($C$27=20000,$C$26=36),8%,IF(AND($C$27=20000,$C$26=48),8%,IF(AND($C$27=20000,$C$26=60),8%,IF(AND($C$27=15000,$C$26=12),8%,IF(AND($C$27=15000,$C$26=24),8%,IF(AND($C$27=15000,$C$26=36),8%,IF(AND($C$27=15000,$C$26=48),8%,IF(AND($C$27=15000,$C$26=60),8%,IF(AND($C$27=10000,$C$26=12),8%,IF(AND($C$27=10000,$C$26=24),8%,IF(AND($C$27=10000,$C$26=36),8%,IF(AND($C$27=10000,$C$26=48),8%,IF(AND($C$27=10000,$C$26=60),8%,0)))))))))))))))</f>
        <v>0.08</v>
      </c>
      <c r="M28" s="331">
        <f>IF(Q28="고잔가불가",0,L28)+K28-T28+R28+S28</f>
        <v>0.08</v>
      </c>
      <c r="N28" s="331">
        <f>$E$28-K28</f>
        <v>0.49</v>
      </c>
      <c r="O28" s="329" t="str">
        <f>IF(N28&gt;7.01%,"8구간",IF(N28&gt;6.01%,"7구간",IF(N28&gt;5.01%,"6구간",IF(N28&gt;4.01%,"5구간",IF(N28&gt;3.01%,"4구간",IF(N28&gt;2.01%,"3구간",IF(N28&gt;1.01%,"2구간",IF(N28&gt;=0.01%,"1구간",IF(N28&lt;0.01%,"0구간","해당없음")))))))))</f>
        <v>8구간</v>
      </c>
      <c r="P28" s="332">
        <f>VLOOKUP(O28,$C$36:$G$45,3,0)</f>
        <v>723800</v>
      </c>
      <c r="Q28" s="329">
        <f>VLOOKUP($C$4,차종!E:P,11,0)</f>
        <v>0</v>
      </c>
      <c r="R28" s="330">
        <f>IF(C27&lt;20000,VLOOKUP($C$4,차종!E:P,12,0),0)</f>
        <v>0</v>
      </c>
      <c r="S28" s="330">
        <f>IF(C27&lt;20000,VLOOKUP($C$4,차종!E:P,12,0),0)</f>
        <v>0</v>
      </c>
      <c r="T28" s="330"/>
      <c r="U28" s="329">
        <f>IF(I28=0%,10,RANK(M28,$M$27:$M$30,0))</f>
        <v>10</v>
      </c>
      <c r="V28" s="329">
        <f>IF(I28=0%,10,RANK(P28,$P$27:$P$30,1))+IF(U28&gt;1,2,0)</f>
        <v>12</v>
      </c>
      <c r="W28" s="333">
        <f>U28+V28</f>
        <v>22</v>
      </c>
    </row>
    <row r="29" spans="2:23" x14ac:dyDescent="0.3">
      <c r="B29" s="984" t="s">
        <v>1268</v>
      </c>
      <c r="C29" s="991" t="str">
        <f>VLOOKUP(1,$F$27:$G$30,2,0)</f>
        <v>APS</v>
      </c>
      <c r="D29" s="371" t="s">
        <v>1269</v>
      </c>
      <c r="E29" s="288">
        <f>VLOOKUP(C29,$G$27:$K$30,5,0)</f>
        <v>0.41000000000000003</v>
      </c>
      <c r="F29" s="300">
        <f>IF(OR(C6="23MY",C6="24MY"),10,RANK(W29,$W$27:$W$30,1))</f>
        <v>1</v>
      </c>
      <c r="G29" s="329" t="s">
        <v>1572</v>
      </c>
      <c r="H29" s="329" t="str">
        <f>VLOOKUP($C$4,차종!$E$7:$P$1145,8,0)</f>
        <v>H</v>
      </c>
      <c r="I29" s="330">
        <f>IF($H$29=0,0%,INDEX($C$66:$W$70,MATCH($C$26,$B$66:$B$70,0),MATCH(H29,$C$65:$W$65,0)))</f>
        <v>0.41000000000000003</v>
      </c>
      <c r="J29" s="330">
        <f>VLOOKUP($C$27,$I$36:$M$39,4,0)</f>
        <v>0</v>
      </c>
      <c r="K29" s="331">
        <f>IF('운용리스 입력'!$BB$26=TRUE,I29+J29-잔가!$C$32,I29+J29)</f>
        <v>0.41000000000000003</v>
      </c>
      <c r="L29" s="330">
        <f>IF(AND($C$27=20000,$C$26=12),8%,IF(AND($C$27=20000,$C$26=24),8%,IF(AND($C$27=20000,$C$26=36),8%,IF(AND($C$27=20000,$C$26=48),8%,IF(AND($C$27=20000,$C$26=60),8%,IF(AND($C$27=15000,$C$26=12),8%,IF(AND($C$27=15000,$C$26=24),8%,IF(AND($C$27=15000,$C$26=36),8%,IF(AND($C$27=15000,$C$26=48),8%,IF(AND($C$27=15000,$C$26=60),8%,IF(AND($C$27=10000,$C$26=12),8%,IF(AND($C$27=10000,$C$26=24),8%,IF(AND($C$27=10000,$C$26=36),8%,IF(AND($C$27=10000,$C$26=48),8%,IF(AND($C$27=10000,$C$26=60),8%,0)))))))))))))))</f>
        <v>0.08</v>
      </c>
      <c r="M29" s="331">
        <f>IF(Q29="고잔가불가",0,L29)+K29-T29</f>
        <v>0.49000000000000005</v>
      </c>
      <c r="N29" s="331">
        <f>$E$28-K29</f>
        <v>7.999999999999996E-2</v>
      </c>
      <c r="O29" s="329" t="str">
        <f>IF(N29&gt;7.01%,"8구간",IF(N29&gt;6.01%,"7구간",IF(N29&gt;5.01%,"6구간",IF(N29&gt;4.01%,"5구간",IF(N29&gt;3.01%,"4구간",IF(N29&gt;2.01%,"3구간",IF(N29&gt;1.01%,"2구간",IF(N29&gt;=0.01%,"1구간",IF(N29&lt;0.01%,"0구간","해당없음")))))))))</f>
        <v>8구간</v>
      </c>
      <c r="P29" s="332">
        <f>VLOOKUP(O29,$C$36:$G$45,4,0)</f>
        <v>855400</v>
      </c>
      <c r="Q29" s="329">
        <f>VLOOKUP($C$4,차종!E:P,11,0)</f>
        <v>0</v>
      </c>
      <c r="R29" s="329"/>
      <c r="S29" s="329"/>
      <c r="T29" s="330"/>
      <c r="U29" s="329">
        <f>IF(I29=0%,10,RANK(M29,$M$27:$M$30,0))</f>
        <v>1</v>
      </c>
      <c r="V29" s="329">
        <f>IF(I29=0%,10,RANK(P29,$P$27:$P$30,1))+IF(U29&gt;1,2,0)</f>
        <v>4</v>
      </c>
      <c r="W29" s="333">
        <f>U29+V29</f>
        <v>5</v>
      </c>
    </row>
    <row r="30" spans="2:23" ht="14.25" thickBot="1" x14ac:dyDescent="0.35">
      <c r="B30" s="985"/>
      <c r="C30" s="992"/>
      <c r="D30" s="371" t="s">
        <v>1270</v>
      </c>
      <c r="E30" s="288">
        <f>VLOOKUP(C29,$G$27:$M$30,7,0)</f>
        <v>0.49000000000000005</v>
      </c>
      <c r="F30" s="303">
        <f>IF(OR(C6="23MY",C6="24MY"),10,RANK(W30,$W$27:$W$30,1))</f>
        <v>3</v>
      </c>
      <c r="G30" s="334" t="s">
        <v>1573</v>
      </c>
      <c r="H30" s="334">
        <f>VLOOKUP($C$4,차종!$E$7:$P$1145,9,0)</f>
        <v>0</v>
      </c>
      <c r="I30" s="335">
        <f>IF($H$30=0,0%,INDEX($C$74:$W$77,MATCH($C$26,$B$74:$B$77,0),MATCH(H30,$C$73:$W$73,0)))</f>
        <v>0</v>
      </c>
      <c r="J30" s="335">
        <f>VLOOKUP($C$27,$I$36:$M$39,5,0)</f>
        <v>0</v>
      </c>
      <c r="K30" s="336">
        <f>IF('운용리스 입력'!$BB$26=TRUE,I30+J30-잔가!$C$32,I30+J30)</f>
        <v>0</v>
      </c>
      <c r="L30" s="335">
        <f>IF(AND($C$27=20000,$C$26=12),6%,IF(AND($C$27=20000,$C$26=24),6%,IF(AND($C$27=20000,$C$26=36),6%,IF(AND($C$27=20000,$C$26=48),6%,IF(AND($C$27=20000,$C$26=60),6%,IF(AND($C$27=15000,$C$26=12),6%,IF(AND($C$27=15000,$C$26=24),6%,IF(AND($C$27=15000,$C$26=36),6%,IF(AND($C$27=15000,$C$26=48),6%,IF(AND($C$27=15000,$C$26=60),6%,IF(AND($C$27=10000,$C$26=12),6%,IF(AND($C$27=10000,$C$26=24),6%,IF(AND($C$27=10000,$C$26=36),6%,IF(AND($C$27=10000,$C$26=48),6%,IF(AND($C$27=10000,$C$26=60),6%,0)))))))))))))))</f>
        <v>0.06</v>
      </c>
      <c r="M30" s="336">
        <f>IF(Q30="고잔가불가",0,L30)+K30-T30</f>
        <v>0.06</v>
      </c>
      <c r="N30" s="336">
        <f>$E$28-K30</f>
        <v>0.49</v>
      </c>
      <c r="O30" s="334" t="str">
        <f>IF(N30&gt;5.01%,"6구간",IF(N30&gt;4.01%,"5구간",IF(N30&gt;3.01%,"4구간",IF(N30&gt;2.01%,"3구간",IF(N30&gt;1.01%,"2구간",IF(N30&gt;=0.01%,"1구간",IF(N30&lt;0.01%,"0구간","해당없음")))))))</f>
        <v>6구간</v>
      </c>
      <c r="P30" s="337">
        <f>VLOOKUP(O30,$C$36:$G$45,5,0)</f>
        <v>658000</v>
      </c>
      <c r="Q30" s="334">
        <f>VLOOKUP($C$4,차종!E:P,11,0)</f>
        <v>0</v>
      </c>
      <c r="R30" s="334"/>
      <c r="S30" s="334"/>
      <c r="T30" s="335">
        <f>VLOOKUP($C$4,차종!E:P,12,0)</f>
        <v>0</v>
      </c>
      <c r="U30" s="334">
        <f>IF(I30=0%,10,RANK(M30,$M$27:$M$30,0))</f>
        <v>10</v>
      </c>
      <c r="V30" s="334">
        <f>IF(I30=0%,10,RANK(P30,$P$27:$P$30,1))+IF(U30&gt;1,2,0)</f>
        <v>12</v>
      </c>
      <c r="W30" s="338">
        <f>U30+V30</f>
        <v>22</v>
      </c>
    </row>
    <row r="31" spans="2:23" x14ac:dyDescent="0.3">
      <c r="B31" s="282" t="s">
        <v>1249</v>
      </c>
      <c r="C31" s="371" t="str">
        <f>VLOOKUP(C29,$G$27:$O$30,9,0)</f>
        <v>8구간</v>
      </c>
      <c r="D31" s="982">
        <f>VLOOKUP(C29,$G$27:$P$30,10,0)</f>
        <v>855400</v>
      </c>
      <c r="E31" s="983"/>
      <c r="W31" s="283"/>
    </row>
    <row r="32" spans="2:23" ht="14.25" thickBot="1" x14ac:dyDescent="0.35">
      <c r="B32" s="284" t="s">
        <v>1374</v>
      </c>
      <c r="C32" s="285">
        <f>'운용리스 입력'!X13</f>
        <v>0</v>
      </c>
      <c r="D32" s="286"/>
      <c r="E32" s="287"/>
      <c r="F32" s="286"/>
      <c r="G32" s="286"/>
      <c r="H32" s="286"/>
      <c r="I32" s="286"/>
      <c r="J32" s="286"/>
      <c r="K32" s="286"/>
      <c r="L32" s="286"/>
      <c r="M32" s="286"/>
      <c r="N32" s="286"/>
      <c r="O32" s="286"/>
      <c r="P32" s="286"/>
      <c r="Q32" s="286"/>
      <c r="R32" s="286"/>
      <c r="S32" s="286"/>
      <c r="T32" s="286"/>
      <c r="U32" s="286"/>
      <c r="V32" s="286"/>
      <c r="W32" s="287"/>
    </row>
    <row r="34" spans="2:14" ht="14.25" thickBot="1" x14ac:dyDescent="0.35"/>
    <row r="35" spans="2:14" ht="14.25" thickBot="1" x14ac:dyDescent="0.35">
      <c r="B35" s="291" t="s">
        <v>1248</v>
      </c>
      <c r="C35" s="297" t="s">
        <v>9</v>
      </c>
      <c r="D35" s="298" t="s">
        <v>1244</v>
      </c>
      <c r="E35" s="298" t="s">
        <v>1245</v>
      </c>
      <c r="F35" s="298" t="s">
        <v>1246</v>
      </c>
      <c r="G35" s="299" t="s">
        <v>1247</v>
      </c>
      <c r="I35" s="291" t="s">
        <v>1259</v>
      </c>
      <c r="J35" s="297" t="s">
        <v>1244</v>
      </c>
      <c r="K35" s="298" t="s">
        <v>1245</v>
      </c>
      <c r="L35" s="298" t="s">
        <v>1246</v>
      </c>
      <c r="M35" s="299" t="s">
        <v>1247</v>
      </c>
    </row>
    <row r="36" spans="2:14" x14ac:dyDescent="0.3">
      <c r="B36" s="294">
        <v>0</v>
      </c>
      <c r="C36" s="300" t="s">
        <v>1250</v>
      </c>
      <c r="D36" s="301">
        <v>0</v>
      </c>
      <c r="E36" s="301">
        <v>0</v>
      </c>
      <c r="F36" s="301">
        <v>0</v>
      </c>
      <c r="G36" s="302">
        <v>0</v>
      </c>
      <c r="I36" s="292">
        <v>10000</v>
      </c>
      <c r="J36" s="312">
        <v>0</v>
      </c>
      <c r="K36" s="313">
        <v>0</v>
      </c>
      <c r="L36" s="313">
        <v>0</v>
      </c>
      <c r="M36" s="314">
        <v>0</v>
      </c>
      <c r="N36" s="5"/>
    </row>
    <row r="37" spans="2:14" x14ac:dyDescent="0.3">
      <c r="B37" s="294">
        <v>0</v>
      </c>
      <c r="C37" s="300" t="s">
        <v>1304</v>
      </c>
      <c r="D37" s="301">
        <v>0</v>
      </c>
      <c r="E37" s="301">
        <v>0</v>
      </c>
      <c r="F37" s="301">
        <v>0</v>
      </c>
      <c r="G37" s="302">
        <v>0</v>
      </c>
      <c r="I37" s="292">
        <v>15000</v>
      </c>
      <c r="J37" s="312">
        <v>0</v>
      </c>
      <c r="K37" s="313">
        <v>0</v>
      </c>
      <c r="L37" s="313">
        <v>0</v>
      </c>
      <c r="M37" s="314">
        <v>0</v>
      </c>
      <c r="N37" s="25"/>
    </row>
    <row r="38" spans="2:14" x14ac:dyDescent="0.3">
      <c r="B38" s="294">
        <v>0.01</v>
      </c>
      <c r="C38" s="300" t="s">
        <v>1251</v>
      </c>
      <c r="D38" s="301">
        <f>ROUNDDOWN(($C$5*0.15%),-2)</f>
        <v>98700</v>
      </c>
      <c r="E38" s="301">
        <v>0</v>
      </c>
      <c r="F38" s="301">
        <f>ROUNDDOWN(($C$5*0.1%),-2)</f>
        <v>65800</v>
      </c>
      <c r="G38" s="302">
        <f>IF($C$5*0.1%&gt;1500000,1500000,ROUNDDOWN(($C$5*0.1%),-2))</f>
        <v>65800</v>
      </c>
      <c r="I38" s="292">
        <v>20000</v>
      </c>
      <c r="J38" s="312">
        <v>0</v>
      </c>
      <c r="K38" s="313">
        <v>0</v>
      </c>
      <c r="L38" s="313">
        <v>0</v>
      </c>
      <c r="M38" s="314">
        <v>0</v>
      </c>
    </row>
    <row r="39" spans="2:14" ht="14.25" thickBot="1" x14ac:dyDescent="0.35">
      <c r="B39" s="294">
        <v>0.02</v>
      </c>
      <c r="C39" s="300" t="s">
        <v>1252</v>
      </c>
      <c r="D39" s="301">
        <f>ROUNDDOWN(($C$5*0.3%),-2)</f>
        <v>197400</v>
      </c>
      <c r="E39" s="301">
        <v>0</v>
      </c>
      <c r="F39" s="301">
        <f>ROUNDDOWN(($C$5*0.3%),-2)</f>
        <v>197400</v>
      </c>
      <c r="G39" s="302">
        <f>IF($C$5*0.3%&gt;1500000,1500000,ROUNDDOWN(($C$5*0.3%),-2))</f>
        <v>197400</v>
      </c>
      <c r="I39" s="293">
        <v>30000</v>
      </c>
      <c r="J39" s="315">
        <v>-0.04</v>
      </c>
      <c r="K39" s="316">
        <v>-0.04</v>
      </c>
      <c r="L39" s="316">
        <v>-0.04</v>
      </c>
      <c r="M39" s="317">
        <v>-0.04</v>
      </c>
    </row>
    <row r="40" spans="2:14" ht="14.25" thickBot="1" x14ac:dyDescent="0.35">
      <c r="B40" s="294">
        <v>0.03</v>
      </c>
      <c r="C40" s="300" t="s">
        <v>1253</v>
      </c>
      <c r="D40" s="301">
        <f>ROUNDDOWN(($C$5*0.45%),-2)</f>
        <v>296100</v>
      </c>
      <c r="E40" s="301">
        <v>0</v>
      </c>
      <c r="F40" s="301">
        <f>ROUNDDOWN(($C$5*0.5%),-2)</f>
        <v>329000</v>
      </c>
      <c r="G40" s="302">
        <f>IF($C$5*0.5%&gt;1500000,1500000,ROUNDDOWN(($C$5*0.5%),-2))</f>
        <v>329000</v>
      </c>
    </row>
    <row r="41" spans="2:14" x14ac:dyDescent="0.3">
      <c r="B41" s="294">
        <v>0.04</v>
      </c>
      <c r="C41" s="300" t="s">
        <v>1254</v>
      </c>
      <c r="D41" s="301">
        <f>ROUNDDOWN(($C$5*0.6%),-2)</f>
        <v>394800</v>
      </c>
      <c r="E41" s="301">
        <v>0</v>
      </c>
      <c r="F41" s="301">
        <f>ROUNDDOWN(($C$5*0.7%),-2)</f>
        <v>460600</v>
      </c>
      <c r="G41" s="302">
        <f>IF($C$5*0.8%&gt;1500000,1500000,ROUNDDOWN(($C$5*0.8%),-2))</f>
        <v>526400</v>
      </c>
      <c r="I41" s="296" t="s">
        <v>1261</v>
      </c>
      <c r="J41" s="318">
        <v>12</v>
      </c>
      <c r="K41" s="319">
        <v>0.5</v>
      </c>
    </row>
    <row r="42" spans="2:14" x14ac:dyDescent="0.3">
      <c r="B42" s="294">
        <v>0.05</v>
      </c>
      <c r="C42" s="300" t="s">
        <v>1255</v>
      </c>
      <c r="D42" s="301">
        <f>ROUNDDOWN(($C$5*0.75%),-2)</f>
        <v>493500</v>
      </c>
      <c r="E42" s="301">
        <f>ROUNDDOWN(($C$5*0.6%),-2)</f>
        <v>394800</v>
      </c>
      <c r="F42" s="301">
        <f>ROUNDDOWN(($C$5*0.9%),-2)</f>
        <v>592200</v>
      </c>
      <c r="G42" s="302">
        <f>IF($C$5*0.9%&gt;1500000,1500000,ROUNDDOWN(($C$5*0.9%),-2))</f>
        <v>592200</v>
      </c>
      <c r="I42" s="289"/>
      <c r="J42" s="300">
        <v>24</v>
      </c>
      <c r="K42" s="308">
        <v>0.3</v>
      </c>
    </row>
    <row r="43" spans="2:14" x14ac:dyDescent="0.3">
      <c r="B43" s="294">
        <v>0.06</v>
      </c>
      <c r="C43" s="300" t="s">
        <v>1256</v>
      </c>
      <c r="D43" s="301">
        <f>ROUNDDOWN(($C$5*0.9%),-2)</f>
        <v>592200</v>
      </c>
      <c r="E43" s="301">
        <f>ROUNDDOWN(($C$5*0.8%),-2)</f>
        <v>526400</v>
      </c>
      <c r="F43" s="301">
        <f>ROUNDDOWN(($C$5*1.1%),-2)</f>
        <v>723800</v>
      </c>
      <c r="G43" s="302">
        <f>IF($C$5*1%&gt;1500000,1500000,ROUNDDOWN(($C$5*1%),-2))</f>
        <v>658000</v>
      </c>
      <c r="I43" s="289"/>
      <c r="J43" s="300">
        <v>36</v>
      </c>
      <c r="K43" s="308">
        <v>0.3</v>
      </c>
    </row>
    <row r="44" spans="2:14" x14ac:dyDescent="0.3">
      <c r="B44" s="294">
        <v>7.0000000000000007E-2</v>
      </c>
      <c r="C44" s="300" t="s">
        <v>1257</v>
      </c>
      <c r="D44" s="301">
        <f>ROUNDDOWN(($C$5*1.05%),-2)</f>
        <v>690900</v>
      </c>
      <c r="E44" s="301">
        <f>ROUNDDOWN(($C$5*1%),-2)</f>
        <v>658000</v>
      </c>
      <c r="F44" s="301">
        <f>ROUNDDOWN(($C$5*1.2%),-2)</f>
        <v>789600</v>
      </c>
      <c r="G44" s="302"/>
      <c r="I44" s="289"/>
      <c r="J44" s="300">
        <v>48</v>
      </c>
      <c r="K44" s="308">
        <v>0.2</v>
      </c>
    </row>
    <row r="45" spans="2:14" ht="14.25" thickBot="1" x14ac:dyDescent="0.35">
      <c r="B45" s="295">
        <v>0.08</v>
      </c>
      <c r="C45" s="303" t="s">
        <v>1258</v>
      </c>
      <c r="D45" s="304">
        <f>ROUNDDOWN(($C$5*1.1%),-2)</f>
        <v>723800</v>
      </c>
      <c r="E45" s="304">
        <f>ROUNDDOWN(($C$5*1.1%),-2)</f>
        <v>723800</v>
      </c>
      <c r="F45" s="304">
        <f>ROUNDDOWN(($C$5*1.3%),-2)</f>
        <v>855400</v>
      </c>
      <c r="G45" s="305"/>
      <c r="I45" s="290"/>
      <c r="J45" s="303">
        <v>60</v>
      </c>
      <c r="K45" s="311">
        <v>0.15</v>
      </c>
    </row>
    <row r="46" spans="2:14" x14ac:dyDescent="0.3">
      <c r="B46" s="5"/>
      <c r="C46" s="25"/>
    </row>
    <row r="47" spans="2:14" ht="14.25" thickBot="1" x14ac:dyDescent="0.35">
      <c r="B47" s="5"/>
      <c r="C47" s="25"/>
    </row>
    <row r="48" spans="2:14" ht="14.25" thickBot="1" x14ac:dyDescent="0.35">
      <c r="B48" s="291" t="s">
        <v>1244</v>
      </c>
      <c r="C48" s="297" t="s">
        <v>1608</v>
      </c>
      <c r="D48" s="298" t="s">
        <v>1609</v>
      </c>
      <c r="E48" s="298" t="s">
        <v>1610</v>
      </c>
      <c r="F48" s="298" t="s">
        <v>1611</v>
      </c>
      <c r="G48" s="298" t="s">
        <v>1612</v>
      </c>
      <c r="H48" s="298" t="s">
        <v>1613</v>
      </c>
      <c r="I48" s="298" t="s">
        <v>1603</v>
      </c>
      <c r="J48" s="298" t="s">
        <v>1614</v>
      </c>
      <c r="K48" s="298" t="s">
        <v>1615</v>
      </c>
      <c r="L48" s="299" t="s">
        <v>1616</v>
      </c>
    </row>
    <row r="49" spans="2:22" x14ac:dyDescent="0.3">
      <c r="B49" s="292">
        <v>12</v>
      </c>
      <c r="C49" s="306">
        <v>0.7</v>
      </c>
      <c r="D49" s="307">
        <v>0.68</v>
      </c>
      <c r="E49" s="307">
        <v>0.66</v>
      </c>
      <c r="F49" s="307">
        <v>0.64</v>
      </c>
      <c r="G49" s="307">
        <v>0.62</v>
      </c>
      <c r="H49" s="307">
        <v>0.6</v>
      </c>
      <c r="I49" s="307">
        <v>0.57999999999999996</v>
      </c>
      <c r="J49" s="307">
        <v>0.56000000000000005</v>
      </c>
      <c r="K49" s="307">
        <v>0.54</v>
      </c>
      <c r="L49" s="308">
        <v>0.51</v>
      </c>
    </row>
    <row r="50" spans="2:22" x14ac:dyDescent="0.3">
      <c r="B50" s="292">
        <v>24</v>
      </c>
      <c r="C50" s="306">
        <v>0.62</v>
      </c>
      <c r="D50" s="307">
        <v>0.6</v>
      </c>
      <c r="E50" s="307">
        <v>0.57999999999999996</v>
      </c>
      <c r="F50" s="307">
        <v>0.56000000000000005</v>
      </c>
      <c r="G50" s="307">
        <v>0.54</v>
      </c>
      <c r="H50" s="307">
        <v>0.52</v>
      </c>
      <c r="I50" s="307">
        <v>0.5</v>
      </c>
      <c r="J50" s="307">
        <v>0.48</v>
      </c>
      <c r="K50" s="307">
        <v>0.46</v>
      </c>
      <c r="L50" s="308">
        <v>0.43</v>
      </c>
    </row>
    <row r="51" spans="2:22" x14ac:dyDescent="0.3">
      <c r="B51" s="292">
        <v>36</v>
      </c>
      <c r="C51" s="306">
        <v>0.54</v>
      </c>
      <c r="D51" s="307">
        <v>0.52</v>
      </c>
      <c r="E51" s="307">
        <v>0.5</v>
      </c>
      <c r="F51" s="307">
        <v>0.48</v>
      </c>
      <c r="G51" s="307">
        <v>0.46</v>
      </c>
      <c r="H51" s="307">
        <v>0.44</v>
      </c>
      <c r="I51" s="307">
        <v>0.42</v>
      </c>
      <c r="J51" s="307">
        <v>0.4</v>
      </c>
      <c r="K51" s="307">
        <v>0.38</v>
      </c>
      <c r="L51" s="308">
        <v>0.35</v>
      </c>
    </row>
    <row r="52" spans="2:22" x14ac:dyDescent="0.3">
      <c r="B52" s="292">
        <v>48</v>
      </c>
      <c r="C52" s="306">
        <v>0.46</v>
      </c>
      <c r="D52" s="307">
        <v>0.44</v>
      </c>
      <c r="E52" s="307">
        <v>0.42</v>
      </c>
      <c r="F52" s="307">
        <v>0.4</v>
      </c>
      <c r="G52" s="307">
        <v>0.38</v>
      </c>
      <c r="H52" s="307">
        <v>0.36</v>
      </c>
      <c r="I52" s="307">
        <v>0.34</v>
      </c>
      <c r="J52" s="307">
        <v>0.32</v>
      </c>
      <c r="K52" s="307">
        <v>0.3</v>
      </c>
      <c r="L52" s="308">
        <v>0.27</v>
      </c>
    </row>
    <row r="53" spans="2:22" x14ac:dyDescent="0.3">
      <c r="B53" s="292">
        <v>60</v>
      </c>
      <c r="C53" s="306">
        <v>0.4</v>
      </c>
      <c r="D53" s="307">
        <v>0.38</v>
      </c>
      <c r="E53" s="307">
        <v>0.36</v>
      </c>
      <c r="F53" s="307">
        <v>0.34</v>
      </c>
      <c r="G53" s="307">
        <v>0.32</v>
      </c>
      <c r="H53" s="307">
        <v>0.3</v>
      </c>
      <c r="I53" s="307">
        <v>0.28000000000000003</v>
      </c>
      <c r="J53" s="307">
        <v>0.26</v>
      </c>
      <c r="K53" s="307">
        <v>0.24</v>
      </c>
      <c r="L53" s="308">
        <v>0.2</v>
      </c>
    </row>
    <row r="54" spans="2:22" ht="14.25" thickBot="1" x14ac:dyDescent="0.35">
      <c r="B54" s="293">
        <v>72</v>
      </c>
      <c r="C54" s="309">
        <v>0.34</v>
      </c>
      <c r="D54" s="310">
        <v>0.32</v>
      </c>
      <c r="E54" s="310">
        <v>0.3</v>
      </c>
      <c r="F54" s="310">
        <v>0.28000000000000003</v>
      </c>
      <c r="G54" s="310">
        <v>0.26</v>
      </c>
      <c r="H54" s="310">
        <v>0.24</v>
      </c>
      <c r="I54" s="310">
        <v>0.22</v>
      </c>
      <c r="J54" s="310">
        <v>0.2</v>
      </c>
      <c r="K54" s="310">
        <v>0.18</v>
      </c>
      <c r="L54" s="311">
        <v>0.13</v>
      </c>
    </row>
    <row r="56" spans="2:22" ht="14.25" thickBot="1" x14ac:dyDescent="0.35"/>
    <row r="57" spans="2:22" ht="14.25" thickBot="1" x14ac:dyDescent="0.35">
      <c r="B57" s="291" t="s">
        <v>1245</v>
      </c>
      <c r="C57" s="297" t="s">
        <v>1237</v>
      </c>
      <c r="D57" s="298" t="s">
        <v>1238</v>
      </c>
      <c r="E57" s="298" t="s">
        <v>1239</v>
      </c>
      <c r="F57" s="298" t="s">
        <v>1240</v>
      </c>
      <c r="G57" s="298" t="s">
        <v>1241</v>
      </c>
      <c r="H57" s="298" t="s">
        <v>646</v>
      </c>
      <c r="I57" s="298" t="s">
        <v>432</v>
      </c>
      <c r="J57" s="298" t="s">
        <v>343</v>
      </c>
      <c r="K57" s="298" t="s">
        <v>379</v>
      </c>
      <c r="L57" s="298" t="s">
        <v>355</v>
      </c>
      <c r="M57" s="298" t="s">
        <v>470</v>
      </c>
      <c r="N57" s="298" t="s">
        <v>62</v>
      </c>
      <c r="O57" s="298" t="s">
        <v>279</v>
      </c>
      <c r="P57" s="298" t="s">
        <v>284</v>
      </c>
      <c r="Q57" s="298" t="s">
        <v>599</v>
      </c>
      <c r="R57" s="298" t="s">
        <v>243</v>
      </c>
      <c r="S57" s="298" t="s">
        <v>243</v>
      </c>
      <c r="T57" s="298" t="s">
        <v>86</v>
      </c>
      <c r="U57" s="298" t="s">
        <v>504</v>
      </c>
      <c r="V57" s="299" t="s">
        <v>528</v>
      </c>
    </row>
    <row r="58" spans="2:22" x14ac:dyDescent="0.3">
      <c r="B58" s="292">
        <v>12</v>
      </c>
      <c r="C58" s="306"/>
      <c r="D58" s="307"/>
      <c r="E58" s="307"/>
      <c r="F58" s="307"/>
      <c r="G58" s="307"/>
      <c r="H58" s="307">
        <v>0.78</v>
      </c>
      <c r="I58" s="307">
        <v>0.77</v>
      </c>
      <c r="J58" s="307">
        <v>0.76</v>
      </c>
      <c r="K58" s="307">
        <v>0.75</v>
      </c>
      <c r="L58" s="307">
        <v>0.74</v>
      </c>
      <c r="M58" s="307">
        <v>0.73</v>
      </c>
      <c r="N58" s="307">
        <v>0.72</v>
      </c>
      <c r="O58" s="307">
        <v>0.71</v>
      </c>
      <c r="P58" s="307">
        <v>0.7</v>
      </c>
      <c r="Q58" s="307">
        <v>0.69</v>
      </c>
      <c r="R58" s="307">
        <v>0.66999999999999993</v>
      </c>
      <c r="S58" s="307">
        <v>0.66999999999999993</v>
      </c>
      <c r="T58" s="307">
        <v>0.62999999999999989</v>
      </c>
      <c r="U58" s="307">
        <v>0.61999999999999988</v>
      </c>
      <c r="V58" s="308">
        <v>0.57999999999999985</v>
      </c>
    </row>
    <row r="59" spans="2:22" x14ac:dyDescent="0.3">
      <c r="B59" s="292">
        <v>24</v>
      </c>
      <c r="C59" s="306"/>
      <c r="D59" s="307"/>
      <c r="E59" s="307"/>
      <c r="F59" s="307"/>
      <c r="G59" s="307"/>
      <c r="H59" s="307">
        <v>0.70000000000000007</v>
      </c>
      <c r="I59" s="307">
        <v>0.69000000000000006</v>
      </c>
      <c r="J59" s="307">
        <v>0.68</v>
      </c>
      <c r="K59" s="307">
        <v>0.67</v>
      </c>
      <c r="L59" s="307">
        <v>0.66</v>
      </c>
      <c r="M59" s="307">
        <v>0.65</v>
      </c>
      <c r="N59" s="307">
        <v>0.64</v>
      </c>
      <c r="O59" s="307">
        <v>0.63</v>
      </c>
      <c r="P59" s="307">
        <v>0.62</v>
      </c>
      <c r="Q59" s="307">
        <v>0.61</v>
      </c>
      <c r="R59" s="307">
        <v>0.59</v>
      </c>
      <c r="S59" s="307">
        <v>0.59</v>
      </c>
      <c r="T59" s="307">
        <v>0.54999999999999993</v>
      </c>
      <c r="U59" s="307">
        <v>0.53999999999999992</v>
      </c>
      <c r="V59" s="308">
        <v>0.49999999999999989</v>
      </c>
    </row>
    <row r="60" spans="2:22" x14ac:dyDescent="0.3">
      <c r="B60" s="292">
        <v>36</v>
      </c>
      <c r="C60" s="306"/>
      <c r="D60" s="307"/>
      <c r="E60" s="307"/>
      <c r="F60" s="307"/>
      <c r="G60" s="307"/>
      <c r="H60" s="307">
        <v>0.61</v>
      </c>
      <c r="I60" s="307">
        <v>0.6</v>
      </c>
      <c r="J60" s="307">
        <v>0.59</v>
      </c>
      <c r="K60" s="307">
        <v>0.57999999999999996</v>
      </c>
      <c r="L60" s="307">
        <v>0.56999999999999995</v>
      </c>
      <c r="M60" s="307">
        <v>0.55999999999999994</v>
      </c>
      <c r="N60" s="307">
        <v>0.54999999999999993</v>
      </c>
      <c r="O60" s="307">
        <v>0.53999999999999992</v>
      </c>
      <c r="P60" s="307">
        <v>0.52999999999999992</v>
      </c>
      <c r="Q60" s="307">
        <v>0.51999999999999991</v>
      </c>
      <c r="R60" s="307">
        <v>0.49999999999999989</v>
      </c>
      <c r="S60" s="307">
        <v>0.49999999999999989</v>
      </c>
      <c r="T60" s="307">
        <v>0.45999999999999985</v>
      </c>
      <c r="U60" s="307">
        <v>0.44999999999999984</v>
      </c>
      <c r="V60" s="308">
        <v>0.40999999999999981</v>
      </c>
    </row>
    <row r="61" spans="2:22" x14ac:dyDescent="0.3">
      <c r="B61" s="292">
        <v>48</v>
      </c>
      <c r="C61" s="306">
        <v>0.57499999999999996</v>
      </c>
      <c r="D61" s="307">
        <v>0.55500000000000005</v>
      </c>
      <c r="E61" s="307">
        <v>0.52500000000000002</v>
      </c>
      <c r="F61" s="307">
        <v>0.505</v>
      </c>
      <c r="G61" s="307">
        <v>0.49</v>
      </c>
      <c r="H61" s="307">
        <v>0.53</v>
      </c>
      <c r="I61" s="307">
        <v>0.52</v>
      </c>
      <c r="J61" s="307">
        <v>0.51</v>
      </c>
      <c r="K61" s="307">
        <v>0.5</v>
      </c>
      <c r="L61" s="307">
        <v>0.49000000000000005</v>
      </c>
      <c r="M61" s="307">
        <v>0.48000000000000004</v>
      </c>
      <c r="N61" s="307">
        <v>0.47000000000000003</v>
      </c>
      <c r="O61" s="307">
        <v>0.46</v>
      </c>
      <c r="P61" s="307">
        <v>0.45</v>
      </c>
      <c r="Q61" s="307">
        <v>0.44</v>
      </c>
      <c r="R61" s="307">
        <v>0.42</v>
      </c>
      <c r="S61" s="307">
        <v>0.42</v>
      </c>
      <c r="T61" s="307">
        <v>0.37999999999999995</v>
      </c>
      <c r="U61" s="307">
        <v>0.36999999999999994</v>
      </c>
      <c r="V61" s="308">
        <v>0.3299999999999999</v>
      </c>
    </row>
    <row r="62" spans="2:22" ht="14.25" thickBot="1" x14ac:dyDescent="0.35">
      <c r="B62" s="293">
        <v>60</v>
      </c>
      <c r="C62" s="309">
        <v>0.51500000000000001</v>
      </c>
      <c r="D62" s="310">
        <v>0.495</v>
      </c>
      <c r="E62" s="310">
        <v>0.46500000000000002</v>
      </c>
      <c r="F62" s="310">
        <v>0.44500000000000001</v>
      </c>
      <c r="G62" s="310">
        <v>0.43</v>
      </c>
      <c r="H62" s="310">
        <v>0.47</v>
      </c>
      <c r="I62" s="310">
        <v>0.46000000000000008</v>
      </c>
      <c r="J62" s="310">
        <v>0.45000000000000007</v>
      </c>
      <c r="K62" s="310">
        <v>0.44000000000000006</v>
      </c>
      <c r="L62" s="310">
        <v>0.43000000000000005</v>
      </c>
      <c r="M62" s="310">
        <v>0.42000000000000004</v>
      </c>
      <c r="N62" s="310">
        <v>0.41000000000000003</v>
      </c>
      <c r="O62" s="310">
        <v>0.4</v>
      </c>
      <c r="P62" s="310">
        <v>0.39</v>
      </c>
      <c r="Q62" s="310">
        <v>0.38</v>
      </c>
      <c r="R62" s="310">
        <v>0.36</v>
      </c>
      <c r="S62" s="310">
        <v>0.36</v>
      </c>
      <c r="T62" s="310">
        <v>0.31999999999999995</v>
      </c>
      <c r="U62" s="310">
        <v>0.30999999999999994</v>
      </c>
      <c r="V62" s="311">
        <v>0.26999999999999991</v>
      </c>
    </row>
    <row r="64" spans="2:22" ht="14.25" thickBot="1" x14ac:dyDescent="0.35"/>
    <row r="65" spans="2:23" ht="14.25" thickBot="1" x14ac:dyDescent="0.35">
      <c r="B65" s="291" t="s">
        <v>1246</v>
      </c>
      <c r="C65" s="297" t="s">
        <v>395</v>
      </c>
      <c r="D65" s="298" t="s">
        <v>1242</v>
      </c>
      <c r="E65" s="298" t="s">
        <v>647</v>
      </c>
      <c r="F65" s="298" t="s">
        <v>646</v>
      </c>
      <c r="G65" s="298" t="s">
        <v>432</v>
      </c>
      <c r="H65" s="298" t="s">
        <v>343</v>
      </c>
      <c r="I65" s="298" t="s">
        <v>379</v>
      </c>
      <c r="J65" s="298" t="s">
        <v>355</v>
      </c>
      <c r="K65" s="298" t="s">
        <v>470</v>
      </c>
      <c r="L65" s="298" t="s">
        <v>62</v>
      </c>
      <c r="M65" s="298" t="s">
        <v>279</v>
      </c>
      <c r="N65" s="298" t="s">
        <v>284</v>
      </c>
      <c r="O65" s="298" t="s">
        <v>599</v>
      </c>
      <c r="P65" s="298" t="s">
        <v>243</v>
      </c>
      <c r="Q65" s="298" t="s">
        <v>246</v>
      </c>
      <c r="R65" s="298" t="s">
        <v>86</v>
      </c>
      <c r="S65" s="298" t="s">
        <v>86</v>
      </c>
      <c r="T65" s="298" t="s">
        <v>728</v>
      </c>
      <c r="U65" s="298" t="s">
        <v>331</v>
      </c>
      <c r="V65" s="298" t="s">
        <v>248</v>
      </c>
      <c r="W65" s="299" t="s">
        <v>286</v>
      </c>
    </row>
    <row r="66" spans="2:23" x14ac:dyDescent="0.3">
      <c r="B66" s="292">
        <v>12</v>
      </c>
      <c r="C66" s="306">
        <v>0.80500000000000005</v>
      </c>
      <c r="D66" s="307">
        <v>0.8</v>
      </c>
      <c r="E66" s="307">
        <v>0.79500000000000004</v>
      </c>
      <c r="F66" s="307">
        <v>0.79</v>
      </c>
      <c r="G66" s="307">
        <v>0.78</v>
      </c>
      <c r="H66" s="307">
        <v>0.77</v>
      </c>
      <c r="I66" s="307">
        <v>0.76</v>
      </c>
      <c r="J66" s="307">
        <v>0.75</v>
      </c>
      <c r="K66" s="307">
        <v>0.74</v>
      </c>
      <c r="L66" s="307">
        <v>0.73</v>
      </c>
      <c r="M66" s="307">
        <v>0.72</v>
      </c>
      <c r="N66" s="307">
        <v>0.71</v>
      </c>
      <c r="O66" s="307">
        <v>0.7</v>
      </c>
      <c r="P66" s="307">
        <v>0.69</v>
      </c>
      <c r="Q66" s="307">
        <v>0.67999999999999994</v>
      </c>
      <c r="R66" s="307">
        <v>0.66999999999999993</v>
      </c>
      <c r="S66" s="307">
        <v>0.66999999999999993</v>
      </c>
      <c r="T66" s="307">
        <v>0.6399999999999999</v>
      </c>
      <c r="U66" s="307">
        <v>0.60999999999999988</v>
      </c>
      <c r="V66" s="307">
        <v>0.59999999999999987</v>
      </c>
      <c r="W66" s="308">
        <v>0.55999999999999983</v>
      </c>
    </row>
    <row r="67" spans="2:23" x14ac:dyDescent="0.3">
      <c r="B67" s="292">
        <v>24</v>
      </c>
      <c r="C67" s="306">
        <v>0.72499999999999998</v>
      </c>
      <c r="D67" s="307">
        <v>0.72</v>
      </c>
      <c r="E67" s="307">
        <v>0.71499999999999997</v>
      </c>
      <c r="F67" s="307">
        <v>0.71</v>
      </c>
      <c r="G67" s="307">
        <v>0.7</v>
      </c>
      <c r="H67" s="307">
        <v>0.69000000000000006</v>
      </c>
      <c r="I67" s="307">
        <v>0.68</v>
      </c>
      <c r="J67" s="307">
        <v>0.67</v>
      </c>
      <c r="K67" s="307">
        <v>0.66</v>
      </c>
      <c r="L67" s="307">
        <v>0.65</v>
      </c>
      <c r="M67" s="307">
        <v>0.64</v>
      </c>
      <c r="N67" s="307">
        <v>0.63</v>
      </c>
      <c r="O67" s="307">
        <v>0.62</v>
      </c>
      <c r="P67" s="307">
        <v>0.61</v>
      </c>
      <c r="Q67" s="307">
        <v>0.6</v>
      </c>
      <c r="R67" s="307">
        <v>0.59</v>
      </c>
      <c r="S67" s="307">
        <v>0.59</v>
      </c>
      <c r="T67" s="307">
        <v>0.55999999999999994</v>
      </c>
      <c r="U67" s="307">
        <v>0.52999999999999992</v>
      </c>
      <c r="V67" s="307">
        <v>0.51999999999999991</v>
      </c>
      <c r="W67" s="308">
        <v>0.47999999999999987</v>
      </c>
    </row>
    <row r="68" spans="2:23" x14ac:dyDescent="0.3">
      <c r="B68" s="292">
        <v>36</v>
      </c>
      <c r="C68" s="306">
        <v>0.63500000000000001</v>
      </c>
      <c r="D68" s="307">
        <v>0.63</v>
      </c>
      <c r="E68" s="307">
        <v>0.625</v>
      </c>
      <c r="F68" s="307">
        <v>0.62</v>
      </c>
      <c r="G68" s="307">
        <v>0.61</v>
      </c>
      <c r="H68" s="307">
        <v>0.6</v>
      </c>
      <c r="I68" s="307">
        <v>0.59</v>
      </c>
      <c r="J68" s="307">
        <v>0.57999999999999996</v>
      </c>
      <c r="K68" s="307">
        <v>0.56999999999999995</v>
      </c>
      <c r="L68" s="307">
        <v>0.55999999999999994</v>
      </c>
      <c r="M68" s="307">
        <v>0.54999999999999993</v>
      </c>
      <c r="N68" s="307">
        <v>0.53999999999999992</v>
      </c>
      <c r="O68" s="307">
        <v>0.52999999999999992</v>
      </c>
      <c r="P68" s="307">
        <v>0.51999999999999991</v>
      </c>
      <c r="Q68" s="307">
        <v>0.5099999999999999</v>
      </c>
      <c r="R68" s="307">
        <v>0.49999999999999989</v>
      </c>
      <c r="S68" s="307">
        <v>0.49999999999999989</v>
      </c>
      <c r="T68" s="307">
        <v>0.46999999999999986</v>
      </c>
      <c r="U68" s="307">
        <v>0.43999999999999984</v>
      </c>
      <c r="V68" s="307">
        <v>0.42999999999999983</v>
      </c>
      <c r="W68" s="308">
        <v>0.38999999999999979</v>
      </c>
    </row>
    <row r="69" spans="2:23" x14ac:dyDescent="0.3">
      <c r="B69" s="292">
        <v>48</v>
      </c>
      <c r="C69" s="306">
        <v>0.55500000000000005</v>
      </c>
      <c r="D69" s="307">
        <v>0.55000000000000004</v>
      </c>
      <c r="E69" s="307">
        <v>0.54500000000000004</v>
      </c>
      <c r="F69" s="307">
        <v>0.54</v>
      </c>
      <c r="G69" s="307">
        <v>0.53</v>
      </c>
      <c r="H69" s="307">
        <v>0.52</v>
      </c>
      <c r="I69" s="307">
        <v>0.51</v>
      </c>
      <c r="J69" s="307">
        <v>0.5</v>
      </c>
      <c r="K69" s="307">
        <v>0.49000000000000005</v>
      </c>
      <c r="L69" s="307">
        <v>0.48000000000000004</v>
      </c>
      <c r="M69" s="307">
        <v>0.47000000000000003</v>
      </c>
      <c r="N69" s="307">
        <v>0.46</v>
      </c>
      <c r="O69" s="307">
        <v>0.45</v>
      </c>
      <c r="P69" s="307">
        <v>0.44</v>
      </c>
      <c r="Q69" s="307">
        <v>0.43</v>
      </c>
      <c r="R69" s="307">
        <v>0.42</v>
      </c>
      <c r="S69" s="307">
        <v>0.42</v>
      </c>
      <c r="T69" s="307">
        <v>0.38999999999999996</v>
      </c>
      <c r="U69" s="307">
        <v>0.35999999999999993</v>
      </c>
      <c r="V69" s="307">
        <v>0.34999999999999992</v>
      </c>
      <c r="W69" s="308">
        <v>0.30999999999999989</v>
      </c>
    </row>
    <row r="70" spans="2:23" ht="14.25" thickBot="1" x14ac:dyDescent="0.35">
      <c r="B70" s="293">
        <v>60</v>
      </c>
      <c r="C70" s="309">
        <v>0.495</v>
      </c>
      <c r="D70" s="310">
        <v>0.49</v>
      </c>
      <c r="E70" s="310">
        <v>0.48499999999999999</v>
      </c>
      <c r="F70" s="310">
        <v>0.48</v>
      </c>
      <c r="G70" s="310">
        <v>0.47</v>
      </c>
      <c r="H70" s="310">
        <v>0.46000000000000008</v>
      </c>
      <c r="I70" s="310">
        <v>0.45000000000000007</v>
      </c>
      <c r="J70" s="310">
        <v>0.44000000000000006</v>
      </c>
      <c r="K70" s="310">
        <v>0.43000000000000005</v>
      </c>
      <c r="L70" s="310">
        <v>0.42000000000000004</v>
      </c>
      <c r="M70" s="310">
        <v>0.41000000000000003</v>
      </c>
      <c r="N70" s="310">
        <v>0.4</v>
      </c>
      <c r="O70" s="310">
        <v>0.39</v>
      </c>
      <c r="P70" s="310">
        <v>0.38</v>
      </c>
      <c r="Q70" s="310">
        <v>0.37</v>
      </c>
      <c r="R70" s="310">
        <v>0.36</v>
      </c>
      <c r="S70" s="310">
        <v>0.36</v>
      </c>
      <c r="T70" s="310">
        <v>0.32999999999999996</v>
      </c>
      <c r="U70" s="310">
        <v>0.29999999999999993</v>
      </c>
      <c r="V70" s="310">
        <v>0.28999999999999992</v>
      </c>
      <c r="W70" s="311">
        <v>0.24999999999999989</v>
      </c>
    </row>
    <row r="72" spans="2:23" ht="14.25" thickBot="1" x14ac:dyDescent="0.35"/>
    <row r="73" spans="2:23" ht="14.25" thickBot="1" x14ac:dyDescent="0.35">
      <c r="B73" s="291" t="s">
        <v>1247</v>
      </c>
      <c r="C73" s="297" t="s">
        <v>1104</v>
      </c>
      <c r="D73" s="298" t="s">
        <v>331</v>
      </c>
      <c r="E73" s="298" t="s">
        <v>471</v>
      </c>
      <c r="F73" s="298" t="s">
        <v>476</v>
      </c>
      <c r="G73" s="298" t="s">
        <v>646</v>
      </c>
      <c r="H73" s="298" t="s">
        <v>432</v>
      </c>
      <c r="I73" s="298" t="s">
        <v>343</v>
      </c>
      <c r="J73" s="298" t="s">
        <v>379</v>
      </c>
      <c r="K73" s="299" t="s">
        <v>1243</v>
      </c>
    </row>
    <row r="74" spans="2:23" x14ac:dyDescent="0.3">
      <c r="B74" s="292">
        <v>24</v>
      </c>
      <c r="C74" s="306">
        <v>0.7</v>
      </c>
      <c r="D74" s="307">
        <v>0.68</v>
      </c>
      <c r="E74" s="307">
        <v>0.65</v>
      </c>
      <c r="F74" s="307">
        <v>0.64</v>
      </c>
      <c r="G74" s="307">
        <v>0.63</v>
      </c>
      <c r="H74" s="307">
        <v>0.6</v>
      </c>
      <c r="I74" s="307">
        <v>0.55000000000000004</v>
      </c>
      <c r="J74" s="307">
        <v>0.5</v>
      </c>
      <c r="K74" s="308">
        <v>0.64</v>
      </c>
    </row>
    <row r="75" spans="2:23" x14ac:dyDescent="0.3">
      <c r="B75" s="292">
        <v>36</v>
      </c>
      <c r="C75" s="306">
        <v>0.64</v>
      </c>
      <c r="D75" s="307">
        <v>0.6</v>
      </c>
      <c r="E75" s="307">
        <v>0.59</v>
      </c>
      <c r="F75" s="307">
        <v>0.55000000000000004</v>
      </c>
      <c r="G75" s="307">
        <v>0.51</v>
      </c>
      <c r="H75" s="307">
        <v>0.48</v>
      </c>
      <c r="I75" s="307">
        <v>0.45</v>
      </c>
      <c r="J75" s="307">
        <v>0.4</v>
      </c>
      <c r="K75" s="308">
        <v>0.54</v>
      </c>
    </row>
    <row r="76" spans="2:23" x14ac:dyDescent="0.3">
      <c r="B76" s="292">
        <v>48</v>
      </c>
      <c r="C76" s="306">
        <v>0.57999999999999996</v>
      </c>
      <c r="D76" s="307">
        <v>0.54</v>
      </c>
      <c r="E76" s="307">
        <v>0.52</v>
      </c>
      <c r="F76" s="307">
        <v>0.48</v>
      </c>
      <c r="G76" s="307">
        <v>0.44</v>
      </c>
      <c r="H76" s="307">
        <v>0.4</v>
      </c>
      <c r="I76" s="307">
        <v>0.37</v>
      </c>
      <c r="J76" s="307">
        <v>0.35</v>
      </c>
      <c r="K76" s="308">
        <v>0.49</v>
      </c>
    </row>
    <row r="77" spans="2:23" ht="14.25" thickBot="1" x14ac:dyDescent="0.35">
      <c r="B77" s="293">
        <v>60</v>
      </c>
      <c r="C77" s="309">
        <v>0.5</v>
      </c>
      <c r="D77" s="310">
        <v>0.48</v>
      </c>
      <c r="E77" s="310">
        <v>0.46</v>
      </c>
      <c r="F77" s="310">
        <v>0.42</v>
      </c>
      <c r="G77" s="310">
        <v>0.4</v>
      </c>
      <c r="H77" s="310">
        <v>0.3</v>
      </c>
      <c r="I77" s="310">
        <v>0.3</v>
      </c>
      <c r="J77" s="310">
        <v>0.3</v>
      </c>
      <c r="K77" s="311">
        <v>0.44</v>
      </c>
    </row>
  </sheetData>
  <mergeCells count="22">
    <mergeCell ref="C3:E3"/>
    <mergeCell ref="C4:E4"/>
    <mergeCell ref="C5:E5"/>
    <mergeCell ref="C8:E8"/>
    <mergeCell ref="C17:E17"/>
    <mergeCell ref="C6:E6"/>
    <mergeCell ref="D31:E31"/>
    <mergeCell ref="B20:B21"/>
    <mergeCell ref="B29:B30"/>
    <mergeCell ref="C9:E9"/>
    <mergeCell ref="C10:D10"/>
    <mergeCell ref="C11:C12"/>
    <mergeCell ref="D13:E13"/>
    <mergeCell ref="B11:B12"/>
    <mergeCell ref="C18:E18"/>
    <mergeCell ref="C20:C21"/>
    <mergeCell ref="C19:D19"/>
    <mergeCell ref="C26:E26"/>
    <mergeCell ref="C27:E27"/>
    <mergeCell ref="C28:D28"/>
    <mergeCell ref="C29:C30"/>
    <mergeCell ref="D22:E22"/>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B2:M46"/>
  <sheetViews>
    <sheetView workbookViewId="0">
      <selection activeCell="Q42" sqref="Q42"/>
    </sheetView>
  </sheetViews>
  <sheetFormatPr defaultRowHeight="13.5" x14ac:dyDescent="0.3"/>
  <cols>
    <col min="1" max="1" width="9" style="1"/>
    <col min="2" max="2" width="13" style="1" bestFit="1" customWidth="1"/>
    <col min="3" max="3" width="21.625" style="1" bestFit="1" customWidth="1"/>
    <col min="4" max="4" width="10.5" style="1" bestFit="1" customWidth="1"/>
    <col min="5" max="5" width="13.125" style="1" bestFit="1" customWidth="1"/>
    <col min="6" max="6" width="21.625" style="1" bestFit="1" customWidth="1"/>
    <col min="7" max="8" width="9.625" style="1" bestFit="1" customWidth="1"/>
    <col min="9" max="9" width="22.25" style="1" bestFit="1" customWidth="1"/>
    <col min="10" max="10" width="9.625" style="1" bestFit="1" customWidth="1"/>
    <col min="11" max="11" width="9.75" style="2" bestFit="1" customWidth="1"/>
    <col min="12" max="12" width="10.5" style="1" bestFit="1" customWidth="1"/>
    <col min="13" max="13" width="11.375" style="1" bestFit="1" customWidth="1"/>
    <col min="14" max="16384" width="9" style="1"/>
  </cols>
  <sheetData>
    <row r="2" spans="2:13" x14ac:dyDescent="0.3">
      <c r="B2" s="1" t="s">
        <v>1405</v>
      </c>
      <c r="E2" s="1" t="s">
        <v>1453</v>
      </c>
      <c r="H2" s="1" t="s">
        <v>1380</v>
      </c>
    </row>
    <row r="3" spans="2:13" x14ac:dyDescent="0.3">
      <c r="B3" s="18" t="s">
        <v>1264</v>
      </c>
      <c r="C3" s="17">
        <f>'운용리스 내부'!D13</f>
        <v>65800000</v>
      </c>
      <c r="E3" s="18" t="s">
        <v>1264</v>
      </c>
      <c r="F3" s="17">
        <f>'금융리스 내부'!D13</f>
        <v>40000000</v>
      </c>
      <c r="H3" s="18" t="s">
        <v>1264</v>
      </c>
      <c r="I3" s="17">
        <f>'할부 내부'!D13</f>
        <v>39000000</v>
      </c>
    </row>
    <row r="4" spans="2:13" x14ac:dyDescent="0.3">
      <c r="B4" s="18" t="s">
        <v>1404</v>
      </c>
      <c r="C4" s="17">
        <f>+C3/1.1</f>
        <v>59818181.818181813</v>
      </c>
      <c r="E4" s="18" t="s">
        <v>1404</v>
      </c>
      <c r="F4" s="17">
        <f>+F3/1.1</f>
        <v>36363636.36363636</v>
      </c>
      <c r="H4" s="18" t="s">
        <v>1404</v>
      </c>
      <c r="I4" s="17">
        <f>+I3/1.1</f>
        <v>35454545.454545453</v>
      </c>
    </row>
    <row r="5" spans="2:13" x14ac:dyDescent="0.3">
      <c r="B5" s="18" t="s">
        <v>1406</v>
      </c>
      <c r="C5" s="19" t="str">
        <f>'운용리스 내부'!D6</f>
        <v>A6 e-tron Performance Advanced</v>
      </c>
      <c r="E5" s="18" t="s">
        <v>1406</v>
      </c>
      <c r="F5" s="19" t="str">
        <f>'금융리스 내부'!D7</f>
        <v>ATTO 3 Plus</v>
      </c>
      <c r="H5" s="18" t="s">
        <v>1406</v>
      </c>
      <c r="I5" s="19" t="str">
        <f>'할부 내부'!D7</f>
        <v>ATTO 3</v>
      </c>
    </row>
    <row r="6" spans="2:13" ht="16.5" customHeight="1" x14ac:dyDescent="0.3">
      <c r="B6" s="18" t="str">
        <f>VLOOKUP(C5,차종!E:I,5,FALSE)</f>
        <v>승용</v>
      </c>
      <c r="C6" s="20">
        <f>VLOOKUP(B6,B11:F20,5,FALSE)</f>
        <v>4187270</v>
      </c>
      <c r="E6" s="18" t="str">
        <f>VLOOKUP(F5,차종!E:I,5,FALSE)</f>
        <v>전기</v>
      </c>
      <c r="F6" s="20">
        <f>VLOOKUP(E6,B24:F33,5,FALSE)</f>
        <v>1145450</v>
      </c>
      <c r="H6" s="18" t="str">
        <f>VLOOKUP(I5,차종!E:I,5,FALSE)</f>
        <v>전기</v>
      </c>
      <c r="I6" s="20">
        <f>VLOOKUP(H6,B37:F46,5,FALSE)</f>
        <v>1081810</v>
      </c>
    </row>
    <row r="9" spans="2:13" x14ac:dyDescent="0.3">
      <c r="B9" s="1" t="s">
        <v>1395</v>
      </c>
      <c r="C9" s="1" t="s">
        <v>1396</v>
      </c>
      <c r="G9" s="1" t="s">
        <v>1397</v>
      </c>
    </row>
    <row r="10" spans="2:13" x14ac:dyDescent="0.3">
      <c r="C10" s="981" t="s">
        <v>231</v>
      </c>
      <c r="D10" s="981"/>
      <c r="E10" s="1" t="s">
        <v>1398</v>
      </c>
      <c r="F10" s="1" t="s">
        <v>1399</v>
      </c>
      <c r="G10" s="981" t="s">
        <v>231</v>
      </c>
      <c r="H10" s="981"/>
      <c r="I10" s="1" t="s">
        <v>1398</v>
      </c>
      <c r="J10" s="1" t="s">
        <v>1400</v>
      </c>
      <c r="K10" s="981" t="s">
        <v>1401</v>
      </c>
      <c r="L10" s="981"/>
      <c r="M10" s="1" t="s">
        <v>1399</v>
      </c>
    </row>
    <row r="11" spans="2:13" x14ac:dyDescent="0.3">
      <c r="B11" s="1" t="s">
        <v>242</v>
      </c>
      <c r="C11" s="2">
        <v>7.0000000000000007E-2</v>
      </c>
      <c r="D11" s="16">
        <f>ROUNDDOWN(C11*$C$4,-1)</f>
        <v>4187270</v>
      </c>
      <c r="E11" s="16">
        <v>0</v>
      </c>
      <c r="F11" s="16">
        <f>+D11-E11</f>
        <v>4187270</v>
      </c>
      <c r="G11" s="2">
        <v>0.02</v>
      </c>
      <c r="H11" s="16">
        <v>4545450</v>
      </c>
      <c r="I11" s="16"/>
      <c r="J11" s="16">
        <v>4545450</v>
      </c>
      <c r="K11" s="16">
        <v>0.05</v>
      </c>
      <c r="L11" s="16">
        <v>11363630</v>
      </c>
      <c r="M11" s="16">
        <v>15909080</v>
      </c>
    </row>
    <row r="12" spans="2:13" x14ac:dyDescent="0.3">
      <c r="B12" s="1" t="s">
        <v>295</v>
      </c>
      <c r="C12" s="2">
        <v>7.0000000000000007E-2</v>
      </c>
      <c r="D12" s="16">
        <f t="shared" ref="D12:D20" si="0">ROUNDDOWN(C12*$C$4,-1)</f>
        <v>4187270</v>
      </c>
      <c r="E12" s="16">
        <v>0</v>
      </c>
      <c r="F12" s="16">
        <f t="shared" ref="F12:F20" si="1">+D12-E12</f>
        <v>4187270</v>
      </c>
      <c r="G12" s="2">
        <v>0.02</v>
      </c>
      <c r="H12" s="16">
        <v>4545450</v>
      </c>
      <c r="I12" s="16"/>
      <c r="J12" s="16">
        <v>4545450</v>
      </c>
      <c r="K12" s="16">
        <v>0.05</v>
      </c>
      <c r="L12" s="16">
        <v>11363630</v>
      </c>
      <c r="M12" s="16">
        <v>15909080</v>
      </c>
    </row>
    <row r="13" spans="2:13" x14ac:dyDescent="0.3">
      <c r="B13" s="1" t="s">
        <v>322</v>
      </c>
      <c r="C13" s="2">
        <v>7.0000000000000007E-2</v>
      </c>
      <c r="D13" s="16">
        <f t="shared" si="0"/>
        <v>4187270</v>
      </c>
      <c r="E13" s="16">
        <v>0</v>
      </c>
      <c r="F13" s="16">
        <f t="shared" si="1"/>
        <v>4187270</v>
      </c>
      <c r="G13" s="2">
        <v>0.02</v>
      </c>
      <c r="H13" s="16">
        <v>4545450</v>
      </c>
      <c r="I13" s="16"/>
      <c r="J13" s="16">
        <v>4545450</v>
      </c>
      <c r="K13" s="16">
        <v>0.05</v>
      </c>
      <c r="L13" s="16">
        <v>11363630</v>
      </c>
      <c r="M13" s="16">
        <v>15909080</v>
      </c>
    </row>
    <row r="14" spans="2:13" x14ac:dyDescent="0.3">
      <c r="B14" s="1" t="s">
        <v>1402</v>
      </c>
      <c r="C14" s="2">
        <v>0.05</v>
      </c>
      <c r="D14" s="16">
        <f t="shared" si="0"/>
        <v>2990900</v>
      </c>
      <c r="E14" s="16">
        <v>0</v>
      </c>
      <c r="F14" s="16">
        <f t="shared" si="1"/>
        <v>2990900</v>
      </c>
      <c r="G14" s="2">
        <v>0.02</v>
      </c>
      <c r="H14" s="16">
        <v>4545450</v>
      </c>
      <c r="I14" s="16"/>
      <c r="J14" s="16">
        <v>4545450</v>
      </c>
      <c r="K14" s="16">
        <v>3.0000000000000002E-2</v>
      </c>
      <c r="L14" s="16">
        <v>6818180</v>
      </c>
      <c r="M14" s="16">
        <v>11363630</v>
      </c>
    </row>
    <row r="15" spans="2:13" x14ac:dyDescent="0.3">
      <c r="B15" s="1" t="s">
        <v>773</v>
      </c>
      <c r="C15" s="2">
        <v>7.0000000000000007E-2</v>
      </c>
      <c r="D15" s="16">
        <f t="shared" si="0"/>
        <v>4187270</v>
      </c>
      <c r="E15" s="16">
        <v>0</v>
      </c>
      <c r="F15" s="16">
        <f t="shared" si="1"/>
        <v>4187270</v>
      </c>
      <c r="G15" s="2">
        <v>0.02</v>
      </c>
      <c r="H15" s="16">
        <v>4545450</v>
      </c>
      <c r="I15" s="16">
        <v>114285.71428571429</v>
      </c>
      <c r="J15" s="16">
        <v>4431164.2857142854</v>
      </c>
      <c r="K15" s="16">
        <v>0.05</v>
      </c>
      <c r="L15" s="16">
        <v>11363630</v>
      </c>
      <c r="M15" s="16">
        <v>15794794.285714285</v>
      </c>
    </row>
    <row r="16" spans="2:13" x14ac:dyDescent="0.3">
      <c r="B16" s="1" t="s">
        <v>924</v>
      </c>
      <c r="C16" s="2">
        <v>7.0000000000000007E-2</v>
      </c>
      <c r="D16" s="16">
        <f t="shared" si="0"/>
        <v>4187270</v>
      </c>
      <c r="E16" s="16">
        <v>0</v>
      </c>
      <c r="F16" s="16">
        <f t="shared" si="1"/>
        <v>4187270</v>
      </c>
      <c r="G16" s="2">
        <v>0.02</v>
      </c>
      <c r="H16" s="16">
        <v>4545450</v>
      </c>
      <c r="I16" s="16"/>
      <c r="J16" s="16">
        <v>4545450</v>
      </c>
      <c r="K16" s="16">
        <v>0.05</v>
      </c>
      <c r="L16" s="16">
        <v>11363630</v>
      </c>
      <c r="M16" s="16">
        <v>15909080</v>
      </c>
    </row>
    <row r="17" spans="2:13" x14ac:dyDescent="0.3">
      <c r="B17" s="1" t="s">
        <v>769</v>
      </c>
      <c r="C17" s="2">
        <v>0.05</v>
      </c>
      <c r="D17" s="16">
        <f t="shared" si="0"/>
        <v>2990900</v>
      </c>
      <c r="E17" s="16">
        <v>0</v>
      </c>
      <c r="F17" s="16">
        <f t="shared" si="1"/>
        <v>2990900</v>
      </c>
      <c r="G17" s="2">
        <v>0.02</v>
      </c>
      <c r="H17" s="16">
        <v>4545450</v>
      </c>
      <c r="I17" s="16"/>
      <c r="J17" s="16">
        <v>4545450</v>
      </c>
      <c r="K17" s="16">
        <v>3.0000000000000002E-2</v>
      </c>
      <c r="L17" s="16">
        <v>6818180</v>
      </c>
      <c r="M17" s="16">
        <v>11363630</v>
      </c>
    </row>
    <row r="18" spans="2:13" x14ac:dyDescent="0.3">
      <c r="B18" s="1" t="s">
        <v>1403</v>
      </c>
      <c r="C18" s="2">
        <v>7.0000000000000007E-2</v>
      </c>
      <c r="D18" s="16">
        <f t="shared" si="0"/>
        <v>4187270</v>
      </c>
      <c r="E18" s="16">
        <v>0</v>
      </c>
      <c r="F18" s="16">
        <f t="shared" si="1"/>
        <v>4187270</v>
      </c>
      <c r="G18" s="2">
        <v>0.02</v>
      </c>
      <c r="H18" s="16">
        <v>4545450</v>
      </c>
      <c r="I18" s="16">
        <v>114285.71428571429</v>
      </c>
      <c r="J18" s="16">
        <v>4431164.2857142854</v>
      </c>
      <c r="K18" s="16">
        <v>0.05</v>
      </c>
      <c r="L18" s="16">
        <v>11363630</v>
      </c>
      <c r="M18" s="16">
        <v>15794794.285714285</v>
      </c>
    </row>
    <row r="19" spans="2:13" x14ac:dyDescent="0.3">
      <c r="B19" s="1" t="s">
        <v>283</v>
      </c>
      <c r="C19" s="2">
        <v>7.0000000000000007E-2</v>
      </c>
      <c r="D19" s="16">
        <f t="shared" si="0"/>
        <v>4187270</v>
      </c>
      <c r="E19" s="16">
        <v>0</v>
      </c>
      <c r="F19" s="16">
        <f t="shared" si="1"/>
        <v>4187270</v>
      </c>
      <c r="G19" s="2">
        <v>0.02</v>
      </c>
      <c r="H19" s="16">
        <v>4545450</v>
      </c>
      <c r="I19" s="16"/>
      <c r="J19" s="16">
        <v>4545450</v>
      </c>
      <c r="K19" s="16">
        <v>0.05</v>
      </c>
      <c r="L19" s="16">
        <v>11363630</v>
      </c>
      <c r="M19" s="16">
        <v>15909080</v>
      </c>
    </row>
    <row r="20" spans="2:13" x14ac:dyDescent="0.3">
      <c r="B20" s="1" t="s">
        <v>308</v>
      </c>
      <c r="C20" s="2">
        <v>7.0000000000000007E-2</v>
      </c>
      <c r="D20" s="16">
        <f t="shared" si="0"/>
        <v>4187270</v>
      </c>
      <c r="E20" s="16">
        <v>1400000</v>
      </c>
      <c r="F20" s="16">
        <f t="shared" si="1"/>
        <v>2787270</v>
      </c>
      <c r="K20" s="16"/>
      <c r="L20" s="16"/>
      <c r="M20" s="16"/>
    </row>
    <row r="22" spans="2:13" x14ac:dyDescent="0.3">
      <c r="B22" s="1" t="s">
        <v>1395</v>
      </c>
      <c r="C22" s="1" t="s">
        <v>1396</v>
      </c>
      <c r="G22" s="1" t="s">
        <v>1397</v>
      </c>
    </row>
    <row r="23" spans="2:13" x14ac:dyDescent="0.3">
      <c r="C23" s="981" t="s">
        <v>231</v>
      </c>
      <c r="D23" s="981"/>
      <c r="E23" s="1" t="s">
        <v>1398</v>
      </c>
      <c r="F23" s="1" t="s">
        <v>1399</v>
      </c>
      <c r="G23" s="981" t="s">
        <v>231</v>
      </c>
      <c r="H23" s="981"/>
      <c r="I23" s="1" t="s">
        <v>1398</v>
      </c>
      <c r="J23" s="1" t="s">
        <v>1400</v>
      </c>
      <c r="K23" s="981" t="s">
        <v>1401</v>
      </c>
      <c r="L23" s="981"/>
      <c r="M23" s="1" t="s">
        <v>1399</v>
      </c>
    </row>
    <row r="24" spans="2:13" x14ac:dyDescent="0.3">
      <c r="B24" s="1" t="s">
        <v>242</v>
      </c>
      <c r="C24" s="2">
        <v>7.0000000000000007E-2</v>
      </c>
      <c r="D24" s="16">
        <f>ROUNDDOWN(C24*$F$4,-1)</f>
        <v>2545450</v>
      </c>
      <c r="E24" s="16">
        <v>0</v>
      </c>
      <c r="F24" s="16">
        <f>+D24-E24</f>
        <v>2545450</v>
      </c>
      <c r="G24" s="2">
        <v>0.02</v>
      </c>
      <c r="H24" s="16">
        <v>4545450</v>
      </c>
      <c r="I24" s="16"/>
      <c r="J24" s="16">
        <v>4545450</v>
      </c>
      <c r="K24" s="16">
        <v>0.05</v>
      </c>
      <c r="L24" s="16">
        <v>11363630</v>
      </c>
      <c r="M24" s="16">
        <v>15909080</v>
      </c>
    </row>
    <row r="25" spans="2:13" x14ac:dyDescent="0.3">
      <c r="B25" s="1" t="s">
        <v>295</v>
      </c>
      <c r="C25" s="2">
        <v>7.0000000000000007E-2</v>
      </c>
      <c r="D25" s="16">
        <f t="shared" ref="D25:D33" si="2">ROUNDDOWN(C25*$F$4,-1)</f>
        <v>2545450</v>
      </c>
      <c r="E25" s="16">
        <v>0</v>
      </c>
      <c r="F25" s="16">
        <f t="shared" ref="F25:F33" si="3">+D25-E25</f>
        <v>2545450</v>
      </c>
      <c r="G25" s="2">
        <v>0.02</v>
      </c>
      <c r="H25" s="16">
        <v>4545450</v>
      </c>
      <c r="I25" s="16"/>
      <c r="J25" s="16">
        <v>4545450</v>
      </c>
      <c r="K25" s="16">
        <v>0.05</v>
      </c>
      <c r="L25" s="16">
        <v>11363630</v>
      </c>
      <c r="M25" s="16">
        <v>15909080</v>
      </c>
    </row>
    <row r="26" spans="2:13" x14ac:dyDescent="0.3">
      <c r="B26" s="1" t="s">
        <v>322</v>
      </c>
      <c r="C26" s="2">
        <v>7.0000000000000007E-2</v>
      </c>
      <c r="D26" s="16">
        <f t="shared" si="2"/>
        <v>2545450</v>
      </c>
      <c r="E26" s="16">
        <v>0</v>
      </c>
      <c r="F26" s="16">
        <f t="shared" si="3"/>
        <v>2545450</v>
      </c>
      <c r="G26" s="2">
        <v>0.02</v>
      </c>
      <c r="H26" s="16">
        <v>4545450</v>
      </c>
      <c r="I26" s="16"/>
      <c r="J26" s="16">
        <v>4545450</v>
      </c>
      <c r="K26" s="16">
        <v>0.05</v>
      </c>
      <c r="L26" s="16">
        <v>11363630</v>
      </c>
      <c r="M26" s="16">
        <v>15909080</v>
      </c>
    </row>
    <row r="27" spans="2:13" x14ac:dyDescent="0.3">
      <c r="B27" s="1" t="s">
        <v>1402</v>
      </c>
      <c r="C27" s="2">
        <v>0.05</v>
      </c>
      <c r="D27" s="16">
        <f t="shared" si="2"/>
        <v>1818180</v>
      </c>
      <c r="E27" s="16">
        <v>0</v>
      </c>
      <c r="F27" s="16">
        <f t="shared" si="3"/>
        <v>1818180</v>
      </c>
      <c r="G27" s="2">
        <v>0.02</v>
      </c>
      <c r="H27" s="16">
        <v>4545450</v>
      </c>
      <c r="I27" s="16"/>
      <c r="J27" s="16">
        <v>4545450</v>
      </c>
      <c r="K27" s="16">
        <v>3.0000000000000002E-2</v>
      </c>
      <c r="L27" s="16">
        <v>6818180</v>
      </c>
      <c r="M27" s="16">
        <v>11363630</v>
      </c>
    </row>
    <row r="28" spans="2:13" x14ac:dyDescent="0.3">
      <c r="B28" s="1" t="s">
        <v>773</v>
      </c>
      <c r="C28" s="2">
        <v>7.0000000000000007E-2</v>
      </c>
      <c r="D28" s="16">
        <f t="shared" si="2"/>
        <v>2545450</v>
      </c>
      <c r="E28" s="16">
        <v>0</v>
      </c>
      <c r="F28" s="16">
        <f t="shared" si="3"/>
        <v>2545450</v>
      </c>
      <c r="G28" s="2">
        <v>0.02</v>
      </c>
      <c r="H28" s="16">
        <v>4545450</v>
      </c>
      <c r="I28" s="16">
        <v>114285.71428571429</v>
      </c>
      <c r="J28" s="16">
        <v>4431164.2857142854</v>
      </c>
      <c r="K28" s="16">
        <v>0.05</v>
      </c>
      <c r="L28" s="16">
        <v>11363630</v>
      </c>
      <c r="M28" s="16">
        <v>15794794.285714285</v>
      </c>
    </row>
    <row r="29" spans="2:13" x14ac:dyDescent="0.3">
      <c r="B29" s="1" t="s">
        <v>924</v>
      </c>
      <c r="C29" s="2">
        <v>7.0000000000000007E-2</v>
      </c>
      <c r="D29" s="16">
        <f t="shared" si="2"/>
        <v>2545450</v>
      </c>
      <c r="E29" s="16">
        <v>0</v>
      </c>
      <c r="F29" s="16">
        <f t="shared" si="3"/>
        <v>2545450</v>
      </c>
      <c r="G29" s="2">
        <v>0.02</v>
      </c>
      <c r="H29" s="16">
        <v>4545450</v>
      </c>
      <c r="I29" s="16"/>
      <c r="J29" s="16">
        <v>4545450</v>
      </c>
      <c r="K29" s="16">
        <v>0.05</v>
      </c>
      <c r="L29" s="16">
        <v>11363630</v>
      </c>
      <c r="M29" s="16">
        <v>15909080</v>
      </c>
    </row>
    <row r="30" spans="2:13" x14ac:dyDescent="0.3">
      <c r="B30" s="1" t="s">
        <v>769</v>
      </c>
      <c r="C30" s="2">
        <v>0.05</v>
      </c>
      <c r="D30" s="16">
        <f t="shared" si="2"/>
        <v>1818180</v>
      </c>
      <c r="E30" s="16">
        <v>0</v>
      </c>
      <c r="F30" s="16">
        <f t="shared" si="3"/>
        <v>1818180</v>
      </c>
      <c r="G30" s="2">
        <v>0.02</v>
      </c>
      <c r="H30" s="16">
        <v>4545450</v>
      </c>
      <c r="I30" s="16"/>
      <c r="J30" s="16">
        <v>4545450</v>
      </c>
      <c r="K30" s="16">
        <v>3.0000000000000002E-2</v>
      </c>
      <c r="L30" s="16">
        <v>6818180</v>
      </c>
      <c r="M30" s="16">
        <v>11363630</v>
      </c>
    </row>
    <row r="31" spans="2:13" x14ac:dyDescent="0.3">
      <c r="B31" s="1" t="s">
        <v>1403</v>
      </c>
      <c r="C31" s="2">
        <v>7.0000000000000007E-2</v>
      </c>
      <c r="D31" s="16">
        <f t="shared" si="2"/>
        <v>2545450</v>
      </c>
      <c r="E31" s="16">
        <v>0</v>
      </c>
      <c r="F31" s="16">
        <f t="shared" si="3"/>
        <v>2545450</v>
      </c>
      <c r="G31" s="2">
        <v>0.02</v>
      </c>
      <c r="H31" s="16">
        <v>4545450</v>
      </c>
      <c r="I31" s="16">
        <v>114285.71428571429</v>
      </c>
      <c r="J31" s="16">
        <v>4431164.2857142854</v>
      </c>
      <c r="K31" s="16">
        <v>0.05</v>
      </c>
      <c r="L31" s="16">
        <v>11363630</v>
      </c>
      <c r="M31" s="16">
        <v>15794794.285714285</v>
      </c>
    </row>
    <row r="32" spans="2:13" x14ac:dyDescent="0.3">
      <c r="B32" s="1" t="s">
        <v>283</v>
      </c>
      <c r="C32" s="2">
        <v>7.0000000000000007E-2</v>
      </c>
      <c r="D32" s="16">
        <f t="shared" si="2"/>
        <v>2545450</v>
      </c>
      <c r="E32" s="16">
        <v>0</v>
      </c>
      <c r="F32" s="16">
        <f t="shared" si="3"/>
        <v>2545450</v>
      </c>
      <c r="G32" s="2">
        <v>0.02</v>
      </c>
      <c r="H32" s="16">
        <v>4545450</v>
      </c>
      <c r="I32" s="16"/>
      <c r="J32" s="16">
        <v>4545450</v>
      </c>
      <c r="K32" s="16">
        <v>0.05</v>
      </c>
      <c r="L32" s="16">
        <v>11363630</v>
      </c>
      <c r="M32" s="16">
        <v>15909080</v>
      </c>
    </row>
    <row r="33" spans="2:13" x14ac:dyDescent="0.3">
      <c r="B33" s="1" t="s">
        <v>308</v>
      </c>
      <c r="C33" s="2">
        <v>7.0000000000000007E-2</v>
      </c>
      <c r="D33" s="16">
        <f t="shared" si="2"/>
        <v>2545450</v>
      </c>
      <c r="E33" s="16">
        <v>1400000</v>
      </c>
      <c r="F33" s="16">
        <f t="shared" si="3"/>
        <v>1145450</v>
      </c>
      <c r="K33" s="16"/>
      <c r="L33" s="16"/>
      <c r="M33" s="16"/>
    </row>
    <row r="35" spans="2:13" x14ac:dyDescent="0.3">
      <c r="B35" s="1" t="s">
        <v>1395</v>
      </c>
      <c r="C35" s="1" t="s">
        <v>1396</v>
      </c>
      <c r="G35" s="1" t="s">
        <v>1397</v>
      </c>
    </row>
    <row r="36" spans="2:13" x14ac:dyDescent="0.3">
      <c r="C36" s="981" t="s">
        <v>231</v>
      </c>
      <c r="D36" s="981"/>
      <c r="E36" s="1" t="s">
        <v>1398</v>
      </c>
      <c r="F36" s="1" t="s">
        <v>1399</v>
      </c>
      <c r="G36" s="981" t="s">
        <v>231</v>
      </c>
      <c r="H36" s="981"/>
      <c r="I36" s="1" t="s">
        <v>1398</v>
      </c>
      <c r="J36" s="1" t="s">
        <v>1400</v>
      </c>
      <c r="K36" s="981" t="s">
        <v>1401</v>
      </c>
      <c r="L36" s="981"/>
      <c r="M36" s="1" t="s">
        <v>1399</v>
      </c>
    </row>
    <row r="37" spans="2:13" x14ac:dyDescent="0.3">
      <c r="B37" s="1" t="s">
        <v>242</v>
      </c>
      <c r="C37" s="2">
        <v>7.0000000000000007E-2</v>
      </c>
      <c r="D37" s="16">
        <f>ROUNDDOWN(C37*$I$4,-1)</f>
        <v>2481810</v>
      </c>
      <c r="E37" s="16">
        <v>0</v>
      </c>
      <c r="F37" s="16">
        <f>+D37-E37</f>
        <v>2481810</v>
      </c>
      <c r="G37" s="2">
        <v>0.02</v>
      </c>
      <c r="H37" s="16">
        <v>4545450</v>
      </c>
      <c r="I37" s="16"/>
      <c r="J37" s="16">
        <v>4545450</v>
      </c>
      <c r="K37" s="16">
        <v>0.05</v>
      </c>
      <c r="L37" s="16">
        <v>11363630</v>
      </c>
      <c r="M37" s="16">
        <v>15909080</v>
      </c>
    </row>
    <row r="38" spans="2:13" x14ac:dyDescent="0.3">
      <c r="B38" s="1" t="s">
        <v>295</v>
      </c>
      <c r="C38" s="2">
        <v>7.0000000000000007E-2</v>
      </c>
      <c r="D38" s="16">
        <f t="shared" ref="D38:D46" si="4">ROUNDDOWN(C38*$I$4,-1)</f>
        <v>2481810</v>
      </c>
      <c r="E38" s="16">
        <v>0</v>
      </c>
      <c r="F38" s="16">
        <f t="shared" ref="F38:F46" si="5">+D38-E38</f>
        <v>2481810</v>
      </c>
      <c r="G38" s="2">
        <v>0.02</v>
      </c>
      <c r="H38" s="16">
        <v>4545450</v>
      </c>
      <c r="I38" s="16"/>
      <c r="J38" s="16">
        <v>4545450</v>
      </c>
      <c r="K38" s="16">
        <v>0.05</v>
      </c>
      <c r="L38" s="16">
        <v>11363630</v>
      </c>
      <c r="M38" s="16">
        <v>15909080</v>
      </c>
    </row>
    <row r="39" spans="2:13" x14ac:dyDescent="0.3">
      <c r="B39" s="1" t="s">
        <v>322</v>
      </c>
      <c r="C39" s="2">
        <v>7.0000000000000007E-2</v>
      </c>
      <c r="D39" s="16">
        <f t="shared" si="4"/>
        <v>2481810</v>
      </c>
      <c r="E39" s="16">
        <v>0</v>
      </c>
      <c r="F39" s="16">
        <f t="shared" si="5"/>
        <v>2481810</v>
      </c>
      <c r="G39" s="2">
        <v>0.02</v>
      </c>
      <c r="H39" s="16">
        <v>4545450</v>
      </c>
      <c r="I39" s="16"/>
      <c r="J39" s="16">
        <v>4545450</v>
      </c>
      <c r="K39" s="16">
        <v>0.05</v>
      </c>
      <c r="L39" s="16">
        <v>11363630</v>
      </c>
      <c r="M39" s="16">
        <v>15909080</v>
      </c>
    </row>
    <row r="40" spans="2:13" x14ac:dyDescent="0.3">
      <c r="B40" s="1" t="s">
        <v>1402</v>
      </c>
      <c r="C40" s="2">
        <v>0.05</v>
      </c>
      <c r="D40" s="16">
        <f t="shared" si="4"/>
        <v>1772720</v>
      </c>
      <c r="E40" s="16">
        <v>0</v>
      </c>
      <c r="F40" s="16">
        <f t="shared" si="5"/>
        <v>1772720</v>
      </c>
      <c r="G40" s="2">
        <v>0.02</v>
      </c>
      <c r="H40" s="16">
        <v>4545450</v>
      </c>
      <c r="I40" s="16"/>
      <c r="J40" s="16">
        <v>4545450</v>
      </c>
      <c r="K40" s="16">
        <v>3.0000000000000002E-2</v>
      </c>
      <c r="L40" s="16">
        <v>6818180</v>
      </c>
      <c r="M40" s="16">
        <v>11363630</v>
      </c>
    </row>
    <row r="41" spans="2:13" x14ac:dyDescent="0.3">
      <c r="B41" s="1" t="s">
        <v>773</v>
      </c>
      <c r="C41" s="2">
        <v>7.0000000000000007E-2</v>
      </c>
      <c r="D41" s="16">
        <f t="shared" si="4"/>
        <v>2481810</v>
      </c>
      <c r="E41" s="16">
        <v>0</v>
      </c>
      <c r="F41" s="16">
        <f t="shared" si="5"/>
        <v>2481810</v>
      </c>
      <c r="G41" s="2">
        <v>0.02</v>
      </c>
      <c r="H41" s="16">
        <v>4545450</v>
      </c>
      <c r="I41" s="16">
        <v>114285.71428571429</v>
      </c>
      <c r="J41" s="16">
        <v>4431164.2857142854</v>
      </c>
      <c r="K41" s="16">
        <v>0.05</v>
      </c>
      <c r="L41" s="16">
        <v>11363630</v>
      </c>
      <c r="M41" s="16">
        <v>15794794.285714285</v>
      </c>
    </row>
    <row r="42" spans="2:13" x14ac:dyDescent="0.3">
      <c r="B42" s="1" t="s">
        <v>924</v>
      </c>
      <c r="C42" s="2">
        <v>7.0000000000000007E-2</v>
      </c>
      <c r="D42" s="16">
        <f t="shared" si="4"/>
        <v>2481810</v>
      </c>
      <c r="E42" s="16">
        <v>0</v>
      </c>
      <c r="F42" s="16">
        <f t="shared" si="5"/>
        <v>2481810</v>
      </c>
      <c r="G42" s="2">
        <v>0.02</v>
      </c>
      <c r="H42" s="16">
        <v>4545450</v>
      </c>
      <c r="I42" s="16"/>
      <c r="J42" s="16">
        <v>4545450</v>
      </c>
      <c r="K42" s="16">
        <v>0.05</v>
      </c>
      <c r="L42" s="16">
        <v>11363630</v>
      </c>
      <c r="M42" s="16">
        <v>15909080</v>
      </c>
    </row>
    <row r="43" spans="2:13" x14ac:dyDescent="0.3">
      <c r="B43" s="1" t="s">
        <v>769</v>
      </c>
      <c r="C43" s="2">
        <v>0.05</v>
      </c>
      <c r="D43" s="16">
        <f t="shared" si="4"/>
        <v>1772720</v>
      </c>
      <c r="E43" s="16">
        <v>0</v>
      </c>
      <c r="F43" s="16">
        <f t="shared" si="5"/>
        <v>1772720</v>
      </c>
      <c r="G43" s="2">
        <v>0.02</v>
      </c>
      <c r="H43" s="16">
        <v>4545450</v>
      </c>
      <c r="I43" s="16"/>
      <c r="J43" s="16">
        <v>4545450</v>
      </c>
      <c r="K43" s="16">
        <v>3.0000000000000002E-2</v>
      </c>
      <c r="L43" s="16">
        <v>6818180</v>
      </c>
      <c r="M43" s="16">
        <v>11363630</v>
      </c>
    </row>
    <row r="44" spans="2:13" x14ac:dyDescent="0.3">
      <c r="B44" s="1" t="s">
        <v>1403</v>
      </c>
      <c r="C44" s="2">
        <v>7.0000000000000007E-2</v>
      </c>
      <c r="D44" s="16">
        <f t="shared" si="4"/>
        <v>2481810</v>
      </c>
      <c r="E44" s="16">
        <v>0</v>
      </c>
      <c r="F44" s="16">
        <f t="shared" si="5"/>
        <v>2481810</v>
      </c>
      <c r="G44" s="2">
        <v>0.02</v>
      </c>
      <c r="H44" s="16">
        <v>4545450</v>
      </c>
      <c r="I44" s="16">
        <v>114285.71428571429</v>
      </c>
      <c r="J44" s="16">
        <v>4431164.2857142854</v>
      </c>
      <c r="K44" s="16">
        <v>0.05</v>
      </c>
      <c r="L44" s="16">
        <v>11363630</v>
      </c>
      <c r="M44" s="16">
        <v>15794794.285714285</v>
      </c>
    </row>
    <row r="45" spans="2:13" x14ac:dyDescent="0.3">
      <c r="B45" s="1" t="s">
        <v>283</v>
      </c>
      <c r="C45" s="2">
        <v>7.0000000000000007E-2</v>
      </c>
      <c r="D45" s="16">
        <f t="shared" si="4"/>
        <v>2481810</v>
      </c>
      <c r="E45" s="16">
        <v>0</v>
      </c>
      <c r="F45" s="16">
        <f t="shared" si="5"/>
        <v>2481810</v>
      </c>
      <c r="G45" s="2">
        <v>0.02</v>
      </c>
      <c r="H45" s="16">
        <v>4545450</v>
      </c>
      <c r="I45" s="16"/>
      <c r="J45" s="16">
        <v>4545450</v>
      </c>
      <c r="K45" s="16">
        <v>0.05</v>
      </c>
      <c r="L45" s="16">
        <v>11363630</v>
      </c>
      <c r="M45" s="16">
        <v>15909080</v>
      </c>
    </row>
    <row r="46" spans="2:13" x14ac:dyDescent="0.3">
      <c r="B46" s="1" t="s">
        <v>308</v>
      </c>
      <c r="C46" s="2">
        <v>7.0000000000000007E-2</v>
      </c>
      <c r="D46" s="16">
        <f t="shared" si="4"/>
        <v>2481810</v>
      </c>
      <c r="E46" s="16">
        <v>1400000</v>
      </c>
      <c r="F46" s="16">
        <f t="shared" si="5"/>
        <v>1081810</v>
      </c>
      <c r="K46" s="16"/>
      <c r="L46" s="16"/>
      <c r="M46" s="16"/>
    </row>
  </sheetData>
  <mergeCells count="9">
    <mergeCell ref="C36:D36"/>
    <mergeCell ref="G36:H36"/>
    <mergeCell ref="K36:L36"/>
    <mergeCell ref="C10:D10"/>
    <mergeCell ref="K10:L10"/>
    <mergeCell ref="G10:H10"/>
    <mergeCell ref="C23:D23"/>
    <mergeCell ref="G23:H23"/>
    <mergeCell ref="K23:L23"/>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B2:AA54"/>
  <sheetViews>
    <sheetView topLeftCell="A4" zoomScale="85" zoomScaleNormal="85" workbookViewId="0">
      <selection activeCell="S25" sqref="S25"/>
    </sheetView>
  </sheetViews>
  <sheetFormatPr defaultRowHeight="13.5" x14ac:dyDescent="0.3"/>
  <cols>
    <col min="1" max="1" width="9" style="1"/>
    <col min="2" max="2" width="11" style="1" bestFit="1" customWidth="1"/>
    <col min="3" max="3" width="13" style="1" bestFit="1" customWidth="1"/>
    <col min="4" max="4" width="11.5" style="1" bestFit="1" customWidth="1"/>
    <col min="5" max="7" width="12.75" style="1" bestFit="1" customWidth="1"/>
    <col min="8" max="8" width="9" style="1"/>
    <col min="9" max="9" width="8.125" style="1" bestFit="1" customWidth="1"/>
    <col min="10" max="10" width="9" style="1"/>
    <col min="11" max="11" width="10" style="1" bestFit="1" customWidth="1"/>
    <col min="12" max="12" width="11.5" style="1" bestFit="1" customWidth="1"/>
    <col min="13" max="16" width="10.25" style="1" bestFit="1" customWidth="1"/>
    <col min="17" max="17" width="9" style="1"/>
    <col min="18" max="18" width="5" style="1" bestFit="1" customWidth="1"/>
    <col min="19" max="19" width="9" style="1"/>
    <col min="20" max="20" width="10" style="1" bestFit="1" customWidth="1"/>
    <col min="21" max="21" width="11.5" style="1" bestFit="1" customWidth="1"/>
    <col min="22" max="25" width="10.25" style="1" bestFit="1" customWidth="1"/>
    <col min="26" max="26" width="9" style="1"/>
    <col min="27" max="27" width="5" style="1" bestFit="1" customWidth="1"/>
    <col min="28" max="16384" width="9" style="1"/>
  </cols>
  <sheetData>
    <row r="2" spans="2:27" x14ac:dyDescent="0.3">
      <c r="B2" s="1" t="s">
        <v>1407</v>
      </c>
      <c r="K2" s="1" t="s">
        <v>1453</v>
      </c>
      <c r="T2" s="1" t="s">
        <v>1380</v>
      </c>
    </row>
    <row r="3" spans="2:27" x14ac:dyDescent="0.3">
      <c r="B3" s="1" t="s">
        <v>1264</v>
      </c>
      <c r="C3" s="22">
        <f>'운용리스 내부'!D13</f>
        <v>65800000</v>
      </c>
      <c r="E3" s="1" t="s">
        <v>1408</v>
      </c>
      <c r="F3" s="1" t="s">
        <v>1409</v>
      </c>
      <c r="K3" s="1" t="s">
        <v>1264</v>
      </c>
      <c r="L3" s="22">
        <f>'금융리스 내부'!D13</f>
        <v>40000000</v>
      </c>
      <c r="N3" s="1" t="s">
        <v>1408</v>
      </c>
      <c r="O3" s="1" t="s">
        <v>1409</v>
      </c>
      <c r="T3" s="1" t="s">
        <v>1264</v>
      </c>
      <c r="U3" s="22">
        <f>'할부 내부'!D13</f>
        <v>39000000</v>
      </c>
      <c r="W3" s="1" t="s">
        <v>1408</v>
      </c>
      <c r="X3" s="1" t="s">
        <v>1409</v>
      </c>
    </row>
    <row r="4" spans="2:27" x14ac:dyDescent="0.3">
      <c r="B4" s="1" t="s">
        <v>1404</v>
      </c>
      <c r="C4" s="23">
        <f>+C3/1.1</f>
        <v>59818181.818181813</v>
      </c>
      <c r="E4" s="1" t="str">
        <f>VLOOKUP('운용리스 내부'!D6,차종!E:N,10,0)</f>
        <v>승용</v>
      </c>
      <c r="F4" s="16">
        <f>IF($I$13="서울",B47,IF($I$13="부산",C47,IF($I$13="경남",D47,IF($I$13="대구",E47,IF($I$13="인천",F47,G47)))))</f>
        <v>0</v>
      </c>
      <c r="K4" s="1" t="s">
        <v>1404</v>
      </c>
      <c r="L4" s="23">
        <f>+L3/1.1</f>
        <v>36363636.36363636</v>
      </c>
      <c r="N4" s="1" t="str">
        <f>VLOOKUP('금융리스 내부'!D7,차종!E:N,10,0)</f>
        <v>RV(5인이하)</v>
      </c>
      <c r="O4" s="16">
        <f>IF($R$13="서울",K47,IF($R$13="부산",L47,IF($R$13="경남",M47,IF($R$13="대구",N47,IF($R$13="인천",O47,P47)))))</f>
        <v>0</v>
      </c>
      <c r="T4" s="1" t="s">
        <v>1404</v>
      </c>
      <c r="U4" s="23">
        <f>+U3/1.1</f>
        <v>35454545.454545453</v>
      </c>
      <c r="W4" s="1" t="str">
        <f>VLOOKUP('할부 내부'!D7,차종!E:N,10,0)</f>
        <v>RV(5인이하)</v>
      </c>
      <c r="X4" s="16">
        <f>IF($AA$13="서울",T47,IF($AA$13="부산",U47,IF($AA$13="경남",V47,IF($AA$13="대구",W47,IF($AA$13="인천",X47,Y47)))))</f>
        <v>0</v>
      </c>
    </row>
    <row r="5" spans="2:27" x14ac:dyDescent="0.3">
      <c r="B5" s="1" t="s">
        <v>1410</v>
      </c>
      <c r="C5" s="24">
        <f>'운용리스 내부'!D17</f>
        <v>0</v>
      </c>
      <c r="E5" s="1" t="s">
        <v>1411</v>
      </c>
      <c r="F5" s="16">
        <f>VLOOKUP('운용리스 내부'!D6,차종!E:N,3,0)</f>
        <v>0</v>
      </c>
      <c r="K5" s="1" t="s">
        <v>1410</v>
      </c>
      <c r="L5" s="24">
        <f>'금융리스 내부'!D17</f>
        <v>0.09</v>
      </c>
      <c r="N5" s="1" t="s">
        <v>1411</v>
      </c>
      <c r="O5" s="16">
        <f>VLOOKUP('금융리스 내부'!D7,차종!E:N,3,0)</f>
        <v>0</v>
      </c>
      <c r="T5" s="1" t="s">
        <v>1410</v>
      </c>
      <c r="U5" s="24">
        <f>'할부 내부'!D17</f>
        <v>0.09</v>
      </c>
      <c r="W5" s="1" t="s">
        <v>1474</v>
      </c>
      <c r="X5" s="16">
        <f>VLOOKUP('할부 내부'!D7,차종!E:N,3,0)</f>
        <v>0</v>
      </c>
    </row>
    <row r="7" spans="2:27" x14ac:dyDescent="0.3">
      <c r="B7" s="1" t="s">
        <v>1412</v>
      </c>
      <c r="I7" s="1" t="s">
        <v>1413</v>
      </c>
      <c r="K7" s="1" t="s">
        <v>1412</v>
      </c>
      <c r="R7" s="1" t="s">
        <v>1413</v>
      </c>
      <c r="T7" s="1" t="s">
        <v>1412</v>
      </c>
      <c r="AA7" s="1" t="s">
        <v>1413</v>
      </c>
    </row>
    <row r="8" spans="2:27" x14ac:dyDescent="0.3">
      <c r="I8" s="1" t="s">
        <v>1414</v>
      </c>
      <c r="R8" s="1" t="s">
        <v>1414</v>
      </c>
      <c r="AA8" s="1" t="s">
        <v>1414</v>
      </c>
    </row>
    <row r="9" spans="2:27" x14ac:dyDescent="0.3">
      <c r="B9" s="1" t="s">
        <v>1395</v>
      </c>
      <c r="D9" s="1" t="s">
        <v>1415</v>
      </c>
      <c r="E9" s="1" t="s">
        <v>1416</v>
      </c>
      <c r="F9" s="1" t="s">
        <v>1417</v>
      </c>
      <c r="G9" s="1" t="s">
        <v>1418</v>
      </c>
      <c r="I9" s="1" t="s">
        <v>1419</v>
      </c>
      <c r="K9" s="1" t="s">
        <v>1395</v>
      </c>
      <c r="M9" s="1" t="s">
        <v>1415</v>
      </c>
      <c r="N9" s="1" t="s">
        <v>1416</v>
      </c>
      <c r="O9" s="1" t="s">
        <v>1417</v>
      </c>
      <c r="P9" s="1" t="s">
        <v>1418</v>
      </c>
      <c r="R9" s="1" t="s">
        <v>1419</v>
      </c>
      <c r="T9" s="1" t="s">
        <v>1395</v>
      </c>
      <c r="V9" s="1" t="s">
        <v>1415</v>
      </c>
      <c r="W9" s="1" t="s">
        <v>1416</v>
      </c>
      <c r="X9" s="1" t="s">
        <v>1417</v>
      </c>
      <c r="Y9" s="1" t="s">
        <v>1418</v>
      </c>
      <c r="AA9" s="1" t="s">
        <v>1419</v>
      </c>
    </row>
    <row r="10" spans="2:27" x14ac:dyDescent="0.3">
      <c r="B10" s="1" t="s">
        <v>1413</v>
      </c>
      <c r="C10" s="1" t="s">
        <v>242</v>
      </c>
      <c r="D10" s="1">
        <v>0</v>
      </c>
      <c r="E10" s="24">
        <v>0.12</v>
      </c>
      <c r="F10" s="24">
        <v>0.12</v>
      </c>
      <c r="G10" s="24">
        <v>0.2</v>
      </c>
      <c r="I10" s="1" t="s">
        <v>1420</v>
      </c>
      <c r="K10" s="1" t="s">
        <v>1413</v>
      </c>
      <c r="L10" s="1" t="s">
        <v>242</v>
      </c>
      <c r="M10" s="1">
        <v>0</v>
      </c>
      <c r="N10" s="24">
        <v>0.12</v>
      </c>
      <c r="O10" s="24">
        <v>0.12</v>
      </c>
      <c r="P10" s="24">
        <v>0.2</v>
      </c>
      <c r="R10" s="1" t="s">
        <v>1420</v>
      </c>
      <c r="T10" s="1" t="s">
        <v>1413</v>
      </c>
      <c r="U10" s="1" t="s">
        <v>242</v>
      </c>
      <c r="V10" s="1">
        <v>0</v>
      </c>
      <c r="W10" s="24">
        <v>0.12</v>
      </c>
      <c r="X10" s="24">
        <v>0.12</v>
      </c>
      <c r="Y10" s="24">
        <v>0.2</v>
      </c>
      <c r="AA10" s="1" t="s">
        <v>1420</v>
      </c>
    </row>
    <row r="11" spans="2:27" x14ac:dyDescent="0.3">
      <c r="C11" s="1" t="s">
        <v>295</v>
      </c>
      <c r="D11" s="1">
        <v>0</v>
      </c>
      <c r="E11" s="24">
        <v>0.05</v>
      </c>
      <c r="F11" s="24">
        <v>0.05</v>
      </c>
      <c r="G11" s="24">
        <v>0.05</v>
      </c>
      <c r="I11" s="1" t="s">
        <v>1421</v>
      </c>
      <c r="L11" s="1" t="s">
        <v>295</v>
      </c>
      <c r="M11" s="1">
        <v>0</v>
      </c>
      <c r="N11" s="24">
        <v>0.05</v>
      </c>
      <c r="O11" s="24">
        <v>0.05</v>
      </c>
      <c r="P11" s="24">
        <v>0.05</v>
      </c>
      <c r="R11" s="1" t="s">
        <v>1421</v>
      </c>
      <c r="U11" s="1" t="s">
        <v>295</v>
      </c>
      <c r="V11" s="1">
        <v>0</v>
      </c>
      <c r="W11" s="24">
        <v>0.05</v>
      </c>
      <c r="X11" s="24">
        <v>0.05</v>
      </c>
      <c r="Y11" s="24">
        <v>0.05</v>
      </c>
      <c r="AA11" s="1" t="s">
        <v>1421</v>
      </c>
    </row>
    <row r="12" spans="2:27" x14ac:dyDescent="0.3">
      <c r="C12" s="1" t="s">
        <v>322</v>
      </c>
      <c r="D12" s="1">
        <v>0</v>
      </c>
      <c r="E12" s="23">
        <v>390000</v>
      </c>
      <c r="F12" s="23">
        <v>390000</v>
      </c>
      <c r="G12" s="23">
        <v>390000</v>
      </c>
      <c r="I12" s="1" t="s">
        <v>1539</v>
      </c>
      <c r="L12" s="1" t="s">
        <v>322</v>
      </c>
      <c r="M12" s="1">
        <v>0</v>
      </c>
      <c r="N12" s="23">
        <v>390000</v>
      </c>
      <c r="O12" s="23">
        <v>390000</v>
      </c>
      <c r="P12" s="23">
        <v>390000</v>
      </c>
      <c r="R12" s="1" t="s">
        <v>1539</v>
      </c>
      <c r="U12" s="1" t="s">
        <v>322</v>
      </c>
      <c r="V12" s="1">
        <v>0</v>
      </c>
      <c r="W12" s="23">
        <v>390000</v>
      </c>
      <c r="X12" s="23">
        <v>390000</v>
      </c>
      <c r="Y12" s="23">
        <v>390000</v>
      </c>
      <c r="AA12" s="1" t="s">
        <v>1539</v>
      </c>
    </row>
    <row r="13" spans="2:27" x14ac:dyDescent="0.3">
      <c r="C13" s="1" t="s">
        <v>1402</v>
      </c>
      <c r="I13" s="1" t="str">
        <f>'운용리스 내부'!D16</f>
        <v>부산</v>
      </c>
      <c r="L13" s="1" t="s">
        <v>1402</v>
      </c>
      <c r="R13" s="1" t="str">
        <f>'금융리스 내부'!D16</f>
        <v>인천</v>
      </c>
      <c r="U13" s="1" t="s">
        <v>1402</v>
      </c>
      <c r="AA13" s="1" t="str">
        <f>'할부 내부'!D16</f>
        <v>서울</v>
      </c>
    </row>
    <row r="14" spans="2:27" x14ac:dyDescent="0.3">
      <c r="C14" s="1" t="s">
        <v>769</v>
      </c>
      <c r="L14" s="1" t="s">
        <v>769</v>
      </c>
      <c r="U14" s="1" t="s">
        <v>769</v>
      </c>
    </row>
    <row r="15" spans="2:27" x14ac:dyDescent="0.3">
      <c r="B15" s="1" t="s">
        <v>1414</v>
      </c>
      <c r="C15" s="1" t="s">
        <v>242</v>
      </c>
      <c r="D15" s="1">
        <v>0</v>
      </c>
      <c r="E15" s="24">
        <v>0</v>
      </c>
      <c r="F15" s="24">
        <v>0</v>
      </c>
      <c r="G15" s="24">
        <v>0.05</v>
      </c>
      <c r="K15" s="1" t="s">
        <v>1414</v>
      </c>
      <c r="L15" s="1" t="s">
        <v>242</v>
      </c>
      <c r="M15" s="1">
        <v>0</v>
      </c>
      <c r="N15" s="24">
        <v>0</v>
      </c>
      <c r="O15" s="24">
        <v>0</v>
      </c>
      <c r="P15" s="24">
        <v>0.05</v>
      </c>
      <c r="T15" s="1" t="s">
        <v>1414</v>
      </c>
      <c r="U15" s="1" t="s">
        <v>242</v>
      </c>
      <c r="V15" s="1">
        <v>0</v>
      </c>
      <c r="W15" s="24">
        <v>0</v>
      </c>
      <c r="X15" s="24">
        <v>0</v>
      </c>
      <c r="Y15" s="24">
        <v>0.05</v>
      </c>
    </row>
    <row r="16" spans="2:27" x14ac:dyDescent="0.3">
      <c r="C16" s="1" t="s">
        <v>295</v>
      </c>
      <c r="D16" s="1">
        <v>0</v>
      </c>
      <c r="E16" s="24">
        <v>0</v>
      </c>
      <c r="F16" s="24">
        <v>0</v>
      </c>
      <c r="G16" s="24">
        <v>0</v>
      </c>
      <c r="L16" s="1" t="s">
        <v>295</v>
      </c>
      <c r="M16" s="1">
        <v>0</v>
      </c>
      <c r="N16" s="24">
        <v>0</v>
      </c>
      <c r="O16" s="24">
        <v>0</v>
      </c>
      <c r="P16" s="24">
        <v>0</v>
      </c>
      <c r="U16" s="1" t="s">
        <v>295</v>
      </c>
      <c r="V16" s="1">
        <v>0</v>
      </c>
      <c r="W16" s="24">
        <v>0</v>
      </c>
      <c r="X16" s="24">
        <v>0</v>
      </c>
      <c r="Y16" s="24">
        <v>0</v>
      </c>
    </row>
    <row r="17" spans="2:25" x14ac:dyDescent="0.3">
      <c r="C17" s="1" t="s">
        <v>322</v>
      </c>
      <c r="D17" s="1">
        <v>0</v>
      </c>
      <c r="E17" s="24">
        <v>0</v>
      </c>
      <c r="F17" s="24">
        <v>0</v>
      </c>
      <c r="G17" s="24">
        <v>0</v>
      </c>
      <c r="L17" s="1" t="s">
        <v>322</v>
      </c>
      <c r="M17" s="1">
        <v>0</v>
      </c>
      <c r="N17" s="24">
        <v>0</v>
      </c>
      <c r="O17" s="24">
        <v>0</v>
      </c>
      <c r="P17" s="24">
        <v>0</v>
      </c>
      <c r="U17" s="1" t="s">
        <v>322</v>
      </c>
      <c r="V17" s="1">
        <v>0</v>
      </c>
      <c r="W17" s="24">
        <v>0</v>
      </c>
      <c r="X17" s="24">
        <v>0</v>
      </c>
      <c r="Y17" s="24">
        <v>0</v>
      </c>
    </row>
    <row r="18" spans="2:25" x14ac:dyDescent="0.3">
      <c r="C18" s="1" t="s">
        <v>1402</v>
      </c>
      <c r="L18" s="1" t="s">
        <v>1402</v>
      </c>
      <c r="U18" s="1" t="s">
        <v>1402</v>
      </c>
    </row>
    <row r="19" spans="2:25" x14ac:dyDescent="0.3">
      <c r="C19" s="1" t="s">
        <v>769</v>
      </c>
      <c r="L19" s="1" t="s">
        <v>769</v>
      </c>
      <c r="U19" s="1" t="s">
        <v>769</v>
      </c>
    </row>
    <row r="20" spans="2:25" x14ac:dyDescent="0.3">
      <c r="B20" s="1" t="s">
        <v>1419</v>
      </c>
      <c r="C20" s="1" t="s">
        <v>242</v>
      </c>
      <c r="D20" s="1">
        <v>0</v>
      </c>
      <c r="E20" s="24">
        <v>0.04</v>
      </c>
      <c r="F20" s="24">
        <v>0.04</v>
      </c>
      <c r="G20" s="24">
        <v>0.05</v>
      </c>
      <c r="K20" s="1" t="s">
        <v>1419</v>
      </c>
      <c r="L20" s="1" t="s">
        <v>242</v>
      </c>
      <c r="M20" s="1">
        <v>0</v>
      </c>
      <c r="N20" s="24">
        <v>0.04</v>
      </c>
      <c r="O20" s="24">
        <v>0.04</v>
      </c>
      <c r="P20" s="24">
        <v>0.05</v>
      </c>
      <c r="T20" s="1" t="s">
        <v>1419</v>
      </c>
      <c r="U20" s="1" t="s">
        <v>242</v>
      </c>
      <c r="V20" s="1">
        <v>0</v>
      </c>
      <c r="W20" s="24">
        <v>0.04</v>
      </c>
      <c r="X20" s="24">
        <v>0.04</v>
      </c>
      <c r="Y20" s="24">
        <v>0.05</v>
      </c>
    </row>
    <row r="21" spans="2:25" x14ac:dyDescent="0.3">
      <c r="C21" s="1" t="s">
        <v>295</v>
      </c>
      <c r="D21" s="1">
        <v>0</v>
      </c>
      <c r="E21" s="24">
        <v>0.04</v>
      </c>
      <c r="F21" s="24">
        <v>0.04</v>
      </c>
      <c r="G21" s="24">
        <v>0.04</v>
      </c>
      <c r="L21" s="1" t="s">
        <v>295</v>
      </c>
      <c r="M21" s="1">
        <v>0</v>
      </c>
      <c r="N21" s="24">
        <v>0.04</v>
      </c>
      <c r="O21" s="24">
        <v>0.04</v>
      </c>
      <c r="P21" s="24">
        <v>0.04</v>
      </c>
      <c r="U21" s="1" t="s">
        <v>295</v>
      </c>
      <c r="V21" s="1">
        <v>0</v>
      </c>
      <c r="W21" s="24">
        <v>0.04</v>
      </c>
      <c r="X21" s="24">
        <v>0.04</v>
      </c>
      <c r="Y21" s="24">
        <v>0.04</v>
      </c>
    </row>
    <row r="22" spans="2:25" x14ac:dyDescent="0.3">
      <c r="C22" s="1" t="s">
        <v>322</v>
      </c>
      <c r="D22" s="1">
        <v>0</v>
      </c>
      <c r="E22" s="23">
        <v>390000</v>
      </c>
      <c r="F22" s="23">
        <v>390000</v>
      </c>
      <c r="G22" s="23">
        <v>390000</v>
      </c>
      <c r="L22" s="1" t="s">
        <v>322</v>
      </c>
      <c r="M22" s="1">
        <v>0</v>
      </c>
      <c r="N22" s="23">
        <v>390000</v>
      </c>
      <c r="O22" s="23">
        <v>390000</v>
      </c>
      <c r="P22" s="23">
        <v>390000</v>
      </c>
      <c r="U22" s="1" t="s">
        <v>322</v>
      </c>
      <c r="V22" s="1">
        <v>0</v>
      </c>
      <c r="W22" s="23">
        <v>390000</v>
      </c>
      <c r="X22" s="23">
        <v>390000</v>
      </c>
      <c r="Y22" s="23">
        <v>390000</v>
      </c>
    </row>
    <row r="23" spans="2:25" x14ac:dyDescent="0.3">
      <c r="C23" s="1" t="s">
        <v>1402</v>
      </c>
      <c r="L23" s="1" t="s">
        <v>1402</v>
      </c>
      <c r="U23" s="1" t="s">
        <v>1402</v>
      </c>
    </row>
    <row r="24" spans="2:25" x14ac:dyDescent="0.3">
      <c r="C24" s="1" t="s">
        <v>769</v>
      </c>
      <c r="L24" s="1" t="s">
        <v>769</v>
      </c>
      <c r="U24" s="1" t="s">
        <v>769</v>
      </c>
    </row>
    <row r="25" spans="2:25" x14ac:dyDescent="0.3">
      <c r="B25" s="1" t="s">
        <v>1420</v>
      </c>
      <c r="C25" s="1" t="s">
        <v>242</v>
      </c>
      <c r="D25" s="1">
        <v>0</v>
      </c>
      <c r="E25" s="24">
        <v>0</v>
      </c>
      <c r="F25" s="24">
        <v>0</v>
      </c>
      <c r="G25" s="24">
        <v>0.05</v>
      </c>
      <c r="K25" s="1" t="s">
        <v>1420</v>
      </c>
      <c r="L25" s="1" t="s">
        <v>242</v>
      </c>
      <c r="M25" s="1">
        <v>0</v>
      </c>
      <c r="N25" s="24">
        <v>0</v>
      </c>
      <c r="O25" s="24">
        <v>0</v>
      </c>
      <c r="P25" s="24">
        <v>0.05</v>
      </c>
      <c r="T25" s="1" t="s">
        <v>1420</v>
      </c>
      <c r="U25" s="1" t="s">
        <v>242</v>
      </c>
      <c r="V25" s="1">
        <v>0</v>
      </c>
      <c r="W25" s="24">
        <v>0</v>
      </c>
      <c r="X25" s="24">
        <v>0</v>
      </c>
      <c r="Y25" s="24">
        <v>0.05</v>
      </c>
    </row>
    <row r="26" spans="2:25" x14ac:dyDescent="0.3">
      <c r="C26" s="1" t="s">
        <v>295</v>
      </c>
      <c r="D26" s="1">
        <v>0</v>
      </c>
      <c r="E26" s="24">
        <v>0</v>
      </c>
      <c r="F26" s="24">
        <v>0</v>
      </c>
      <c r="G26" s="24">
        <v>0</v>
      </c>
      <c r="L26" s="1" t="s">
        <v>295</v>
      </c>
      <c r="M26" s="1">
        <v>0</v>
      </c>
      <c r="N26" s="24">
        <v>0</v>
      </c>
      <c r="O26" s="24">
        <v>0</v>
      </c>
      <c r="P26" s="24">
        <v>0</v>
      </c>
      <c r="U26" s="1" t="s">
        <v>295</v>
      </c>
      <c r="V26" s="1">
        <v>0</v>
      </c>
      <c r="W26" s="24">
        <v>0</v>
      </c>
      <c r="X26" s="24">
        <v>0</v>
      </c>
      <c r="Y26" s="24">
        <v>0</v>
      </c>
    </row>
    <row r="27" spans="2:25" x14ac:dyDescent="0.3">
      <c r="C27" s="1" t="s">
        <v>322</v>
      </c>
      <c r="D27" s="1">
        <v>0</v>
      </c>
      <c r="E27" s="24">
        <v>0</v>
      </c>
      <c r="F27" s="24">
        <v>0</v>
      </c>
      <c r="G27" s="24">
        <v>0</v>
      </c>
      <c r="L27" s="1" t="s">
        <v>322</v>
      </c>
      <c r="M27" s="1">
        <v>0</v>
      </c>
      <c r="N27" s="24">
        <v>0</v>
      </c>
      <c r="O27" s="24">
        <v>0</v>
      </c>
      <c r="P27" s="24">
        <v>0</v>
      </c>
      <c r="U27" s="1" t="s">
        <v>322</v>
      </c>
      <c r="V27" s="1">
        <v>0</v>
      </c>
      <c r="W27" s="24">
        <v>0</v>
      </c>
      <c r="X27" s="24">
        <v>0</v>
      </c>
      <c r="Y27" s="24">
        <v>0</v>
      </c>
    </row>
    <row r="28" spans="2:25" x14ac:dyDescent="0.3">
      <c r="C28" s="1" t="s">
        <v>1402</v>
      </c>
      <c r="L28" s="1" t="s">
        <v>1402</v>
      </c>
      <c r="U28" s="1" t="s">
        <v>1402</v>
      </c>
    </row>
    <row r="29" spans="2:25" x14ac:dyDescent="0.3">
      <c r="C29" s="1" t="s">
        <v>769</v>
      </c>
      <c r="L29" s="1" t="s">
        <v>769</v>
      </c>
      <c r="U29" s="1" t="s">
        <v>769</v>
      </c>
    </row>
    <row r="30" spans="2:25" x14ac:dyDescent="0.3">
      <c r="B30" s="1" t="s">
        <v>1421</v>
      </c>
      <c r="C30" s="1" t="s">
        <v>242</v>
      </c>
      <c r="D30" s="1">
        <v>0</v>
      </c>
      <c r="E30" s="24">
        <v>0</v>
      </c>
      <c r="F30" s="24">
        <v>0</v>
      </c>
      <c r="G30" s="24">
        <v>0.05</v>
      </c>
      <c r="K30" s="1" t="s">
        <v>1421</v>
      </c>
      <c r="L30" s="1" t="s">
        <v>242</v>
      </c>
      <c r="M30" s="1">
        <v>0</v>
      </c>
      <c r="N30" s="24">
        <v>0</v>
      </c>
      <c r="O30" s="24">
        <v>0</v>
      </c>
      <c r="P30" s="24">
        <v>0.05</v>
      </c>
      <c r="T30" s="1" t="s">
        <v>1421</v>
      </c>
      <c r="U30" s="1" t="s">
        <v>242</v>
      </c>
      <c r="V30" s="1">
        <v>0</v>
      </c>
      <c r="W30" s="24">
        <v>0</v>
      </c>
      <c r="X30" s="24">
        <v>0</v>
      </c>
      <c r="Y30" s="24">
        <v>0.05</v>
      </c>
    </row>
    <row r="31" spans="2:25" x14ac:dyDescent="0.3">
      <c r="C31" s="1" t="s">
        <v>295</v>
      </c>
      <c r="D31" s="1">
        <v>0</v>
      </c>
      <c r="E31" s="24">
        <v>0</v>
      </c>
      <c r="F31" s="24">
        <v>0</v>
      </c>
      <c r="G31" s="24">
        <v>0</v>
      </c>
      <c r="L31" s="1" t="s">
        <v>295</v>
      </c>
      <c r="M31" s="1">
        <v>0</v>
      </c>
      <c r="N31" s="24">
        <v>0</v>
      </c>
      <c r="O31" s="24">
        <v>0</v>
      </c>
      <c r="P31" s="24">
        <v>0</v>
      </c>
      <c r="U31" s="1" t="s">
        <v>295</v>
      </c>
      <c r="V31" s="1">
        <v>0</v>
      </c>
      <c r="W31" s="24">
        <v>0</v>
      </c>
      <c r="X31" s="24">
        <v>0</v>
      </c>
      <c r="Y31" s="24">
        <v>0</v>
      </c>
    </row>
    <row r="32" spans="2:25" x14ac:dyDescent="0.3">
      <c r="C32" s="1" t="s">
        <v>322</v>
      </c>
      <c r="D32" s="1">
        <v>0</v>
      </c>
      <c r="E32" s="24">
        <v>0</v>
      </c>
      <c r="F32" s="24">
        <v>0</v>
      </c>
      <c r="G32" s="24">
        <v>0</v>
      </c>
      <c r="L32" s="1" t="s">
        <v>322</v>
      </c>
      <c r="M32" s="1">
        <v>0</v>
      </c>
      <c r="N32" s="24">
        <v>0</v>
      </c>
      <c r="O32" s="24">
        <v>0</v>
      </c>
      <c r="P32" s="24">
        <v>0</v>
      </c>
      <c r="U32" s="1" t="s">
        <v>322</v>
      </c>
      <c r="V32" s="1">
        <v>0</v>
      </c>
      <c r="W32" s="24">
        <v>0</v>
      </c>
      <c r="X32" s="24">
        <v>0</v>
      </c>
      <c r="Y32" s="24">
        <v>0</v>
      </c>
    </row>
    <row r="33" spans="2:25" x14ac:dyDescent="0.3">
      <c r="C33" s="1" t="s">
        <v>1402</v>
      </c>
      <c r="L33" s="1" t="s">
        <v>1402</v>
      </c>
      <c r="U33" s="1" t="s">
        <v>1402</v>
      </c>
    </row>
    <row r="34" spans="2:25" x14ac:dyDescent="0.3">
      <c r="C34" s="1" t="s">
        <v>769</v>
      </c>
      <c r="L34" s="1" t="s">
        <v>769</v>
      </c>
      <c r="U34" s="1" t="s">
        <v>769</v>
      </c>
    </row>
    <row r="35" spans="2:25" x14ac:dyDescent="0.3">
      <c r="B35" s="1" t="s">
        <v>1422</v>
      </c>
      <c r="C35" s="1" t="s">
        <v>242</v>
      </c>
      <c r="D35" s="1">
        <v>0</v>
      </c>
      <c r="E35" s="2">
        <v>0.06</v>
      </c>
      <c r="F35" s="2">
        <v>0.08</v>
      </c>
      <c r="G35" s="2">
        <v>0.12</v>
      </c>
      <c r="K35" s="1" t="s">
        <v>1422</v>
      </c>
      <c r="L35" s="1" t="s">
        <v>242</v>
      </c>
      <c r="M35" s="1">
        <v>0</v>
      </c>
      <c r="N35" s="2">
        <v>0.06</v>
      </c>
      <c r="O35" s="2">
        <v>0.08</v>
      </c>
      <c r="P35" s="2">
        <v>0.12</v>
      </c>
      <c r="T35" s="1" t="s">
        <v>1422</v>
      </c>
      <c r="U35" s="1" t="s">
        <v>242</v>
      </c>
      <c r="V35" s="1">
        <v>0</v>
      </c>
      <c r="W35" s="2">
        <v>0.06</v>
      </c>
      <c r="X35" s="2">
        <v>0.08</v>
      </c>
      <c r="Y35" s="2">
        <v>0.12</v>
      </c>
    </row>
    <row r="36" spans="2:25" x14ac:dyDescent="0.3">
      <c r="C36" s="1" t="s">
        <v>295</v>
      </c>
      <c r="D36" s="1">
        <v>0</v>
      </c>
      <c r="E36" s="2">
        <v>0.06</v>
      </c>
      <c r="F36" s="2">
        <v>0.08</v>
      </c>
      <c r="G36" s="2">
        <v>0.12</v>
      </c>
      <c r="L36" s="1" t="s">
        <v>295</v>
      </c>
      <c r="M36" s="1">
        <v>0</v>
      </c>
      <c r="N36" s="2">
        <v>0.06</v>
      </c>
      <c r="O36" s="2">
        <v>0.08</v>
      </c>
      <c r="P36" s="2">
        <v>0.12</v>
      </c>
      <c r="U36" s="1" t="s">
        <v>295</v>
      </c>
      <c r="V36" s="1">
        <v>0</v>
      </c>
      <c r="W36" s="2">
        <v>0.06</v>
      </c>
      <c r="X36" s="2">
        <v>0.08</v>
      </c>
      <c r="Y36" s="2">
        <v>0.12</v>
      </c>
    </row>
    <row r="37" spans="2:25" x14ac:dyDescent="0.3">
      <c r="C37" s="1" t="s">
        <v>322</v>
      </c>
      <c r="D37" s="1">
        <v>0</v>
      </c>
      <c r="E37" s="2">
        <v>0.06</v>
      </c>
      <c r="F37" s="2">
        <v>0.08</v>
      </c>
      <c r="G37" s="2">
        <v>0.12</v>
      </c>
      <c r="L37" s="1" t="s">
        <v>322</v>
      </c>
      <c r="M37" s="1">
        <v>0</v>
      </c>
      <c r="N37" s="2">
        <v>0.06</v>
      </c>
      <c r="O37" s="2">
        <v>0.08</v>
      </c>
      <c r="P37" s="2">
        <v>0.12</v>
      </c>
      <c r="U37" s="1" t="s">
        <v>322</v>
      </c>
      <c r="V37" s="1">
        <v>0</v>
      </c>
      <c r="W37" s="2">
        <v>0.06</v>
      </c>
      <c r="X37" s="2">
        <v>0.08</v>
      </c>
      <c r="Y37" s="2">
        <v>0.12</v>
      </c>
    </row>
    <row r="39" spans="2:25" x14ac:dyDescent="0.3">
      <c r="B39" s="1" t="s">
        <v>1413</v>
      </c>
      <c r="C39" s="1" t="s">
        <v>1423</v>
      </c>
      <c r="D39" s="1">
        <v>0</v>
      </c>
      <c r="E39" s="16">
        <f>IF($E$4="승용",($C$4/1.1)*E10*$C$5,IF($E$4="RV(5인이하)",($C$4/1.1)*E11*$C$5,IF($E$4="RV(7-10인)",E12*$C$5,IF($E$4="RV(11인이상)",E13*$C$5,E14*$C$5))))</f>
        <v>0</v>
      </c>
      <c r="F39" s="16">
        <f t="shared" ref="F39:G39" si="0">IF($E$4="승용",($C$4/1.1)*F10*$C$5,IF($E$4="RV(5인이하)",($C$4/1.1)*F11*$C$5,IF($E$4="RV(7-10인)",F12*$C$5,IF($E$4="RV(11인이상)",F13*$C$5,F14*$C$5))))</f>
        <v>0</v>
      </c>
      <c r="G39" s="16">
        <f t="shared" si="0"/>
        <v>0</v>
      </c>
      <c r="K39" s="1" t="s">
        <v>1413</v>
      </c>
      <c r="L39" s="1" t="s">
        <v>1423</v>
      </c>
      <c r="M39" s="1">
        <v>0</v>
      </c>
      <c r="N39" s="16">
        <f>IF($N$4="승용",($L$4/1.1)*N10*$L$5,IF($N$4="RV(5인이하)",($L$4/1.1)*N11*$L$5,IF($N$4="RV(7-10인)",N12*$L$5,IF($N$4="RV(11인이상)",N13*$L$5,N14*$L$5))))</f>
        <v>148760.33057851237</v>
      </c>
      <c r="O39" s="16">
        <f t="shared" ref="O39:P39" si="1">IF($N$4="승용",($L$4/1.1)*O10*$L$5,IF($N$4="RV(5인이하)",($L$4/1.1)*O11*$L$5,IF($N$4="RV(7-10인)",O12*$L$5,IF($N$4="RV(11인이상)",O13*$L$5,O14*$L$5))))</f>
        <v>148760.33057851237</v>
      </c>
      <c r="P39" s="16">
        <f t="shared" si="1"/>
        <v>148760.33057851237</v>
      </c>
      <c r="T39" s="1" t="s">
        <v>1413</v>
      </c>
      <c r="U39" s="1" t="s">
        <v>1423</v>
      </c>
      <c r="V39" s="1">
        <v>0</v>
      </c>
      <c r="W39" s="16">
        <f>IF($W$4="승용",($U$4/1.1)*W10*$U$5,IF($W$4="RV(5인이하)",($U$4/1.1)*W11*$U$5,IF($W$4="RV(7-10인)",W12*$U$5,IF($W$4="RV(11인이상)",W13*$U$5,W14*$U$5))))</f>
        <v>145041.32231404955</v>
      </c>
      <c r="X39" s="16">
        <f t="shared" ref="X39:Y39" si="2">IF($W$4="승용",($U$4/1.1)*X10*$U$5,IF($W$4="RV(5인이하)",($U$4/1.1)*X11*$U$5,IF($W$4="RV(7-10인)",X12*$U$5,IF($W$4="RV(11인이상)",X13*$U$5,X14*$U$5))))</f>
        <v>145041.32231404955</v>
      </c>
      <c r="Y39" s="16">
        <f t="shared" si="2"/>
        <v>145041.32231404955</v>
      </c>
    </row>
    <row r="40" spans="2:25" x14ac:dyDescent="0.3">
      <c r="B40" s="1" t="s">
        <v>1414</v>
      </c>
      <c r="D40" s="1">
        <v>0</v>
      </c>
      <c r="E40" s="16">
        <f>IF($E$4="승용",($C$4/1.1)*E15*$C$5,IF($E$4="RV(5인이하)",($C$4/1.1)*E16*$C$5,IF($E$4="RV(7-10인)",E17*$C$5,IF($E$4="RV(11인이상)",E18*$C$5,E19*$C$5))))</f>
        <v>0</v>
      </c>
      <c r="F40" s="16">
        <f t="shared" ref="F40:G40" si="3">IF($E$4="승용",($C$4/1.1)*F15*$C$5,IF($E$4="RV(5인이하)",($C$4/1.1)*F16*$C$5,IF($E$4="RV(7-10인)",F17*$C$5,IF($E$4="RV(11인이상)",F18*$C$5,F19*$C$5))))</f>
        <v>0</v>
      </c>
      <c r="G40" s="16">
        <f t="shared" si="3"/>
        <v>0</v>
      </c>
      <c r="K40" s="1" t="s">
        <v>1414</v>
      </c>
      <c r="M40" s="1">
        <v>0</v>
      </c>
      <c r="N40" s="16">
        <f>IF($N$4="승용",($L$4/1.1)*N15*$L$5,IF($N$4="RV(5인이하)",($L$4/1.1)*N16*$L$5,IF($N$4="RV(7-10인)",N17*$L$5,IF($N$4="RV(11인이상)",N18*$L$5,N19*$L$5))))</f>
        <v>0</v>
      </c>
      <c r="O40" s="16">
        <f t="shared" ref="O40:P40" si="4">IF($N$4="승용",($L$4/1.1)*O15*$L$5,IF($N$4="RV(5인이하)",($L$4/1.1)*O16*$L$5,IF($N$4="RV(7-10인)",O17*$L$5,IF($N$4="RV(11인이상)",O18*$L$5,O19*$L$5))))</f>
        <v>0</v>
      </c>
      <c r="P40" s="16">
        <f t="shared" si="4"/>
        <v>0</v>
      </c>
      <c r="T40" s="1" t="s">
        <v>1414</v>
      </c>
      <c r="V40" s="1">
        <v>0</v>
      </c>
      <c r="W40" s="16">
        <f>IF($W$4="승용",($U$4/1.1)*W15*$U$5,IF($W$4="RV(5인이하)",($U$4/1.1)*W16*$U$5,IF($W$4="RV(7-10인)",W17*$U$5,IF($W$4="RV(11인이상)",W18*$U$5,W19*$U$5))))</f>
        <v>0</v>
      </c>
      <c r="X40" s="16">
        <f t="shared" ref="X40:Y40" si="5">IF($W$4="승용",($U$4/1.1)*X15*$U$5,IF($W$4="RV(5인이하)",($U$4/1.1)*X16*$U$5,IF($W$4="RV(7-10인)",X17*$U$5,IF($W$4="RV(11인이상)",X18*$U$5,X19*$U$5))))</f>
        <v>0</v>
      </c>
      <c r="Y40" s="16">
        <f t="shared" si="5"/>
        <v>0</v>
      </c>
    </row>
    <row r="41" spans="2:25" x14ac:dyDescent="0.3">
      <c r="B41" s="1" t="s">
        <v>1419</v>
      </c>
      <c r="D41" s="1">
        <v>0</v>
      </c>
      <c r="E41" s="16">
        <f>IF($E$4="승용",($C$4/1.1)*E20*$C$5,IF($E$4="RV(5인이하)",($C$4/1.1)*E21*$C$5,IF($E$4="RV(7-10인)",E22*$C$5,IF($E$4="RV(11인이상)",E23*$C$5,E24*$C$5))))</f>
        <v>0</v>
      </c>
      <c r="F41" s="16">
        <f t="shared" ref="F41:G41" si="6">IF($E$4="승용",($C$4/1.1)*F20*$C$5,IF($E$4="RV(5인이하)",($C$4/1.1)*F21*$C$5,IF($E$4="RV(7-10인)",F22*$C$5,IF($E$4="RV(11인이상)",F23*$C$5,F24*$C$5))))</f>
        <v>0</v>
      </c>
      <c r="G41" s="16">
        <f t="shared" si="6"/>
        <v>0</v>
      </c>
      <c r="K41" s="1" t="s">
        <v>1419</v>
      </c>
      <c r="M41" s="1">
        <v>0</v>
      </c>
      <c r="N41" s="16">
        <f>IF($N$4="승용",($L$4/1.1)*N20*$L$5,IF($N$4="RV(5인이하)",($L$4/1.1)*N21*$L$5,IF($N$4="RV(7-10인)",N22*$L$5,IF($N$4="RV(11인이상)",N23*$L$5,N24*$L$5))))</f>
        <v>119008.26446280989</v>
      </c>
      <c r="O41" s="16">
        <f t="shared" ref="O41:P41" si="7">IF($N$4="승용",($L$4/1.1)*O20*$L$5,IF($N$4="RV(5인이하)",($L$4/1.1)*O21*$L$5,IF($N$4="RV(7-10인)",O22*$L$5,IF($N$4="RV(11인이상)",O23*$L$5,O24*$L$5))))</f>
        <v>119008.26446280989</v>
      </c>
      <c r="P41" s="16">
        <f t="shared" si="7"/>
        <v>119008.26446280989</v>
      </c>
      <c r="T41" s="1" t="s">
        <v>1419</v>
      </c>
      <c r="V41" s="1">
        <v>0</v>
      </c>
      <c r="W41" s="16">
        <f>IF($W$4="승용",($U$4/1.1)*W20*$U$5,IF($W$4="RV(5인이하)",($U$4/1.1)*W21*$U$5,IF($W$4="RV(7-10인)",W22*$U$5,IF($W$4="RV(11인이상)",W23*$U$5,W24*$U$5))))</f>
        <v>116033.05785123965</v>
      </c>
      <c r="X41" s="16">
        <f t="shared" ref="X41:Y41" si="8">IF($W$4="승용",($U$4/1.1)*X20*$U$5,IF($W$4="RV(5인이하)",($U$4/1.1)*X21*$U$5,IF($W$4="RV(7-10인)",X22*$U$5,IF($W$4="RV(11인이상)",X23*$U$5,X24*$U$5))))</f>
        <v>116033.05785123965</v>
      </c>
      <c r="Y41" s="16">
        <f t="shared" si="8"/>
        <v>116033.05785123965</v>
      </c>
    </row>
    <row r="42" spans="2:25" x14ac:dyDescent="0.3">
      <c r="B42" s="1" t="s">
        <v>1420</v>
      </c>
      <c r="D42" s="1">
        <v>0</v>
      </c>
      <c r="E42" s="16">
        <f>IF($E$4="승용",($C$4/1.1)*E25*$C$5,IF($E$4="RV(5인이하)",($C$4/1.1)*E26*$C$5,IF($E$4="RV(7-10인)",E27*$C$5,IF($E$4="RV(11인이상)",E28*$C$5,E29*$C$5))))</f>
        <v>0</v>
      </c>
      <c r="F42" s="16">
        <f t="shared" ref="F42:G42" si="9">IF($E$4="승용",($C$4/1.1)*F25*$C$5,IF($E$4="RV(5인이하)",($C$4/1.1)*F26*$C$5,IF($E$4="RV(7-10인)",F27*$C$5,IF($E$4="RV(11인이상)",F28*$C$5,F29*$C$5))))</f>
        <v>0</v>
      </c>
      <c r="G42" s="16">
        <f t="shared" si="9"/>
        <v>0</v>
      </c>
      <c r="K42" s="1" t="s">
        <v>1420</v>
      </c>
      <c r="M42" s="1">
        <v>0</v>
      </c>
      <c r="N42" s="16">
        <f>IF($N$4="승용",($L$4/1.1)*N25*$L$5,IF($N$4="RV(5인이하)",($L$4/1.1)*N26*$L$5,IF($N$4="RV(7-10인)",N27*$L$5,IF($N$4="RV(11인이상)",N28*$L$5,N29*$L$5))))</f>
        <v>0</v>
      </c>
      <c r="O42" s="16">
        <f t="shared" ref="O42:P42" si="10">IF($N$4="승용",($L$4/1.1)*O25*$L$5,IF($N$4="RV(5인이하)",($L$4/1.1)*O26*$L$5,IF($N$4="RV(7-10인)",O27*$L$5,IF($N$4="RV(11인이상)",O28*$L$5,O29*$L$5))))</f>
        <v>0</v>
      </c>
      <c r="P42" s="16">
        <f t="shared" si="10"/>
        <v>0</v>
      </c>
      <c r="T42" s="1" t="s">
        <v>1420</v>
      </c>
      <c r="V42" s="1">
        <v>0</v>
      </c>
      <c r="W42" s="16">
        <f>IF($W$4="승용",($U$4/1.1)*W25*$U$5,IF($W$4="RV(5인이하)",($U$4/1.1)*W26*$U$5,IF($W$4="RV(7-10인)",W27*$U$4,IF($W$4="RV(11인이상)",W28*$U$5,W29*$U$5))))</f>
        <v>0</v>
      </c>
      <c r="X42" s="16">
        <f t="shared" ref="X42" si="11">IF($W$4="승용",($U$4/1.1)*X25*$U$5,IF($W$4="RV(5인이하)",($U$4/1.1)*X26*$U$5,IF($W$4="RV(7-10인)",X27*$U$4,IF($W$4="RV(11인이상)",X28*$U$5,X29*$U$5))))</f>
        <v>0</v>
      </c>
      <c r="Y42" s="16">
        <f>IF($W$4="승용",($U$4/1.1)*Y25*$U$5,IF($W$4="RV(5인이하)",($U$4/1.1)*Y26*$U$5,IF($W$4="RV(7-10인)",Y27*$U$4,IF($W$4="RV(11인이상)",Y28*$U$5,Y29*$U$5))))</f>
        <v>0</v>
      </c>
    </row>
    <row r="43" spans="2:25" x14ac:dyDescent="0.3">
      <c r="B43" s="1" t="s">
        <v>1421</v>
      </c>
      <c r="D43" s="1">
        <v>0</v>
      </c>
      <c r="E43" s="16">
        <f>IF($E$4="승용",($C$4/1.1)*E30*$C$5,IF($E$4="RV(5인이하)",($C$4/1.1)*E31*$C$5,IF($E$4="RV(7-10인)",E32*$C$5,IF($E$4="RV(11인이상)",E33*$C$5,E34*$C$5))))</f>
        <v>0</v>
      </c>
      <c r="F43" s="16">
        <f t="shared" ref="F43:G43" si="12">IF($E$4="승용",($C$3/1.1)*F30*$C$5,IF($E$4="RV(5인이하)",($C$3/1.1)*F31*$C$5,IF($E$4="RV(7-10인)",F32*$C$5,IF($E$4="RV(11인이상)",F33*$C$5,F34*$C$5))))</f>
        <v>0</v>
      </c>
      <c r="G43" s="16">
        <f t="shared" si="12"/>
        <v>0</v>
      </c>
      <c r="K43" s="1" t="s">
        <v>1421</v>
      </c>
      <c r="M43" s="1">
        <v>0</v>
      </c>
      <c r="N43" s="16">
        <f>IF($N$4="승용",($L$4/1.1)*N30*$L$5,IF($N$4="RV(5인이하)",($L$4/1.1)*N31*$L$5,IF($N$4="RV(7-10인)",N32*$L$5,IF($N$4="RV(11인이상)",N33*$L$5,N34*$L$5))))</f>
        <v>0</v>
      </c>
      <c r="O43" s="16">
        <f t="shared" ref="O43:P43" si="13">IF($N$4="승용",($L$4/1.1)*O30*$L$5,IF($N$4="RV(5인이하)",($L$4/1.1)*O31*$L$5,IF($N$4="RV(7-10인)",O32*$L$5,IF($N$4="RV(11인이상)",O33*$L$5,O34*$L$5))))</f>
        <v>0</v>
      </c>
      <c r="P43" s="16">
        <f t="shared" si="13"/>
        <v>0</v>
      </c>
      <c r="T43" s="1" t="s">
        <v>1421</v>
      </c>
      <c r="V43" s="1">
        <v>0</v>
      </c>
      <c r="W43" s="16">
        <f>IF($W$4="승용",($U$4/1.1)*W30*$U$5,IF($W$4="RV(5인이하)",($U$4/1.1)*W31*$U$5,IF($W$4="RV(7-10인)",W32*$U$5,IF($W$4="RV(11인이상)",W33*$U$5,W34*$U$5))))</f>
        <v>0</v>
      </c>
      <c r="X43" s="16">
        <f t="shared" ref="X43:Y43" si="14">IF($W$4="승용",($U$4/1.1)*X30*$U$5,IF($W$4="RV(5인이하)",($U$4/1.1)*X31*$U$5,IF($W$4="RV(7-10인)",X32*$U$5,IF($W$4="RV(11인이상)",X33*$U$5,X34*$U$5))))</f>
        <v>0</v>
      </c>
      <c r="Y43" s="16">
        <f t="shared" si="14"/>
        <v>0</v>
      </c>
    </row>
    <row r="44" spans="2:25" x14ac:dyDescent="0.3">
      <c r="B44" s="1" t="s">
        <v>1422</v>
      </c>
      <c r="D44" s="1">
        <v>0</v>
      </c>
      <c r="E44" s="16">
        <f>IF($E$4="승용",($C$4/1.1)*E35*$C$5,IF($E$4="RV(5인이하)",($C$4/1.1)*E36*$C$5,IF($E$4="RV(7-10인)",E37*$C$5,IF($E$4="RV(11인이상)",E38*$C$5))))</f>
        <v>0</v>
      </c>
      <c r="F44" s="16">
        <f t="shared" ref="F44:G44" si="15">IF($E$4="승용",($C$4/1.1)*F35*$C$5,IF($E$4="RV(5인이하)",($C$4/1.1)*F36*$C$5,IF($E$4="RV(7-10인)",F37*$C$5,IF($E$4="RV(11인이상)",F38*$C$5))))</f>
        <v>0</v>
      </c>
      <c r="G44" s="16">
        <f t="shared" si="15"/>
        <v>0</v>
      </c>
      <c r="K44" s="1" t="s">
        <v>1422</v>
      </c>
      <c r="M44" s="1">
        <v>0</v>
      </c>
      <c r="N44" s="16">
        <f>IF($N$4="승용",($L$4/1.1)*N35*$L$5,IF($N$4="RV(5인이하)",($L$4/1.1)*N36*$L$5,IF($N$4="RV(7-10인)",N37*$L$5,IF($N$4="RV(11인이상)",N38*$L$5))))</f>
        <v>178512.39669421484</v>
      </c>
      <c r="O44" s="16">
        <f t="shared" ref="O44:P44" si="16">IF($N$4="승용",($L$4/1.1)*O35*$L$5,IF($N$4="RV(5인이하)",($L$4/1.1)*O36*$L$5,IF($N$4="RV(7-10인)",O37*$L$5,IF($N$4="RV(11인이상)",O38*$L$5))))</f>
        <v>238016.52892561979</v>
      </c>
      <c r="P44" s="16">
        <f t="shared" si="16"/>
        <v>357024.79338842968</v>
      </c>
      <c r="T44" s="1" t="s">
        <v>1422</v>
      </c>
      <c r="V44" s="1">
        <v>0</v>
      </c>
      <c r="W44" s="16">
        <f>IF($W$4="승용",($U$4/1.1)*W35*$U$5,IF($W$4="RV(5인이하)",($U$4/1.1)*W36*$U$5,IF($W$4="RV(7-10인)",W37*$U$5,IF($W$4="RV(11인이상)",W38*$U$5))))</f>
        <v>174049.58677685948</v>
      </c>
      <c r="X44" s="16">
        <f>IF($W$4="승용",($U$4/1.1)*X35*$U$5,IF($W$4="RV(5인이하)",($U$4/1.1)*X36*$U$5,IF($W$4="RV(7-10인)",X37*$U$5,IF($W$4="RV(11인이상)",X38*$U$5))))</f>
        <v>232066.11570247929</v>
      </c>
      <c r="Y44" s="16">
        <f>IF($W$4="승용",($U$4/1.1)*Y35*$U$5,IF($W$4="RV(5인이하)",($U$4/1.1)*Y36*$U$5,IF($W$4="RV(7-10인)",Y37*$U$5,IF($W$4="RV(11인이상)",Y38*$U$5))))</f>
        <v>348099.17355371895</v>
      </c>
    </row>
    <row r="46" spans="2:25" x14ac:dyDescent="0.3">
      <c r="B46" s="1" t="s">
        <v>1413</v>
      </c>
      <c r="C46" s="1" t="s">
        <v>1414</v>
      </c>
      <c r="D46" s="1" t="s">
        <v>1419</v>
      </c>
      <c r="E46" s="1" t="s">
        <v>1420</v>
      </c>
      <c r="F46" s="1" t="s">
        <v>1421</v>
      </c>
      <c r="G46" s="1" t="s">
        <v>1539</v>
      </c>
      <c r="K46" s="1" t="s">
        <v>1413</v>
      </c>
      <c r="L46" s="1" t="s">
        <v>1414</v>
      </c>
      <c r="M46" s="1" t="s">
        <v>1419</v>
      </c>
      <c r="N46" s="1" t="s">
        <v>1420</v>
      </c>
      <c r="O46" s="1" t="s">
        <v>1421</v>
      </c>
      <c r="P46" s="1" t="s">
        <v>1422</v>
      </c>
      <c r="T46" s="1" t="s">
        <v>1413</v>
      </c>
      <c r="U46" s="1" t="s">
        <v>1414</v>
      </c>
      <c r="V46" s="1" t="s">
        <v>1419</v>
      </c>
      <c r="W46" s="1" t="s">
        <v>1420</v>
      </c>
      <c r="X46" s="1" t="s">
        <v>1421</v>
      </c>
      <c r="Y46" s="1" t="s">
        <v>1422</v>
      </c>
    </row>
    <row r="47" spans="2:25" x14ac:dyDescent="0.3">
      <c r="B47" s="16">
        <f>TRUNC(IF($F$5&lt;1000,D39,IF($F$5&lt;=1600,E39,IF($F$5&lt;=2000,F39,IF($F$5&gt;2000,G39)))),-1)</f>
        <v>0</v>
      </c>
      <c r="C47" s="16">
        <f>TRUNC(IF($F$5&lt;1000,D40,IF($F$5&lt;=1600,E40,IF($F$5&lt;=2000,F40,IF($F$5&gt;2000,G40)))),-1)</f>
        <v>0</v>
      </c>
      <c r="D47" s="16">
        <f>TRUNC(IF($F$5&lt;1000,D41,IF($F$5&lt;=1600,E41,IF($F$5&lt;=2000,F41,IF($F$5&gt;2000,G41)))),-1)</f>
        <v>0</v>
      </c>
      <c r="E47" s="16">
        <f>TRUNC(IF($F$5&lt;1000,D42,IF($F$5&lt;=1600,E42,IF($F$5&lt;=2000,F42,IF($F$5&gt;2000,G42)))),-1)</f>
        <v>0</v>
      </c>
      <c r="F47" s="16">
        <f>TRUNC(IF($F$5&lt;1000,D43,IF($F$5&lt;=1600,E43,IF($F$5&lt;=2000,F43,IF($F$5&gt;2000,G43)))),-1)</f>
        <v>0</v>
      </c>
      <c r="G47" s="16">
        <f>TRUNC(IF($F$5&lt;1000,D44,IF($F$5&lt;=1600,E44,IF($F$5&lt;=2000,F44,IF($F$5&gt;2000,G44)))),-1)</f>
        <v>0</v>
      </c>
      <c r="K47" s="16">
        <f>TRUNC(IF($O$5&lt;1000,M39,IF($O$5&lt;=1600,N39,IF($O$5&lt;=2000,O39,IF($O$5&gt;2000,P39)))),-1)</f>
        <v>0</v>
      </c>
      <c r="L47" s="16">
        <f>TRUNC(IF($O$5&lt;1000,M40,IF($O$5&lt;=1600,N40,IF($O$5&lt;=2000,O40,IF($O$5&gt;2000,P40)))),-1)</f>
        <v>0</v>
      </c>
      <c r="M47" s="16">
        <f>TRUNC(IF($O$5&lt;1000,M41,IF($O$5&lt;=1600,N41,IF($O$5&lt;=2000,O41,IF($O$5&gt;2000,P41)))),-1)</f>
        <v>0</v>
      </c>
      <c r="N47" s="16">
        <f>TRUNC(IF($O$5&lt;1000,M42,IF($O$5&lt;=1600,N42,IF($O$5&lt;=2000,O42,IF($O$5&gt;2000,P42)))),-1)</f>
        <v>0</v>
      </c>
      <c r="O47" s="16">
        <f>TRUNC(IF($O$5&lt;1000,M43,IF($O$5&lt;=1600,N43,IF($O$5&lt;=2000,O43,IF($O$5&gt;2000,P43)))),-1)</f>
        <v>0</v>
      </c>
      <c r="P47" s="16">
        <f>TRUNC(IF($O$5&lt;1000,M44,IF($O$5&lt;=1600,N44,IF($O$5&lt;=2000,O44,IF($O$5&gt;2000,P44)))),-1)</f>
        <v>0</v>
      </c>
      <c r="T47" s="16">
        <f>TRUNC(IF($X$5&lt;1000,V39,IF($X$5&lt;=1600,W39,IF($X$5&lt;=2000,X39,IF($X$5&gt;2000,Y39)))),-1)</f>
        <v>0</v>
      </c>
      <c r="U47" s="16">
        <f>TRUNC(IF($X$5&lt;1000,V40,IF($X$5&lt;=1600,W40,IF($X$5&lt;=2000,X40,IF($X$5&gt;2000,Y40)))),-1)</f>
        <v>0</v>
      </c>
      <c r="V47" s="16">
        <f>TRUNC(IF($X$5&lt;1000,V41,IF($X$5&lt;=1600,W41,IF($X$5&lt;=2000,X41,IF($X$5&gt;2000,Y41)))),-1)</f>
        <v>0</v>
      </c>
      <c r="W47" s="16">
        <f>TRUNC(IF($X$5&lt;1000,V42,IF($X$5&lt;=1600,W42,IF($X$5&lt;=2000,X42,IF($X$5&gt;2000,Y42)))),-1)</f>
        <v>0</v>
      </c>
      <c r="X47" s="16">
        <f>TRUNC(IF($X$5&lt;1000,V43,IF($X$5&lt;=1600,W43,IF($X$5&lt;=2000,X43,IF($X$5&gt;2000,Y43)))),-1)</f>
        <v>0</v>
      </c>
      <c r="Y47" s="16">
        <f>TRUNC(IF($X$5&lt;1000,V44,IF($X$5&lt;=1600,W44,IF($X$5&lt;=2000,X44,IF($X$5&gt;2000,Y44)))),-1)</f>
        <v>0</v>
      </c>
    </row>
    <row r="50" spans="2:13" x14ac:dyDescent="0.3">
      <c r="B50" s="1" t="s">
        <v>10</v>
      </c>
      <c r="C50" s="1">
        <f>IF(F5=0,130000,VLOOKUP(F5,B52:C54,2,TRUE)*F5)</f>
        <v>130000</v>
      </c>
      <c r="D50" s="1">
        <f>ROUNDUP((C50/12),-1)</f>
        <v>10840</v>
      </c>
      <c r="K50" s="1" t="s">
        <v>10</v>
      </c>
      <c r="L50" s="1">
        <f>IF(O5=0,130000,VLOOKUP(O5,K52:L54,2,TRUE)*O5)</f>
        <v>130000</v>
      </c>
      <c r="M50" s="1">
        <f>ROUNDUP((L50/12),-1)</f>
        <v>10840</v>
      </c>
    </row>
    <row r="52" spans="2:13" x14ac:dyDescent="0.3">
      <c r="B52" s="1">
        <v>0</v>
      </c>
      <c r="C52" s="1">
        <v>104</v>
      </c>
      <c r="K52" s="1">
        <v>0</v>
      </c>
      <c r="L52" s="1">
        <v>104</v>
      </c>
    </row>
    <row r="53" spans="2:13" x14ac:dyDescent="0.3">
      <c r="B53" s="1">
        <v>1001</v>
      </c>
      <c r="C53" s="1">
        <v>182</v>
      </c>
      <c r="K53" s="1">
        <v>1001</v>
      </c>
      <c r="L53" s="1">
        <v>182</v>
      </c>
    </row>
    <row r="54" spans="2:13" x14ac:dyDescent="0.3">
      <c r="B54" s="1">
        <v>1601</v>
      </c>
      <c r="C54" s="1">
        <v>260</v>
      </c>
      <c r="K54" s="1">
        <v>1601</v>
      </c>
      <c r="L54" s="1">
        <v>260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18</vt:i4>
      </vt:variant>
      <vt:variant>
        <vt:lpstr>이름이 지정된 범위</vt:lpstr>
      </vt:variant>
      <vt:variant>
        <vt:i4>225</vt:i4>
      </vt:variant>
    </vt:vector>
  </HeadingPairs>
  <TitlesOfParts>
    <vt:vector size="243" baseType="lpstr">
      <vt:lpstr>25년 9월 운영기준</vt:lpstr>
      <vt:lpstr>전기차보조금액(참고)</vt:lpstr>
      <vt:lpstr>전기자특약필수서류</vt:lpstr>
      <vt:lpstr>운용리스 견적출력</vt:lpstr>
      <vt:lpstr>운용리스 입력</vt:lpstr>
      <vt:lpstr>운용리스 내부</vt:lpstr>
      <vt:lpstr>금융리스 견적출력</vt:lpstr>
      <vt:lpstr>금융리스 입력</vt:lpstr>
      <vt:lpstr>금융리스 내부</vt:lpstr>
      <vt:lpstr>할부 견적출력</vt:lpstr>
      <vt:lpstr>할부 입력</vt:lpstr>
      <vt:lpstr>할부 내부</vt:lpstr>
      <vt:lpstr>브랜드</vt:lpstr>
      <vt:lpstr>차종</vt:lpstr>
      <vt:lpstr>딜러사</vt:lpstr>
      <vt:lpstr>잔가</vt:lpstr>
      <vt:lpstr>취득세</vt:lpstr>
      <vt:lpstr>공채&amp;차세</vt:lpstr>
      <vt:lpstr>Audi</vt:lpstr>
      <vt:lpstr>Audi_</vt:lpstr>
      <vt:lpstr>AudiA3</vt:lpstr>
      <vt:lpstr>AudiA4</vt:lpstr>
      <vt:lpstr>AudiA5</vt:lpstr>
      <vt:lpstr>AudiA6</vt:lpstr>
      <vt:lpstr>AudiA7</vt:lpstr>
      <vt:lpstr>AudiA8</vt:lpstr>
      <vt:lpstr>Audie_tron</vt:lpstr>
      <vt:lpstr>AudiQ2</vt:lpstr>
      <vt:lpstr>AudiQ3</vt:lpstr>
      <vt:lpstr>AudiQ4</vt:lpstr>
      <vt:lpstr>AudiQ5</vt:lpstr>
      <vt:lpstr>AudiQ6</vt:lpstr>
      <vt:lpstr>AudiQ7</vt:lpstr>
      <vt:lpstr>AudiQ8</vt:lpstr>
      <vt:lpstr>AudiR8</vt:lpstr>
      <vt:lpstr>Benz</vt:lpstr>
      <vt:lpstr>Benz_</vt:lpstr>
      <vt:lpstr>BenzA_class</vt:lpstr>
      <vt:lpstr>BenzC_class</vt:lpstr>
      <vt:lpstr>BenzCLA</vt:lpstr>
      <vt:lpstr>BenzCLE</vt:lpstr>
      <vt:lpstr>BenzCLS</vt:lpstr>
      <vt:lpstr>BenzE_class</vt:lpstr>
      <vt:lpstr>BenzEQA</vt:lpstr>
      <vt:lpstr>BenzEQB</vt:lpstr>
      <vt:lpstr>BenzEQC</vt:lpstr>
      <vt:lpstr>BenzEQE</vt:lpstr>
      <vt:lpstr>BenzEQS</vt:lpstr>
      <vt:lpstr>BenzG</vt:lpstr>
      <vt:lpstr>BenzGLA</vt:lpstr>
      <vt:lpstr>BenzGLB</vt:lpstr>
      <vt:lpstr>BenzGLC</vt:lpstr>
      <vt:lpstr>BenzGLE</vt:lpstr>
      <vt:lpstr>BenzGLS</vt:lpstr>
      <vt:lpstr>BenzGT</vt:lpstr>
      <vt:lpstr>BenzS_class</vt:lpstr>
      <vt:lpstr>BenzSL</vt:lpstr>
      <vt:lpstr>BMW</vt:lpstr>
      <vt:lpstr>BMW_</vt:lpstr>
      <vt:lpstr>BMW1_series</vt:lpstr>
      <vt:lpstr>BMW2_series</vt:lpstr>
      <vt:lpstr>BMW3_series</vt:lpstr>
      <vt:lpstr>BMW4_series</vt:lpstr>
      <vt:lpstr>BMW5_series</vt:lpstr>
      <vt:lpstr>BMW6_series</vt:lpstr>
      <vt:lpstr>BMW7_series</vt:lpstr>
      <vt:lpstr>BMW8_series</vt:lpstr>
      <vt:lpstr>BMWi</vt:lpstr>
      <vt:lpstr>BMWM</vt:lpstr>
      <vt:lpstr>BMWX1</vt:lpstr>
      <vt:lpstr>BMWX2</vt:lpstr>
      <vt:lpstr>BMWX3</vt:lpstr>
      <vt:lpstr>BMWX4</vt:lpstr>
      <vt:lpstr>BMWX5</vt:lpstr>
      <vt:lpstr>BMWX6</vt:lpstr>
      <vt:lpstr>BMWX7</vt:lpstr>
      <vt:lpstr>BMWZ</vt:lpstr>
      <vt:lpstr>BYD</vt:lpstr>
      <vt:lpstr>BYD_</vt:lpstr>
      <vt:lpstr>BYDBYD</vt:lpstr>
      <vt:lpstr>Cadillac</vt:lpstr>
      <vt:lpstr>Cadillac_</vt:lpstr>
      <vt:lpstr>CADILLACCT4</vt:lpstr>
      <vt:lpstr>CADILLACCT5</vt:lpstr>
      <vt:lpstr>CADILLACCT6</vt:lpstr>
      <vt:lpstr>CADILLACESCALADE</vt:lpstr>
      <vt:lpstr>CADILLACLyriq</vt:lpstr>
      <vt:lpstr>CADILLACXT4</vt:lpstr>
      <vt:lpstr>CADILLACXT5</vt:lpstr>
      <vt:lpstr>CADILLACXT6</vt:lpstr>
      <vt:lpstr>Citroen</vt:lpstr>
      <vt:lpstr>Citroen_</vt:lpstr>
      <vt:lpstr>CitroenCitroen</vt:lpstr>
      <vt:lpstr>Ford</vt:lpstr>
      <vt:lpstr>Ford_</vt:lpstr>
      <vt:lpstr>FORDAviator</vt:lpstr>
      <vt:lpstr>FORDBronco</vt:lpstr>
      <vt:lpstr>FORDContinental</vt:lpstr>
      <vt:lpstr>FORDCorsair</vt:lpstr>
      <vt:lpstr>FORDExpedition</vt:lpstr>
      <vt:lpstr>FORDExplorer</vt:lpstr>
      <vt:lpstr>FORDMKZ</vt:lpstr>
      <vt:lpstr>FORDMondeo</vt:lpstr>
      <vt:lpstr>FORDMustang</vt:lpstr>
      <vt:lpstr>FORDNautilus</vt:lpstr>
      <vt:lpstr>FORDNavigator</vt:lpstr>
      <vt:lpstr>FORDRanger</vt:lpstr>
      <vt:lpstr>Honda</vt:lpstr>
      <vt:lpstr>Honda_</vt:lpstr>
      <vt:lpstr>HONDAAccord</vt:lpstr>
      <vt:lpstr>HONDACivic</vt:lpstr>
      <vt:lpstr>HONDACR_V</vt:lpstr>
      <vt:lpstr>HONDAHR_V</vt:lpstr>
      <vt:lpstr>HONDAOdyssey</vt:lpstr>
      <vt:lpstr>HONDAPilot</vt:lpstr>
      <vt:lpstr>Jaguar</vt:lpstr>
      <vt:lpstr>Jaguar_</vt:lpstr>
      <vt:lpstr>JAGUARE_Pace</vt:lpstr>
      <vt:lpstr>JAGUARF_Pace</vt:lpstr>
      <vt:lpstr>JAGUARF_Type</vt:lpstr>
      <vt:lpstr>JAGUARI_Pace</vt:lpstr>
      <vt:lpstr>JAGUARXE</vt:lpstr>
      <vt:lpstr>JAGUARXF</vt:lpstr>
      <vt:lpstr>JAGUARXJ</vt:lpstr>
      <vt:lpstr>JEEP</vt:lpstr>
      <vt:lpstr>Jeep_</vt:lpstr>
      <vt:lpstr>JEEPAvenger</vt:lpstr>
      <vt:lpstr>JEEPCherokee</vt:lpstr>
      <vt:lpstr>JEEPCompass</vt:lpstr>
      <vt:lpstr>JEEPGladiator</vt:lpstr>
      <vt:lpstr>JEEPRenegade</vt:lpstr>
      <vt:lpstr>JEEPWrangler</vt:lpstr>
      <vt:lpstr>Landrover</vt:lpstr>
      <vt:lpstr>Landrover_</vt:lpstr>
      <vt:lpstr>LANDROVERDefender</vt:lpstr>
      <vt:lpstr>LANDROVERDiscovery</vt:lpstr>
      <vt:lpstr>LANDROVERRange_Rover</vt:lpstr>
      <vt:lpstr>LANDROVERRange_Rover_Evoque</vt:lpstr>
      <vt:lpstr>LANDROVERRange_Rover_Sport</vt:lpstr>
      <vt:lpstr>LANDROVERRange_Rover_Velar</vt:lpstr>
      <vt:lpstr>Lexus</vt:lpstr>
      <vt:lpstr>Lexus_</vt:lpstr>
      <vt:lpstr>LEXUSCT</vt:lpstr>
      <vt:lpstr>LEXUSES</vt:lpstr>
      <vt:lpstr>LEXUSGS</vt:lpstr>
      <vt:lpstr>LEXUSIS</vt:lpstr>
      <vt:lpstr>LEXUSLC</vt:lpstr>
      <vt:lpstr>LEXUSLM</vt:lpstr>
      <vt:lpstr>LEXUSLS</vt:lpstr>
      <vt:lpstr>LEXUSLX</vt:lpstr>
      <vt:lpstr>LEXUSNX</vt:lpstr>
      <vt:lpstr>LEXUSRC</vt:lpstr>
      <vt:lpstr>LEXUSRX</vt:lpstr>
      <vt:lpstr>LEXUSRZ</vt:lpstr>
      <vt:lpstr>LEXUSUX</vt:lpstr>
      <vt:lpstr>Maserati</vt:lpstr>
      <vt:lpstr>Maserati_</vt:lpstr>
      <vt:lpstr>MASERATIGhibli</vt:lpstr>
      <vt:lpstr>MASERATIGranTurismo</vt:lpstr>
      <vt:lpstr>MASERATIGrecale</vt:lpstr>
      <vt:lpstr>MASERATILevante</vt:lpstr>
      <vt:lpstr>MASERATIMC20</vt:lpstr>
      <vt:lpstr>MASERATIQuattroporte</vt:lpstr>
      <vt:lpstr>Mini</vt:lpstr>
      <vt:lpstr>Mini_</vt:lpstr>
      <vt:lpstr>MINIAceman</vt:lpstr>
      <vt:lpstr>MINIClubman</vt:lpstr>
      <vt:lpstr>MINIConvertible</vt:lpstr>
      <vt:lpstr>MINICountryman</vt:lpstr>
      <vt:lpstr>MINIElectric</vt:lpstr>
      <vt:lpstr>MINIHatch</vt:lpstr>
      <vt:lpstr>Peugeot</vt:lpstr>
      <vt:lpstr>Peugeot_</vt:lpstr>
      <vt:lpstr>PEUGEOT2008</vt:lpstr>
      <vt:lpstr>PEUGEOT208</vt:lpstr>
      <vt:lpstr>PEUGEOT3008</vt:lpstr>
      <vt:lpstr>PEUGEOT308</vt:lpstr>
      <vt:lpstr>PEUGEOT408</vt:lpstr>
      <vt:lpstr>PEUGEOT5008</vt:lpstr>
      <vt:lpstr>PEUGEOT508</vt:lpstr>
      <vt:lpstr>Polestar</vt:lpstr>
      <vt:lpstr>Polestar2</vt:lpstr>
      <vt:lpstr>Polestar4</vt:lpstr>
      <vt:lpstr>Porsche</vt:lpstr>
      <vt:lpstr>Porsche_</vt:lpstr>
      <vt:lpstr>PORSCHE718</vt:lpstr>
      <vt:lpstr>PORSCHE911</vt:lpstr>
      <vt:lpstr>PORSCHECayenne</vt:lpstr>
      <vt:lpstr>PORSCHEMacan</vt:lpstr>
      <vt:lpstr>PORSCHEMacanEv</vt:lpstr>
      <vt:lpstr>PORSCHEPanamera</vt:lpstr>
      <vt:lpstr>PORSCHETaycan</vt:lpstr>
      <vt:lpstr>'금융리스 견적출력'!Print_Area</vt:lpstr>
      <vt:lpstr>'금융리스 내부'!Print_Area</vt:lpstr>
      <vt:lpstr>'금융리스 입력'!Print_Area</vt:lpstr>
      <vt:lpstr>'운용리스 견적출력'!Print_Area</vt:lpstr>
      <vt:lpstr>'운용리스 내부'!Print_Area</vt:lpstr>
      <vt:lpstr>'운용리스 입력'!Print_Area</vt:lpstr>
      <vt:lpstr>전기자특약필수서류!Print_Area</vt:lpstr>
      <vt:lpstr>'할부 견적출력'!Print_Area</vt:lpstr>
      <vt:lpstr>'할부 내부'!Print_Area</vt:lpstr>
      <vt:lpstr>'할부 입력'!Print_Area</vt:lpstr>
      <vt:lpstr>Tesla</vt:lpstr>
      <vt:lpstr>Tesla_</vt:lpstr>
      <vt:lpstr>TeslaModel_S</vt:lpstr>
      <vt:lpstr>TeslaModel_X</vt:lpstr>
      <vt:lpstr>Toyota</vt:lpstr>
      <vt:lpstr>Toyota_</vt:lpstr>
      <vt:lpstr>TOYOTA86</vt:lpstr>
      <vt:lpstr>TOYOTAAlphard</vt:lpstr>
      <vt:lpstr>TOYOTAAvalon</vt:lpstr>
      <vt:lpstr>TOYOTACamry</vt:lpstr>
      <vt:lpstr>TOYOTACrown</vt:lpstr>
      <vt:lpstr>TOYOTAGR</vt:lpstr>
      <vt:lpstr>TOYOTAPrius</vt:lpstr>
      <vt:lpstr>TOYOTARAV4</vt:lpstr>
      <vt:lpstr>TOYOTASienna</vt:lpstr>
      <vt:lpstr>Volkswagen</vt:lpstr>
      <vt:lpstr>Volkswagen_</vt:lpstr>
      <vt:lpstr>VOLKSWAGENArteon</vt:lpstr>
      <vt:lpstr>VOLKSWAGENAtlas</vt:lpstr>
      <vt:lpstr>VOLKSWAGENGolf</vt:lpstr>
      <vt:lpstr>VOLKSWAGENID.4</vt:lpstr>
      <vt:lpstr>VOLKSWAGENID.5</vt:lpstr>
      <vt:lpstr>VOLKSWAGENJetta</vt:lpstr>
      <vt:lpstr>VOLKSWAGENPassat</vt:lpstr>
      <vt:lpstr>VOLKSWAGENT_Roc</vt:lpstr>
      <vt:lpstr>VOLKSWAGENTiguan</vt:lpstr>
      <vt:lpstr>VOLKSWAGENTouareg</vt:lpstr>
      <vt:lpstr>Volvo</vt:lpstr>
      <vt:lpstr>Volvo_</vt:lpstr>
      <vt:lpstr>VOLVOC40</vt:lpstr>
      <vt:lpstr>VOLVOEX30</vt:lpstr>
      <vt:lpstr>VOLVOEX40</vt:lpstr>
      <vt:lpstr>VOLVOS60</vt:lpstr>
      <vt:lpstr>VOLVOS90</vt:lpstr>
      <vt:lpstr>VOLVOV40</vt:lpstr>
      <vt:lpstr>VOLVOV60</vt:lpstr>
      <vt:lpstr>VOLVOV90</vt:lpstr>
      <vt:lpstr>VOLVOXC40</vt:lpstr>
      <vt:lpstr>VOLVOXC60</vt:lpstr>
      <vt:lpstr>VOLVOXC90</vt:lpstr>
      <vt:lpstr>브랜드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2025-02-14T08:56:48Z</cp:lastPrinted>
  <dcterms:created xsi:type="dcterms:W3CDTF">2024-12-06T01:17:55Z</dcterms:created>
  <dcterms:modified xsi:type="dcterms:W3CDTF">2025-09-04T00:34:23Z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DRClass" pid="2">
    <vt:lpwstr>0</vt:lpwstr>
  </property>
  <property fmtid="{D5CDD505-2E9C-101B-9397-08002B2CF9AE}" name="FDRSet" pid="3">
    <vt:lpwstr>manual</vt:lpwstr>
  </property>
  <property fmtid="{D5CDD505-2E9C-101B-9397-08002B2CF9AE}" name="Fasoo_Trace_ID" pid="4">
    <vt:lpwstr>eyAibm9kZUNvdW50IjogMTA0LCAibm9kZTEiIDogeyJkc2QiOiIwMTAwMDAwMDAwMDAyNzI3IiwibG9nVGltZSI6IjIwMjUtMDgtMjFUMDk6MzM6MDlaIiwicElEIjoxLCJ0cmFjZUlkIjoiMTE5NjI2MDY5RkMwNDRFMUExMUFBOTk1RDFDODgxMEMiLCJ1c2VyQ29kZSI6IkMxNTA4MSJ9LCJub2RlMiIgOiB7ImRzZCI6IjAxMDAwMDAwMDAwMDI3MjciLCJsb2dUaW1lIjoiMjAyNS0wOS0wM1QwNzo1MjoxMFoiLCJwSUQiOjEsInRyYWNlSWQiOiI1Qjc1QTVGODdCRkQ0MzYyODA3MTFGMkRFQTYyOTc1MCIsInVzZXJDb2RlIjoiQzE1MDgxIn0sIm5vZGUzIiA6IHsiZHNkIjoiMDEwMDAwMDAwMDAwMjcyNyIsImxvZ1RpbWUiOiIyMDI1LTA5LTAzVDA4OjI4OjU0WiIsInBJRCI6MSwidHJhY2VJZCI6IjhCRDU2NjI1NzM0MDRBRDE5RTJGQjUxM0U0NkE2NzNEIiwidXNlckNvZGUiOiJDMTUwODEifSwibm9kZTQiIDogeyJkc2QiOiIwMTAwMDAwMDAwMDAyNzI3IiwibG9nVGltZSI6IjIwMjUtMDktMDRUMDA6MjQ6MTdaIiwicElEIjoxLCJ0cmFjZUlkIjoiMkRGQUQzNTFGQkRENDgwMkEyODIwREYzNkMzNjQzRDEiLCJ1c2VyQ29kZSI6IkMxNTA4MSJ9LCJub2RlNSIgOiB7ICJ1c2VyQ29kZSIgOiAiQzE1MDgxIiwgInRyYWNlSWQiIDogIjQ3NzIzRTJFQzY3RTA2QjE4NDk2RTFEM0MzMzhBRENBIiwgImRzZCIgOiAiMDAwMDAwMDAwMDAwMDAwMCIsICJwSUQiIDogIjIwNDgiLCAibG9nVGltZSIgOiAiMjAyNS0wOS0wNFQwMjoxMDo1NloiIH19</vt:lpwstr>
  </property>
</Properties>
</file>